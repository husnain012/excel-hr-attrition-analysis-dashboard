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Career\Excel MasterClass\excel-employees-attrition-dashboard\"/>
    </mc:Choice>
  </mc:AlternateContent>
  <xr:revisionPtr revIDLastSave="0" documentId="13_ncr:1_{BCCD80AC-A071-405C-AF9B-70A5C7BE225D}" xr6:coauthVersionLast="47" xr6:coauthVersionMax="47" xr10:uidLastSave="{00000000-0000-0000-0000-000000000000}"/>
  <bookViews>
    <workbookView xWindow="-110" yWindow="-110" windowWidth="19420" windowHeight="10300" activeTab="2" xr2:uid="{00000000-000D-0000-FFFF-FFFF00000000}"/>
  </bookViews>
  <sheets>
    <sheet name="raw-dataset" sheetId="2" r:id="rId1"/>
    <sheet name="Pivot Analysis" sheetId="3" r:id="rId2"/>
    <sheet name="Dashboard" sheetId="4" r:id="rId3"/>
  </sheets>
  <definedNames>
    <definedName name="ExternalData_1" localSheetId="0" hidden="1">'raw-dataset'!$A$1:$AE$1471</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 i="3" l="1"/>
  <c r="I12" i="3"/>
  <c r="R37" i="3"/>
  <c r="R36" i="3"/>
  <c r="R35" i="3"/>
  <c r="R34" i="3"/>
  <c r="R26" i="3"/>
  <c r="R27" i="3"/>
  <c r="R28" i="3"/>
  <c r="R29" i="3"/>
  <c r="R19" i="3"/>
  <c r="R20" i="3"/>
  <c r="R21" i="3"/>
  <c r="R12" i="3"/>
  <c r="R13" i="3"/>
  <c r="R14" i="3"/>
  <c r="R15" i="3"/>
  <c r="I19" i="3"/>
  <c r="I20" i="3"/>
  <c r="I21" i="3"/>
  <c r="I18" i="3"/>
  <c r="J18" i="3" s="1"/>
  <c r="I5" i="3"/>
  <c r="I10" i="3"/>
  <c r="I11" i="3"/>
  <c r="S15" i="3" l="1"/>
  <c r="J5" i="3"/>
  <c r="J12" i="3"/>
  <c r="J19" i="3"/>
  <c r="J11" i="3"/>
  <c r="J6" i="3"/>
  <c r="S36" i="3"/>
  <c r="S20" i="3"/>
  <c r="J20" i="3"/>
  <c r="S34" i="3"/>
  <c r="J21" i="3"/>
  <c r="S21" i="3"/>
  <c r="J10" i="3"/>
  <c r="S26" i="3"/>
  <c r="S14" i="3"/>
  <c r="S13" i="3"/>
  <c r="S35" i="3"/>
  <c r="S12" i="3"/>
  <c r="S37" i="3"/>
  <c r="S19" i="3"/>
  <c r="S27" i="3"/>
  <c r="S29" i="3"/>
  <c r="S2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A5867C-A272-4D7A-98DC-6AB8779593D0}" keepAlive="1" name="Query - raw-dataset" description="Connection to the 'raw-dataset' query in the workbook." type="5" refreshedVersion="7" background="1" saveData="1">
    <dbPr connection="Provider=Microsoft.Mashup.OleDb.1;Data Source=$Workbook$;Location=raw-dataset;Extended Properties=&quot;&quot;" command="SELECT * FROM [raw-dataset]"/>
  </connection>
</connections>
</file>

<file path=xl/sharedStrings.xml><?xml version="1.0" encoding="utf-8"?>
<sst xmlns="http://schemas.openxmlformats.org/spreadsheetml/2006/main" count="14835" uniqueCount="94">
  <si>
    <t>Age</t>
  </si>
  <si>
    <t>Attrition</t>
  </si>
  <si>
    <t>Department</t>
  </si>
  <si>
    <t>DistanceFromHome</t>
  </si>
  <si>
    <t>Education</t>
  </si>
  <si>
    <t>EducationField</t>
  </si>
  <si>
    <t>EnvironmentSatisfaction</t>
  </si>
  <si>
    <t>Gender</t>
  </si>
  <si>
    <t>JobInvolvement</t>
  </si>
  <si>
    <t>JobLevel</t>
  </si>
  <si>
    <t>JobRole</t>
  </si>
  <si>
    <t>JobSatisfaction</t>
  </si>
  <si>
    <t>MaritalStatus</t>
  </si>
  <si>
    <t>MonthlyIncome</t>
  </si>
  <si>
    <t>NumCompaniesWorked</t>
  </si>
  <si>
    <t>OverTime</t>
  </si>
  <si>
    <t>PercentSalaryHike</t>
  </si>
  <si>
    <t>RelationshipSatisfaction</t>
  </si>
  <si>
    <t>StockOptionLevel</t>
  </si>
  <si>
    <t>TotalWorkingYears</t>
  </si>
  <si>
    <t>TrainingTimesLastYear</t>
  </si>
  <si>
    <t>WorkLifeBalance</t>
  </si>
  <si>
    <t>YearsAtCompany</t>
  </si>
  <si>
    <t>YearsInCurrentRole</t>
  </si>
  <si>
    <t>YearsSinceLastPromotion</t>
  </si>
  <si>
    <t>YearsWithCurrManager</t>
  </si>
  <si>
    <t>Attrition_Binary</t>
  </si>
  <si>
    <t>Income_Band</t>
  </si>
  <si>
    <t>Experience_Category</t>
  </si>
  <si>
    <t>Income_per_Year</t>
  </si>
  <si>
    <t>Yes</t>
  </si>
  <si>
    <t>Sales</t>
  </si>
  <si>
    <t>Life Sciences</t>
  </si>
  <si>
    <t>Female</t>
  </si>
  <si>
    <t>Sales Executive</t>
  </si>
  <si>
    <t>Single</t>
  </si>
  <si>
    <t>36-45</t>
  </si>
  <si>
    <t>Medium</t>
  </si>
  <si>
    <t>6-10 Years</t>
  </si>
  <si>
    <t>No</t>
  </si>
  <si>
    <t>Research &amp; Development</t>
  </si>
  <si>
    <t>Male</t>
  </si>
  <si>
    <t>Research Scientist</t>
  </si>
  <si>
    <t>Married</t>
  </si>
  <si>
    <t>Other</t>
  </si>
  <si>
    <t>Laboratory Technician</t>
  </si>
  <si>
    <t>Low</t>
  </si>
  <si>
    <t>0-2 Years</t>
  </si>
  <si>
    <t>26-35</t>
  </si>
  <si>
    <t>Medical</t>
  </si>
  <si>
    <t>Divorced</t>
  </si>
  <si>
    <t>Manufacturing Director</t>
  </si>
  <si>
    <t>Healthcare Representative</t>
  </si>
  <si>
    <t>3-5 Years</t>
  </si>
  <si>
    <t>18-25</t>
  </si>
  <si>
    <t>Manager</t>
  </si>
  <si>
    <t>High</t>
  </si>
  <si>
    <t>10+ Years</t>
  </si>
  <si>
    <t>Sales Representative</t>
  </si>
  <si>
    <t>Research Director</t>
  </si>
  <si>
    <t>Marketing</t>
  </si>
  <si>
    <t>Technical Degree</t>
  </si>
  <si>
    <t>Human Resources</t>
  </si>
  <si>
    <t>KPIs</t>
  </si>
  <si>
    <t>Age_Group</t>
  </si>
  <si>
    <t>Total Employees</t>
  </si>
  <si>
    <t>Total Attrition</t>
  </si>
  <si>
    <t>Attrition Rate %</t>
  </si>
  <si>
    <t>Average Years at Company</t>
  </si>
  <si>
    <t>Average of Attrition_Binary</t>
  </si>
  <si>
    <t>Attrition by Overtime</t>
  </si>
  <si>
    <t>Attrition by Department</t>
  </si>
  <si>
    <t>Attrition by Job Satisfaction</t>
  </si>
  <si>
    <t>Average Income of Attrition Employees</t>
  </si>
  <si>
    <t>Average of MonthlyIncome</t>
  </si>
  <si>
    <t>Average of YearsAtCompany</t>
  </si>
  <si>
    <t>Attrition by Gender</t>
  </si>
  <si>
    <t>Work Life Balance</t>
  </si>
  <si>
    <t>Attrition by Income Band</t>
  </si>
  <si>
    <t>Attrition by Age Group</t>
  </si>
  <si>
    <t>Attrition by Experience Category</t>
  </si>
  <si>
    <t>`</t>
  </si>
  <si>
    <t>46+</t>
  </si>
  <si>
    <t>Attrition_Rate</t>
  </si>
  <si>
    <t>Highlight</t>
  </si>
  <si>
    <t>Helper Table Department</t>
  </si>
  <si>
    <t>Helper Table Overtime</t>
  </si>
  <si>
    <t>Helper Table Job Satisfaction</t>
  </si>
  <si>
    <t>Helper Table Work-Life-Balance</t>
  </si>
  <si>
    <t>Attrition by Work-Life-Balance</t>
  </si>
  <si>
    <t>Helper Table Income Band</t>
  </si>
  <si>
    <t>Income Band</t>
  </si>
  <si>
    <t>Helper Table Age_Group</t>
  </si>
  <si>
    <t>Helper Table Experience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</si>
</sst>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20"/>
      <color theme="1"/>
      <name val="Calibri"/>
      <family val="2"/>
      <scheme val="minor"/>
    </font>
    <font>
      <b/>
      <sz val="14"/>
      <color theme="1"/>
      <name val="Calibri"/>
      <family val="2"/>
      <scheme val="minor"/>
    </font>
    <font>
      <u/>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9"/>
        <bgColor theme="9"/>
      </patternFill>
    </fill>
    <fill>
      <patternFill patternType="solid">
        <fgColor rgb="FFF2F4F3"/>
        <bgColor indexed="64"/>
      </patternFill>
    </fill>
    <fill>
      <patternFill patternType="solid">
        <fgColor rgb="FFF5F7F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8">
    <xf numFmtId="0" fontId="0" fillId="0" borderId="0" xfId="0"/>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2" fillId="0" borderId="0" xfId="0" applyFont="1"/>
    <xf numFmtId="9" fontId="0" fillId="0" borderId="0" xfId="1" applyFont="1"/>
    <xf numFmtId="9" fontId="0" fillId="0" borderId="0" xfId="0" pivotButton="1" applyNumberFormat="1"/>
    <xf numFmtId="0" fontId="0" fillId="0" borderId="0" xfId="0" applyFont="1" applyAlignment="1">
      <alignment horizontal="left"/>
    </xf>
    <xf numFmtId="9" fontId="0" fillId="0" borderId="0" xfId="0" applyNumberFormat="1" applyFont="1"/>
    <xf numFmtId="9" fontId="5" fillId="2" borderId="0" xfId="0" applyNumberFormat="1" applyFont="1" applyFill="1" applyBorder="1"/>
    <xf numFmtId="0" fontId="5" fillId="2" borderId="0" xfId="0" applyFont="1" applyFill="1" applyBorder="1"/>
    <xf numFmtId="0" fontId="0" fillId="3" borderId="0" xfId="0" applyFill="1"/>
    <xf numFmtId="0" fontId="3" fillId="3" borderId="0" xfId="0" applyFont="1" applyFill="1"/>
    <xf numFmtId="0" fontId="0" fillId="4" borderId="0" xfId="0" applyFill="1"/>
    <xf numFmtId="0" fontId="1" fillId="0" borderId="0" xfId="0" applyFont="1" applyAlignment="1">
      <alignment horizontal="center" vertical="center"/>
    </xf>
    <xf numFmtId="0" fontId="0" fillId="0" borderId="0" xfId="0" applyAlignment="1">
      <alignment horizontal="center" vertical="center"/>
    </xf>
  </cellXfs>
  <cellStyles count="2">
    <cellStyle name="Normal" xfId="0" builtinId="0"/>
    <cellStyle name="Percent" xfId="1" builtinId="5"/>
  </cellStyles>
  <dxfs count="56">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border outline="0">
        <top style="medium">
          <color theme="9" tint="-0.249977111117893"/>
        </top>
      </border>
    </dxf>
    <dxf>
      <numFmt numFmtId="13" formatCode="0%"/>
    </dxf>
    <dxf>
      <numFmt numFmtId="13" formatCode="0%"/>
    </dxf>
    <dxf>
      <numFmt numFmtId="1" formatCode="0"/>
    </dxf>
    <dxf>
      <numFmt numFmtId="1" formatCode="0"/>
    </dxf>
    <dxf>
      <numFmt numFmtId="13" formatCode="0%"/>
    </dxf>
    <dxf>
      <numFmt numFmtId="0" formatCode="General"/>
    </dxf>
    <dxf>
      <numFmt numFmtId="13"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 formatCode="0"/>
    </dxf>
    <dxf>
      <numFmt numFmtId="13" formatCode="0%"/>
    </dxf>
    <dxf>
      <numFmt numFmtId="1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s>
  <tableStyles count="1" defaultTableStyle="TableStyleMedium2" defaultPivotStyle="PivotStyleLight16">
    <tableStyle name="SlicerStyleLight6 2" pivot="0" table="0" count="9" xr9:uid="{4F6D3950-F308-4114-98AB-46A3BE3C95F8}">
      <tableStyleElement type="wholeTable" dxfId="55"/>
    </tableStyle>
  </tableStyles>
  <colors>
    <mruColors>
      <color rgb="FF37474F"/>
      <color rgb="FF099C99"/>
      <color rgb="FF09A3A3"/>
      <color rgb="FFCFD8DC"/>
      <color rgb="FF26A69A"/>
      <color rgb="FF424242"/>
      <color rgb="FF757575"/>
      <color rgb="FF616161"/>
      <color rgb="FF263238"/>
      <color rgb="FFE0E0E0"/>
    </mruColors>
  </colors>
  <extLst>
    <ext xmlns:x14="http://schemas.microsoft.com/office/spreadsheetml/2009/9/main" uri="{46F421CA-312F-682f-3DD2-61675219B42D}">
      <x14:dxfs count="8">
        <dxf>
          <fill>
            <patternFill>
              <bgColor rgb="FF099C99"/>
            </patternFill>
          </fill>
        </dxf>
        <dxf>
          <fill>
            <patternFill>
              <bgColor rgb="FF099C99"/>
            </patternFill>
          </fill>
        </dxf>
        <dxf>
          <fill>
            <patternFill>
              <bgColor rgb="FF099C99"/>
            </patternFill>
          </fill>
        </dxf>
        <dxf>
          <fill>
            <patternFill>
              <bgColor rgb="FF099C99"/>
            </patternFill>
          </fill>
        </dxf>
        <dxf>
          <fill>
            <patternFill>
              <bgColor rgb="FF26A69A"/>
            </patternFill>
          </fill>
        </dxf>
        <dxf>
          <fill>
            <patternFill>
              <bgColor rgb="FF26A69A"/>
            </patternFill>
          </fill>
        </dxf>
        <dxf>
          <fill>
            <patternFill>
              <bgColor rgb="FFCFD8DC"/>
            </patternFill>
          </fill>
        </dxf>
        <dxf>
          <fill>
            <patternFill>
              <bgColor rgb="FFCFD8DC"/>
            </patternFill>
          </fill>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Analysis'!$I$4</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Analysis'!$H$5:$H$6</c:f>
              <c:strCache>
                <c:ptCount val="2"/>
                <c:pt idx="0">
                  <c:v>No</c:v>
                </c:pt>
                <c:pt idx="1">
                  <c:v>Yes</c:v>
                </c:pt>
              </c:strCache>
            </c:strRef>
          </c:cat>
          <c:val>
            <c:numRef>
              <c:f>'Pivot Analysis'!$I$5:$I$6</c:f>
              <c:numCache>
                <c:formatCode>0%</c:formatCode>
                <c:ptCount val="2"/>
                <c:pt idx="0">
                  <c:v>0.10436432637571158</c:v>
                </c:pt>
                <c:pt idx="1">
                  <c:v>0.30528846153846156</c:v>
                </c:pt>
              </c:numCache>
            </c:numRef>
          </c:val>
          <c:extLst>
            <c:ext xmlns:c16="http://schemas.microsoft.com/office/drawing/2014/chart" uri="{C3380CC4-5D6E-409C-BE32-E72D297353CC}">
              <c16:uniqueId val="{00000000-4023-4315-86DE-D3A448705081}"/>
            </c:ext>
          </c:extLst>
        </c:ser>
        <c:ser>
          <c:idx val="1"/>
          <c:order val="1"/>
          <c:tx>
            <c:strRef>
              <c:f>'Pivot Analysis'!$J$4</c:f>
              <c:strCache>
                <c:ptCount val="1"/>
                <c:pt idx="0">
                  <c:v>Highlight</c:v>
                </c:pt>
              </c:strCache>
            </c:strRef>
          </c:tx>
          <c:spPr>
            <a:solidFill>
              <a:srgbClr val="26A69A"/>
            </a:solidFill>
            <a:ln>
              <a:noFill/>
            </a:ln>
            <a:effectLst/>
          </c:spPr>
          <c:invertIfNegative val="0"/>
          <c:dLbls>
            <c:delete val="1"/>
          </c:dLbls>
          <c:cat>
            <c:strRef>
              <c:f>'Pivot Analysis'!$H$5:$H$6</c:f>
              <c:strCache>
                <c:ptCount val="2"/>
                <c:pt idx="0">
                  <c:v>No</c:v>
                </c:pt>
                <c:pt idx="1">
                  <c:v>Yes</c:v>
                </c:pt>
              </c:strCache>
            </c:strRef>
          </c:cat>
          <c:val>
            <c:numRef>
              <c:f>'Pivot Analysis'!$J$5:$J$6</c:f>
              <c:numCache>
                <c:formatCode>0%</c:formatCode>
                <c:ptCount val="2"/>
                <c:pt idx="0">
                  <c:v>0</c:v>
                </c:pt>
                <c:pt idx="1">
                  <c:v>0.30528846153846156</c:v>
                </c:pt>
              </c:numCache>
            </c:numRef>
          </c:val>
          <c:extLst>
            <c:ext xmlns:c16="http://schemas.microsoft.com/office/drawing/2014/chart" uri="{C3380CC4-5D6E-409C-BE32-E72D297353CC}">
              <c16:uniqueId val="{00000001-4023-4315-86DE-D3A448705081}"/>
            </c:ext>
          </c:extLst>
        </c:ser>
        <c:dLbls>
          <c:dLblPos val="outEnd"/>
          <c:showLegendKey val="0"/>
          <c:showVal val="1"/>
          <c:showCatName val="0"/>
          <c:showSerName val="0"/>
          <c:showPercent val="0"/>
          <c:showBubbleSize val="0"/>
        </c:dLbls>
        <c:gapWidth val="250"/>
        <c:overlap val="100"/>
        <c:axId val="1565435600"/>
        <c:axId val="1344544064"/>
      </c:barChart>
      <c:catAx>
        <c:axId val="15654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57575"/>
                </a:solidFill>
                <a:latin typeface="+mn-lt"/>
                <a:ea typeface="+mn-ea"/>
                <a:cs typeface="+mn-cs"/>
              </a:defRPr>
            </a:pPr>
            <a:endParaRPr lang="en-PK"/>
          </a:p>
        </c:txPr>
        <c:crossAx val="1344544064"/>
        <c:crosses val="autoZero"/>
        <c:auto val="1"/>
        <c:lblAlgn val="ctr"/>
        <c:lblOffset val="100"/>
        <c:noMultiLvlLbl val="0"/>
      </c:catAx>
      <c:valAx>
        <c:axId val="1344544064"/>
        <c:scaling>
          <c:orientation val="minMax"/>
        </c:scaling>
        <c:delete val="1"/>
        <c:axPos val="l"/>
        <c:numFmt formatCode="0%" sourceLinked="1"/>
        <c:majorTickMark val="none"/>
        <c:minorTickMark val="none"/>
        <c:tickLblPos val="nextTo"/>
        <c:crossAx val="1565435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Analysis'!$R$18</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Analysis'!$Q$19:$Q$21</c:f>
              <c:strCache>
                <c:ptCount val="3"/>
                <c:pt idx="0">
                  <c:v>High</c:v>
                </c:pt>
                <c:pt idx="1">
                  <c:v>Low</c:v>
                </c:pt>
                <c:pt idx="2">
                  <c:v>Medium</c:v>
                </c:pt>
              </c:strCache>
            </c:strRef>
          </c:cat>
          <c:val>
            <c:numRef>
              <c:f>'Pivot Analysis'!$R$19:$R$21</c:f>
              <c:numCache>
                <c:formatCode>0%</c:formatCode>
                <c:ptCount val="3"/>
                <c:pt idx="0">
                  <c:v>8.8967971530249115E-2</c:v>
                </c:pt>
                <c:pt idx="1">
                  <c:v>0.25230202578268879</c:v>
                </c:pt>
                <c:pt idx="2">
                  <c:v>0.11609907120743033</c:v>
                </c:pt>
              </c:numCache>
            </c:numRef>
          </c:val>
          <c:extLst>
            <c:ext xmlns:c16="http://schemas.microsoft.com/office/drawing/2014/chart" uri="{C3380CC4-5D6E-409C-BE32-E72D297353CC}">
              <c16:uniqueId val="{00000000-DC28-479D-97E4-281C07EFFF44}"/>
            </c:ext>
          </c:extLst>
        </c:ser>
        <c:ser>
          <c:idx val="1"/>
          <c:order val="1"/>
          <c:tx>
            <c:strRef>
              <c:f>'Pivot Analysis'!$S$18</c:f>
              <c:strCache>
                <c:ptCount val="1"/>
                <c:pt idx="0">
                  <c:v>Highlight</c:v>
                </c:pt>
              </c:strCache>
            </c:strRef>
          </c:tx>
          <c:spPr>
            <a:solidFill>
              <a:srgbClr val="26A69A"/>
            </a:solidFill>
            <a:ln>
              <a:noFill/>
            </a:ln>
            <a:effectLst/>
          </c:spPr>
          <c:invertIfNegative val="0"/>
          <c:cat>
            <c:strRef>
              <c:f>'Pivot Analysis'!$Q$19:$Q$21</c:f>
              <c:strCache>
                <c:ptCount val="3"/>
                <c:pt idx="0">
                  <c:v>High</c:v>
                </c:pt>
                <c:pt idx="1">
                  <c:v>Low</c:v>
                </c:pt>
                <c:pt idx="2">
                  <c:v>Medium</c:v>
                </c:pt>
              </c:strCache>
            </c:strRef>
          </c:cat>
          <c:val>
            <c:numRef>
              <c:f>'Pivot Analysis'!$S$19:$S$21</c:f>
              <c:numCache>
                <c:formatCode>0%</c:formatCode>
                <c:ptCount val="3"/>
                <c:pt idx="0">
                  <c:v>0</c:v>
                </c:pt>
                <c:pt idx="1">
                  <c:v>0.25230202578268879</c:v>
                </c:pt>
                <c:pt idx="2">
                  <c:v>0</c:v>
                </c:pt>
              </c:numCache>
            </c:numRef>
          </c:val>
          <c:extLst>
            <c:ext xmlns:c16="http://schemas.microsoft.com/office/drawing/2014/chart" uri="{C3380CC4-5D6E-409C-BE32-E72D297353CC}">
              <c16:uniqueId val="{00000001-DC28-479D-97E4-281C07EFFF44}"/>
            </c:ext>
          </c:extLst>
        </c:ser>
        <c:dLbls>
          <c:showLegendKey val="0"/>
          <c:showVal val="0"/>
          <c:showCatName val="0"/>
          <c:showSerName val="0"/>
          <c:showPercent val="0"/>
          <c:showBubbleSize val="0"/>
        </c:dLbls>
        <c:gapWidth val="250"/>
        <c:overlap val="100"/>
        <c:axId val="1564465840"/>
        <c:axId val="1564466256"/>
      </c:barChart>
      <c:catAx>
        <c:axId val="156446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564466256"/>
        <c:crosses val="autoZero"/>
        <c:auto val="1"/>
        <c:lblAlgn val="ctr"/>
        <c:lblOffset val="100"/>
        <c:noMultiLvlLbl val="0"/>
      </c:catAx>
      <c:valAx>
        <c:axId val="1564466256"/>
        <c:scaling>
          <c:orientation val="minMax"/>
        </c:scaling>
        <c:delete val="1"/>
        <c:axPos val="l"/>
        <c:numFmt formatCode="0%" sourceLinked="1"/>
        <c:majorTickMark val="none"/>
        <c:minorTickMark val="none"/>
        <c:tickLblPos val="nextTo"/>
        <c:crossAx val="1564465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Analysis'!$R$25</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Analysis'!$Q$26:$Q$29</c:f>
              <c:strCache>
                <c:ptCount val="4"/>
                <c:pt idx="0">
                  <c:v>18-25</c:v>
                </c:pt>
                <c:pt idx="1">
                  <c:v>26-35</c:v>
                </c:pt>
                <c:pt idx="2">
                  <c:v>36-45</c:v>
                </c:pt>
                <c:pt idx="3">
                  <c:v>46+</c:v>
                </c:pt>
              </c:strCache>
            </c:strRef>
          </c:cat>
          <c:val>
            <c:numRef>
              <c:f>'Pivot Analysis'!$R$26:$R$29</c:f>
              <c:numCache>
                <c:formatCode>0%</c:formatCode>
                <c:ptCount val="4"/>
                <c:pt idx="0">
                  <c:v>0.35772357723577236</c:v>
                </c:pt>
                <c:pt idx="1">
                  <c:v>0.19141914191419143</c:v>
                </c:pt>
                <c:pt idx="2">
                  <c:v>9.1880341880341887E-2</c:v>
                </c:pt>
                <c:pt idx="3">
                  <c:v>0.12454212454212454</c:v>
                </c:pt>
              </c:numCache>
            </c:numRef>
          </c:val>
          <c:extLst>
            <c:ext xmlns:c16="http://schemas.microsoft.com/office/drawing/2014/chart" uri="{C3380CC4-5D6E-409C-BE32-E72D297353CC}">
              <c16:uniqueId val="{00000000-83A4-45A3-8502-816F6DEC0273}"/>
            </c:ext>
          </c:extLst>
        </c:ser>
        <c:ser>
          <c:idx val="1"/>
          <c:order val="1"/>
          <c:tx>
            <c:strRef>
              <c:f>'Pivot Analysis'!$S$25</c:f>
              <c:strCache>
                <c:ptCount val="1"/>
                <c:pt idx="0">
                  <c:v>Highlight</c:v>
                </c:pt>
              </c:strCache>
            </c:strRef>
          </c:tx>
          <c:spPr>
            <a:solidFill>
              <a:srgbClr val="26A69A"/>
            </a:solidFill>
            <a:ln>
              <a:noFill/>
            </a:ln>
            <a:effectLst/>
          </c:spPr>
          <c:invertIfNegative val="0"/>
          <c:dLbls>
            <c:delete val="1"/>
          </c:dLbls>
          <c:cat>
            <c:strRef>
              <c:f>'Pivot Analysis'!$Q$26:$Q$29</c:f>
              <c:strCache>
                <c:ptCount val="4"/>
                <c:pt idx="0">
                  <c:v>18-25</c:v>
                </c:pt>
                <c:pt idx="1">
                  <c:v>26-35</c:v>
                </c:pt>
                <c:pt idx="2">
                  <c:v>36-45</c:v>
                </c:pt>
                <c:pt idx="3">
                  <c:v>46+</c:v>
                </c:pt>
              </c:strCache>
            </c:strRef>
          </c:cat>
          <c:val>
            <c:numRef>
              <c:f>'Pivot Analysis'!$S$26:$S$29</c:f>
              <c:numCache>
                <c:formatCode>0%</c:formatCode>
                <c:ptCount val="4"/>
                <c:pt idx="0">
                  <c:v>0.35772357723577236</c:v>
                </c:pt>
                <c:pt idx="1">
                  <c:v>0</c:v>
                </c:pt>
                <c:pt idx="2">
                  <c:v>0</c:v>
                </c:pt>
                <c:pt idx="3">
                  <c:v>0</c:v>
                </c:pt>
              </c:numCache>
            </c:numRef>
          </c:val>
          <c:extLst>
            <c:ext xmlns:c16="http://schemas.microsoft.com/office/drawing/2014/chart" uri="{C3380CC4-5D6E-409C-BE32-E72D297353CC}">
              <c16:uniqueId val="{00000001-83A4-45A3-8502-816F6DEC0273}"/>
            </c:ext>
          </c:extLst>
        </c:ser>
        <c:dLbls>
          <c:dLblPos val="outEnd"/>
          <c:showLegendKey val="0"/>
          <c:showVal val="1"/>
          <c:showCatName val="0"/>
          <c:showSerName val="0"/>
          <c:showPercent val="0"/>
          <c:showBubbleSize val="0"/>
        </c:dLbls>
        <c:gapWidth val="182"/>
        <c:overlap val="100"/>
        <c:axId val="1332662304"/>
        <c:axId val="1332662720"/>
      </c:barChart>
      <c:catAx>
        <c:axId val="133266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332662720"/>
        <c:crosses val="autoZero"/>
        <c:auto val="1"/>
        <c:lblAlgn val="ctr"/>
        <c:lblOffset val="100"/>
        <c:noMultiLvlLbl val="0"/>
      </c:catAx>
      <c:valAx>
        <c:axId val="1332662720"/>
        <c:scaling>
          <c:orientation val="minMax"/>
        </c:scaling>
        <c:delete val="1"/>
        <c:axPos val="b"/>
        <c:numFmt formatCode="0%" sourceLinked="1"/>
        <c:majorTickMark val="none"/>
        <c:minorTickMark val="none"/>
        <c:tickLblPos val="nextTo"/>
        <c:crossAx val="13326623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Analysis'!$R$33</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Analysis'!$Q$34:$Q$37</c:f>
              <c:strCache>
                <c:ptCount val="4"/>
                <c:pt idx="0">
                  <c:v>0-2 Years</c:v>
                </c:pt>
                <c:pt idx="1">
                  <c:v>10+ Years</c:v>
                </c:pt>
                <c:pt idx="2">
                  <c:v>3-5 Years</c:v>
                </c:pt>
                <c:pt idx="3">
                  <c:v>6-10 Years</c:v>
                </c:pt>
              </c:strCache>
            </c:strRef>
          </c:cat>
          <c:val>
            <c:numRef>
              <c:f>'Pivot Analysis'!$R$34:$R$37</c:f>
              <c:numCache>
                <c:formatCode>0%</c:formatCode>
                <c:ptCount val="4"/>
                <c:pt idx="0">
                  <c:v>0.2982456140350877</c:v>
                </c:pt>
                <c:pt idx="1">
                  <c:v>8.1300813008130079E-2</c:v>
                </c:pt>
                <c:pt idx="2">
                  <c:v>0.13824884792626729</c:v>
                </c:pt>
                <c:pt idx="3">
                  <c:v>0.12276785714285714</c:v>
                </c:pt>
              </c:numCache>
            </c:numRef>
          </c:val>
          <c:extLst>
            <c:ext xmlns:c16="http://schemas.microsoft.com/office/drawing/2014/chart" uri="{C3380CC4-5D6E-409C-BE32-E72D297353CC}">
              <c16:uniqueId val="{00000000-E736-48A2-9E64-A73F15F483BF}"/>
            </c:ext>
          </c:extLst>
        </c:ser>
        <c:ser>
          <c:idx val="1"/>
          <c:order val="1"/>
          <c:tx>
            <c:strRef>
              <c:f>'Pivot Analysis'!$S$33</c:f>
              <c:strCache>
                <c:ptCount val="1"/>
                <c:pt idx="0">
                  <c:v>Highlight</c:v>
                </c:pt>
              </c:strCache>
            </c:strRef>
          </c:tx>
          <c:spPr>
            <a:solidFill>
              <a:srgbClr val="26A69A"/>
            </a:solidFill>
            <a:ln>
              <a:noFill/>
            </a:ln>
            <a:effectLst/>
          </c:spPr>
          <c:invertIfNegative val="0"/>
          <c:dLbls>
            <c:delete val="1"/>
          </c:dLbls>
          <c:cat>
            <c:strRef>
              <c:f>'Pivot Analysis'!$Q$34:$Q$37</c:f>
              <c:strCache>
                <c:ptCount val="4"/>
                <c:pt idx="0">
                  <c:v>0-2 Years</c:v>
                </c:pt>
                <c:pt idx="1">
                  <c:v>10+ Years</c:v>
                </c:pt>
                <c:pt idx="2">
                  <c:v>3-5 Years</c:v>
                </c:pt>
                <c:pt idx="3">
                  <c:v>6-10 Years</c:v>
                </c:pt>
              </c:strCache>
            </c:strRef>
          </c:cat>
          <c:val>
            <c:numRef>
              <c:f>'Pivot Analysis'!$S$34:$S$37</c:f>
              <c:numCache>
                <c:formatCode>0%</c:formatCode>
                <c:ptCount val="4"/>
                <c:pt idx="0">
                  <c:v>0.2982456140350877</c:v>
                </c:pt>
                <c:pt idx="1">
                  <c:v>0</c:v>
                </c:pt>
                <c:pt idx="2">
                  <c:v>0</c:v>
                </c:pt>
                <c:pt idx="3">
                  <c:v>0</c:v>
                </c:pt>
              </c:numCache>
            </c:numRef>
          </c:val>
          <c:extLst>
            <c:ext xmlns:c16="http://schemas.microsoft.com/office/drawing/2014/chart" uri="{C3380CC4-5D6E-409C-BE32-E72D297353CC}">
              <c16:uniqueId val="{00000001-E736-48A2-9E64-A73F15F483BF}"/>
            </c:ext>
          </c:extLst>
        </c:ser>
        <c:dLbls>
          <c:dLblPos val="outEnd"/>
          <c:showLegendKey val="0"/>
          <c:showVal val="1"/>
          <c:showCatName val="0"/>
          <c:showSerName val="0"/>
          <c:showPercent val="0"/>
          <c:showBubbleSize val="0"/>
        </c:dLbls>
        <c:gapWidth val="182"/>
        <c:overlap val="100"/>
        <c:axId val="156038400"/>
        <c:axId val="156045056"/>
      </c:barChart>
      <c:catAx>
        <c:axId val="15603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56045056"/>
        <c:crosses val="autoZero"/>
        <c:auto val="1"/>
        <c:lblAlgn val="ctr"/>
        <c:lblOffset val="100"/>
        <c:noMultiLvlLbl val="0"/>
      </c:catAx>
      <c:valAx>
        <c:axId val="156045056"/>
        <c:scaling>
          <c:orientation val="minMax"/>
        </c:scaling>
        <c:delete val="1"/>
        <c:axPos val="b"/>
        <c:numFmt formatCode="0%" sourceLinked="1"/>
        <c:majorTickMark val="none"/>
        <c:minorTickMark val="none"/>
        <c:tickLblPos val="nextTo"/>
        <c:crossAx val="156038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Analysis'!$I$17</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Analysis'!$H$18:$H$21</c:f>
              <c:numCache>
                <c:formatCode>General</c:formatCode>
                <c:ptCount val="4"/>
                <c:pt idx="0">
                  <c:v>1</c:v>
                </c:pt>
                <c:pt idx="1">
                  <c:v>2</c:v>
                </c:pt>
                <c:pt idx="2">
                  <c:v>3</c:v>
                </c:pt>
                <c:pt idx="3">
                  <c:v>4</c:v>
                </c:pt>
              </c:numCache>
            </c:numRef>
          </c:cat>
          <c:val>
            <c:numRef>
              <c:f>'Pivot Analysis'!$I$18:$I$21</c:f>
              <c:numCache>
                <c:formatCode>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BC9C-425C-8154-5B37B29DC6B4}"/>
            </c:ext>
          </c:extLst>
        </c:ser>
        <c:ser>
          <c:idx val="1"/>
          <c:order val="1"/>
          <c:tx>
            <c:strRef>
              <c:f>'Pivot Analysis'!$J$17</c:f>
              <c:strCache>
                <c:ptCount val="1"/>
                <c:pt idx="0">
                  <c:v>Highlight</c:v>
                </c:pt>
              </c:strCache>
            </c:strRef>
          </c:tx>
          <c:spPr>
            <a:solidFill>
              <a:srgbClr val="26A69A"/>
            </a:solidFill>
            <a:ln>
              <a:noFill/>
            </a:ln>
            <a:effectLst/>
          </c:spPr>
          <c:invertIfNegative val="0"/>
          <c:dLbls>
            <c:delete val="1"/>
          </c:dLbls>
          <c:cat>
            <c:numRef>
              <c:f>'Pivot Analysis'!$H$18:$H$21</c:f>
              <c:numCache>
                <c:formatCode>General</c:formatCode>
                <c:ptCount val="4"/>
                <c:pt idx="0">
                  <c:v>1</c:v>
                </c:pt>
                <c:pt idx="1">
                  <c:v>2</c:v>
                </c:pt>
                <c:pt idx="2">
                  <c:v>3</c:v>
                </c:pt>
                <c:pt idx="3">
                  <c:v>4</c:v>
                </c:pt>
              </c:numCache>
            </c:numRef>
          </c:cat>
          <c:val>
            <c:numRef>
              <c:f>'Pivot Analysis'!$J$18:$J$21</c:f>
              <c:numCache>
                <c:formatCode>0%</c:formatCode>
                <c:ptCount val="4"/>
                <c:pt idx="0">
                  <c:v>0.22837370242214533</c:v>
                </c:pt>
                <c:pt idx="1">
                  <c:v>0</c:v>
                </c:pt>
                <c:pt idx="2">
                  <c:v>0</c:v>
                </c:pt>
                <c:pt idx="3">
                  <c:v>0</c:v>
                </c:pt>
              </c:numCache>
            </c:numRef>
          </c:val>
          <c:extLst>
            <c:ext xmlns:c16="http://schemas.microsoft.com/office/drawing/2014/chart" uri="{C3380CC4-5D6E-409C-BE32-E72D297353CC}">
              <c16:uniqueId val="{00000001-BC9C-425C-8154-5B37B29DC6B4}"/>
            </c:ext>
          </c:extLst>
        </c:ser>
        <c:dLbls>
          <c:dLblPos val="outEnd"/>
          <c:showLegendKey val="0"/>
          <c:showVal val="1"/>
          <c:showCatName val="0"/>
          <c:showSerName val="0"/>
          <c:showPercent val="0"/>
          <c:showBubbleSize val="0"/>
        </c:dLbls>
        <c:gapWidth val="182"/>
        <c:overlap val="100"/>
        <c:axId val="156093872"/>
        <c:axId val="156091376"/>
      </c:barChart>
      <c:catAx>
        <c:axId val="1560938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56091376"/>
        <c:crosses val="autoZero"/>
        <c:auto val="1"/>
        <c:lblAlgn val="ctr"/>
        <c:lblOffset val="100"/>
        <c:noMultiLvlLbl val="0"/>
      </c:catAx>
      <c:valAx>
        <c:axId val="156091376"/>
        <c:scaling>
          <c:orientation val="minMax"/>
        </c:scaling>
        <c:delete val="1"/>
        <c:axPos val="b"/>
        <c:numFmt formatCode="0%" sourceLinked="1"/>
        <c:majorTickMark val="out"/>
        <c:minorTickMark val="none"/>
        <c:tickLblPos val="nextTo"/>
        <c:crossAx val="156093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Analysis'!$I$9</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Analysis'!$H$10:$H$12</c:f>
              <c:strCache>
                <c:ptCount val="3"/>
                <c:pt idx="0">
                  <c:v>Human Resources</c:v>
                </c:pt>
                <c:pt idx="1">
                  <c:v>Research &amp; Development</c:v>
                </c:pt>
                <c:pt idx="2">
                  <c:v>Sales</c:v>
                </c:pt>
              </c:strCache>
            </c:strRef>
          </c:cat>
          <c:val>
            <c:numRef>
              <c:f>'Pivot Analysis'!$I$10:$I$12</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BDB8-45E8-BC63-8395AF2FE9F5}"/>
            </c:ext>
          </c:extLst>
        </c:ser>
        <c:ser>
          <c:idx val="1"/>
          <c:order val="1"/>
          <c:tx>
            <c:strRef>
              <c:f>'Pivot Analysis'!$J$9</c:f>
              <c:strCache>
                <c:ptCount val="1"/>
                <c:pt idx="0">
                  <c:v>Highlight</c:v>
                </c:pt>
              </c:strCache>
            </c:strRef>
          </c:tx>
          <c:spPr>
            <a:solidFill>
              <a:srgbClr val="26A69A"/>
            </a:solidFill>
            <a:ln>
              <a:noFill/>
            </a:ln>
            <a:effectLst/>
          </c:spPr>
          <c:invertIfNegative val="0"/>
          <c:dLbls>
            <c:delete val="1"/>
          </c:dLbls>
          <c:cat>
            <c:strRef>
              <c:f>'Pivot Analysis'!$H$10:$H$12</c:f>
              <c:strCache>
                <c:ptCount val="3"/>
                <c:pt idx="0">
                  <c:v>Human Resources</c:v>
                </c:pt>
                <c:pt idx="1">
                  <c:v>Research &amp; Development</c:v>
                </c:pt>
                <c:pt idx="2">
                  <c:v>Sales</c:v>
                </c:pt>
              </c:strCache>
            </c:strRef>
          </c:cat>
          <c:val>
            <c:numRef>
              <c:f>'Pivot Analysis'!$J$10:$J$12</c:f>
              <c:numCache>
                <c:formatCode>0%</c:formatCode>
                <c:ptCount val="3"/>
                <c:pt idx="0">
                  <c:v>0</c:v>
                </c:pt>
                <c:pt idx="1">
                  <c:v>0</c:v>
                </c:pt>
                <c:pt idx="2">
                  <c:v>0.20627802690582961</c:v>
                </c:pt>
              </c:numCache>
            </c:numRef>
          </c:val>
          <c:extLst>
            <c:ext xmlns:c16="http://schemas.microsoft.com/office/drawing/2014/chart" uri="{C3380CC4-5D6E-409C-BE32-E72D297353CC}">
              <c16:uniqueId val="{00000001-BDB8-45E8-BC63-8395AF2FE9F5}"/>
            </c:ext>
          </c:extLst>
        </c:ser>
        <c:dLbls>
          <c:dLblPos val="outEnd"/>
          <c:showLegendKey val="0"/>
          <c:showVal val="1"/>
          <c:showCatName val="0"/>
          <c:showSerName val="0"/>
          <c:showPercent val="0"/>
          <c:showBubbleSize val="0"/>
        </c:dLbls>
        <c:gapWidth val="219"/>
        <c:overlap val="100"/>
        <c:axId val="11489728"/>
        <c:axId val="11488480"/>
      </c:barChart>
      <c:catAx>
        <c:axId val="1148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1488480"/>
        <c:crosses val="autoZero"/>
        <c:auto val="1"/>
        <c:lblAlgn val="ctr"/>
        <c:lblOffset val="100"/>
        <c:noMultiLvlLbl val="0"/>
      </c:catAx>
      <c:valAx>
        <c:axId val="11488480"/>
        <c:scaling>
          <c:orientation val="minMax"/>
        </c:scaling>
        <c:delete val="1"/>
        <c:axPos val="l"/>
        <c:numFmt formatCode="0%" sourceLinked="1"/>
        <c:majorTickMark val="none"/>
        <c:minorTickMark val="none"/>
        <c:tickLblPos val="nextTo"/>
        <c:crossAx val="11489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Analysis'!$R$11</c:f>
              <c:strCache>
                <c:ptCount val="1"/>
                <c:pt idx="0">
                  <c:v>Attrition_Rate</c:v>
                </c:pt>
              </c:strCache>
            </c:strRef>
          </c:tx>
          <c:spPr>
            <a:solidFill>
              <a:srgbClr val="37474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rgbClr val="42424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Analysis'!$Q$12:$Q$15</c:f>
              <c:numCache>
                <c:formatCode>General</c:formatCode>
                <c:ptCount val="4"/>
                <c:pt idx="0">
                  <c:v>1</c:v>
                </c:pt>
                <c:pt idx="1">
                  <c:v>2</c:v>
                </c:pt>
                <c:pt idx="2">
                  <c:v>3</c:v>
                </c:pt>
                <c:pt idx="3">
                  <c:v>4</c:v>
                </c:pt>
              </c:numCache>
            </c:numRef>
          </c:cat>
          <c:val>
            <c:numRef>
              <c:f>'Pivot Analysis'!$R$12:$R$15</c:f>
              <c:numCache>
                <c:formatCode>0%</c:formatCode>
                <c:ptCount val="4"/>
                <c:pt idx="0">
                  <c:v>0.3125</c:v>
                </c:pt>
                <c:pt idx="1">
                  <c:v>0.16860465116279069</c:v>
                </c:pt>
                <c:pt idx="2">
                  <c:v>0.14221724524076149</c:v>
                </c:pt>
                <c:pt idx="3">
                  <c:v>0.17647058823529413</c:v>
                </c:pt>
              </c:numCache>
            </c:numRef>
          </c:val>
          <c:extLst>
            <c:ext xmlns:c16="http://schemas.microsoft.com/office/drawing/2014/chart" uri="{C3380CC4-5D6E-409C-BE32-E72D297353CC}">
              <c16:uniqueId val="{00000000-9F7B-46B3-96C4-9296579581D5}"/>
            </c:ext>
          </c:extLst>
        </c:ser>
        <c:ser>
          <c:idx val="1"/>
          <c:order val="1"/>
          <c:tx>
            <c:strRef>
              <c:f>'Pivot Analysis'!$S$11</c:f>
              <c:strCache>
                <c:ptCount val="1"/>
                <c:pt idx="0">
                  <c:v>Highlight</c:v>
                </c:pt>
              </c:strCache>
            </c:strRef>
          </c:tx>
          <c:spPr>
            <a:solidFill>
              <a:srgbClr val="26A69A"/>
            </a:solidFill>
            <a:ln>
              <a:noFill/>
            </a:ln>
            <a:effectLst/>
          </c:spPr>
          <c:invertIfNegative val="0"/>
          <c:dLbls>
            <c:delete val="1"/>
          </c:dLbls>
          <c:cat>
            <c:numRef>
              <c:f>'Pivot Analysis'!$Q$12:$Q$15</c:f>
              <c:numCache>
                <c:formatCode>General</c:formatCode>
                <c:ptCount val="4"/>
                <c:pt idx="0">
                  <c:v>1</c:v>
                </c:pt>
                <c:pt idx="1">
                  <c:v>2</c:v>
                </c:pt>
                <c:pt idx="2">
                  <c:v>3</c:v>
                </c:pt>
                <c:pt idx="3">
                  <c:v>4</c:v>
                </c:pt>
              </c:numCache>
            </c:numRef>
          </c:cat>
          <c:val>
            <c:numRef>
              <c:f>'Pivot Analysis'!$S$12:$S$15</c:f>
              <c:numCache>
                <c:formatCode>0%</c:formatCode>
                <c:ptCount val="4"/>
                <c:pt idx="0">
                  <c:v>0.3125</c:v>
                </c:pt>
                <c:pt idx="1">
                  <c:v>0</c:v>
                </c:pt>
                <c:pt idx="2">
                  <c:v>0</c:v>
                </c:pt>
                <c:pt idx="3">
                  <c:v>0</c:v>
                </c:pt>
              </c:numCache>
            </c:numRef>
          </c:val>
          <c:extLst>
            <c:ext xmlns:c16="http://schemas.microsoft.com/office/drawing/2014/chart" uri="{C3380CC4-5D6E-409C-BE32-E72D297353CC}">
              <c16:uniqueId val="{00000001-9F7B-46B3-96C4-9296579581D5}"/>
            </c:ext>
          </c:extLst>
        </c:ser>
        <c:dLbls>
          <c:dLblPos val="outEnd"/>
          <c:showLegendKey val="0"/>
          <c:showVal val="1"/>
          <c:showCatName val="0"/>
          <c:showSerName val="0"/>
          <c:showPercent val="0"/>
          <c:showBubbleSize val="0"/>
        </c:dLbls>
        <c:gapWidth val="219"/>
        <c:overlap val="100"/>
        <c:axId val="1564467088"/>
        <c:axId val="1564467504"/>
      </c:barChart>
      <c:catAx>
        <c:axId val="15644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757575"/>
                </a:solidFill>
                <a:latin typeface="+mn-lt"/>
                <a:ea typeface="+mn-ea"/>
                <a:cs typeface="+mn-cs"/>
              </a:defRPr>
            </a:pPr>
            <a:endParaRPr lang="en-PK"/>
          </a:p>
        </c:txPr>
        <c:crossAx val="1564467504"/>
        <c:crosses val="autoZero"/>
        <c:auto val="1"/>
        <c:lblAlgn val="ctr"/>
        <c:lblOffset val="100"/>
        <c:noMultiLvlLbl val="0"/>
      </c:catAx>
      <c:valAx>
        <c:axId val="1564467504"/>
        <c:scaling>
          <c:orientation val="minMax"/>
        </c:scaling>
        <c:delete val="1"/>
        <c:axPos val="l"/>
        <c:numFmt formatCode="0%" sourceLinked="1"/>
        <c:majorTickMark val="none"/>
        <c:minorTickMark val="none"/>
        <c:tickLblPos val="nextTo"/>
        <c:crossAx val="1564467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6350</xdr:colOff>
      <xdr:row>0</xdr:row>
      <xdr:rowOff>19050</xdr:rowOff>
    </xdr:from>
    <xdr:to>
      <xdr:col>5</xdr:col>
      <xdr:colOff>82550</xdr:colOff>
      <xdr:row>3</xdr:row>
      <xdr:rowOff>60600</xdr:rowOff>
    </xdr:to>
    <xdr:sp macro="" textlink="">
      <xdr:nvSpPr>
        <xdr:cNvPr id="19" name="Rectangle: Rounded Corners 18">
          <a:extLst>
            <a:ext uri="{FF2B5EF4-FFF2-40B4-BE49-F238E27FC236}">
              <a16:creationId xmlns:a16="http://schemas.microsoft.com/office/drawing/2014/main" id="{F32D444C-7AAE-4DB6-8248-E886401C6350}"/>
            </a:ext>
          </a:extLst>
        </xdr:cNvPr>
        <xdr:cNvSpPr/>
      </xdr:nvSpPr>
      <xdr:spPr>
        <a:xfrm>
          <a:off x="1225550" y="19050"/>
          <a:ext cx="1905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400" b="1">
              <a:ln>
                <a:noFill/>
              </a:ln>
              <a:solidFill>
                <a:srgbClr val="263238"/>
              </a:solidFill>
              <a:latin typeface="+mn-lt"/>
              <a:ea typeface="+mn-ea"/>
              <a:cs typeface="+mn-cs"/>
            </a:rPr>
            <a:t>HR Attrition Analysis Dashboard</a:t>
          </a:r>
          <a:endParaRPr lang="en-PK" sz="1400" b="1">
            <a:ln>
              <a:noFill/>
            </a:ln>
            <a:solidFill>
              <a:srgbClr val="263238"/>
            </a:solidFill>
            <a:latin typeface="+mn-lt"/>
            <a:ea typeface="+mn-ea"/>
            <a:cs typeface="+mn-cs"/>
          </a:endParaRPr>
        </a:p>
      </xdr:txBody>
    </xdr:sp>
    <xdr:clientData/>
  </xdr:twoCellAnchor>
  <xdr:twoCellAnchor>
    <xdr:from>
      <xdr:col>5</xdr:col>
      <xdr:colOff>101600</xdr:colOff>
      <xdr:row>0</xdr:row>
      <xdr:rowOff>19050</xdr:rowOff>
    </xdr:from>
    <xdr:to>
      <xdr:col>7</xdr:col>
      <xdr:colOff>178400</xdr:colOff>
      <xdr:row>3</xdr:row>
      <xdr:rowOff>60600</xdr:rowOff>
    </xdr:to>
    <xdr:sp macro="" textlink="">
      <xdr:nvSpPr>
        <xdr:cNvPr id="23" name="Rectangle: Rounded Corners 22">
          <a:extLst>
            <a:ext uri="{FF2B5EF4-FFF2-40B4-BE49-F238E27FC236}">
              <a16:creationId xmlns:a16="http://schemas.microsoft.com/office/drawing/2014/main" id="{5AC048C2-6A7E-4769-9CE3-EB7161B53356}"/>
            </a:ext>
          </a:extLst>
        </xdr:cNvPr>
        <xdr:cNvSpPr/>
      </xdr:nvSpPr>
      <xdr:spPr>
        <a:xfrm>
          <a:off x="3149600" y="19050"/>
          <a:ext cx="1296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0</xdr:col>
      <xdr:colOff>19050</xdr:colOff>
      <xdr:row>0</xdr:row>
      <xdr:rowOff>19050</xdr:rowOff>
    </xdr:from>
    <xdr:to>
      <xdr:col>1</xdr:col>
      <xdr:colOff>597450</xdr:colOff>
      <xdr:row>3</xdr:row>
      <xdr:rowOff>60600</xdr:rowOff>
    </xdr:to>
    <xdr:sp macro="" textlink="">
      <xdr:nvSpPr>
        <xdr:cNvPr id="26" name="Rectangle: Rounded Corners 25">
          <a:extLst>
            <a:ext uri="{FF2B5EF4-FFF2-40B4-BE49-F238E27FC236}">
              <a16:creationId xmlns:a16="http://schemas.microsoft.com/office/drawing/2014/main" id="{2312E91E-C0E9-4460-9357-3FE456091F08}"/>
            </a:ext>
          </a:extLst>
        </xdr:cNvPr>
        <xdr:cNvSpPr/>
      </xdr:nvSpPr>
      <xdr:spPr>
        <a:xfrm>
          <a:off x="19050" y="19050"/>
          <a:ext cx="1188000" cy="594000"/>
        </a:xfrm>
        <a:prstGeom prst="roundRect">
          <a:avLst>
            <a:gd name="adj" fmla="val 13590"/>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9</xdr:col>
      <xdr:colOff>463550</xdr:colOff>
      <xdr:row>3</xdr:row>
      <xdr:rowOff>101600</xdr:rowOff>
    </xdr:from>
    <xdr:to>
      <xdr:col>12</xdr:col>
      <xdr:colOff>495300</xdr:colOff>
      <xdr:row>11</xdr:row>
      <xdr:rowOff>12700</xdr:rowOff>
    </xdr:to>
    <xdr:sp macro="" textlink="">
      <xdr:nvSpPr>
        <xdr:cNvPr id="33" name="Rectangle: Rounded Corners 32">
          <a:extLst>
            <a:ext uri="{FF2B5EF4-FFF2-40B4-BE49-F238E27FC236}">
              <a16:creationId xmlns:a16="http://schemas.microsoft.com/office/drawing/2014/main" id="{072A625D-8491-458E-8A68-14610F70A744}"/>
            </a:ext>
          </a:extLst>
        </xdr:cNvPr>
        <xdr:cNvSpPr/>
      </xdr:nvSpPr>
      <xdr:spPr>
        <a:xfrm>
          <a:off x="5949950" y="654050"/>
          <a:ext cx="1860550" cy="1384300"/>
        </a:xfrm>
        <a:prstGeom prst="roundRect">
          <a:avLst>
            <a:gd name="adj" fmla="val 5658"/>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3</xdr:col>
      <xdr:colOff>336550</xdr:colOff>
      <xdr:row>3</xdr:row>
      <xdr:rowOff>95250</xdr:rowOff>
    </xdr:from>
    <xdr:to>
      <xdr:col>6</xdr:col>
      <xdr:colOff>368300</xdr:colOff>
      <xdr:row>11</xdr:row>
      <xdr:rowOff>6350</xdr:rowOff>
    </xdr:to>
    <xdr:sp macro="" textlink="">
      <xdr:nvSpPr>
        <xdr:cNvPr id="34" name="Rectangle: Rounded Corners 33">
          <a:extLst>
            <a:ext uri="{FF2B5EF4-FFF2-40B4-BE49-F238E27FC236}">
              <a16:creationId xmlns:a16="http://schemas.microsoft.com/office/drawing/2014/main" id="{2E59575F-6C23-424C-9B75-F47C8BFD84A0}"/>
            </a:ext>
          </a:extLst>
        </xdr:cNvPr>
        <xdr:cNvSpPr/>
      </xdr:nvSpPr>
      <xdr:spPr>
        <a:xfrm>
          <a:off x="2165350" y="647700"/>
          <a:ext cx="1860550" cy="1384300"/>
        </a:xfrm>
        <a:prstGeom prst="roundRect">
          <a:avLst>
            <a:gd name="adj" fmla="val 6575"/>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12</xdr:col>
      <xdr:colOff>527050</xdr:colOff>
      <xdr:row>3</xdr:row>
      <xdr:rowOff>95250</xdr:rowOff>
    </xdr:from>
    <xdr:to>
      <xdr:col>15</xdr:col>
      <xdr:colOff>501650</xdr:colOff>
      <xdr:row>11</xdr:row>
      <xdr:rowOff>6350</xdr:rowOff>
    </xdr:to>
    <xdr:sp macro="" textlink="">
      <xdr:nvSpPr>
        <xdr:cNvPr id="35" name="Rectangle: Rounded Corners 34">
          <a:extLst>
            <a:ext uri="{FF2B5EF4-FFF2-40B4-BE49-F238E27FC236}">
              <a16:creationId xmlns:a16="http://schemas.microsoft.com/office/drawing/2014/main" id="{682D2D8F-0999-49D1-B1C0-EE980DBF05A2}"/>
            </a:ext>
          </a:extLst>
        </xdr:cNvPr>
        <xdr:cNvSpPr/>
      </xdr:nvSpPr>
      <xdr:spPr>
        <a:xfrm>
          <a:off x="7842250" y="647700"/>
          <a:ext cx="1803400" cy="1384300"/>
        </a:xfrm>
        <a:prstGeom prst="roundRect">
          <a:avLst>
            <a:gd name="adj" fmla="val 6117"/>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6</xdr:col>
      <xdr:colOff>400050</xdr:colOff>
      <xdr:row>3</xdr:row>
      <xdr:rowOff>101600</xdr:rowOff>
    </xdr:from>
    <xdr:to>
      <xdr:col>9</xdr:col>
      <xdr:colOff>431800</xdr:colOff>
      <xdr:row>11</xdr:row>
      <xdr:rowOff>12700</xdr:rowOff>
    </xdr:to>
    <xdr:sp macro="" textlink="">
      <xdr:nvSpPr>
        <xdr:cNvPr id="36" name="Rectangle: Rounded Corners 35">
          <a:extLst>
            <a:ext uri="{FF2B5EF4-FFF2-40B4-BE49-F238E27FC236}">
              <a16:creationId xmlns:a16="http://schemas.microsoft.com/office/drawing/2014/main" id="{8FEDFDB4-49AE-4783-A5DC-E1521F24E149}"/>
            </a:ext>
          </a:extLst>
        </xdr:cNvPr>
        <xdr:cNvSpPr/>
      </xdr:nvSpPr>
      <xdr:spPr>
        <a:xfrm>
          <a:off x="4057650" y="654050"/>
          <a:ext cx="1860550" cy="1384300"/>
        </a:xfrm>
        <a:prstGeom prst="roundRect">
          <a:avLst>
            <a:gd name="adj" fmla="val 7034"/>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7</xdr:col>
      <xdr:colOff>196850</xdr:colOff>
      <xdr:row>11</xdr:row>
      <xdr:rowOff>44450</xdr:rowOff>
    </xdr:from>
    <xdr:to>
      <xdr:col>12</xdr:col>
      <xdr:colOff>114300</xdr:colOff>
      <xdr:row>20</xdr:row>
      <xdr:rowOff>171450</xdr:rowOff>
    </xdr:to>
    <xdr:sp macro="" textlink="">
      <xdr:nvSpPr>
        <xdr:cNvPr id="40" name="Rectangle: Rounded Corners 39">
          <a:extLst>
            <a:ext uri="{FF2B5EF4-FFF2-40B4-BE49-F238E27FC236}">
              <a16:creationId xmlns:a16="http://schemas.microsoft.com/office/drawing/2014/main" id="{2016622C-0031-4FD8-B795-B1C7997A7A29}"/>
            </a:ext>
          </a:extLst>
        </xdr:cNvPr>
        <xdr:cNvSpPr/>
      </xdr:nvSpPr>
      <xdr:spPr>
        <a:xfrm>
          <a:off x="4464050" y="2070100"/>
          <a:ext cx="2965450" cy="1784350"/>
        </a:xfrm>
        <a:prstGeom prst="roundRect">
          <a:avLst>
            <a:gd name="adj" fmla="val 7090"/>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3</xdr:col>
      <xdr:colOff>336550</xdr:colOff>
      <xdr:row>11</xdr:row>
      <xdr:rowOff>44450</xdr:rowOff>
    </xdr:from>
    <xdr:to>
      <xdr:col>7</xdr:col>
      <xdr:colOff>166150</xdr:colOff>
      <xdr:row>20</xdr:row>
      <xdr:rowOff>171450</xdr:rowOff>
    </xdr:to>
    <xdr:sp macro="" textlink="">
      <xdr:nvSpPr>
        <xdr:cNvPr id="41" name="Rectangle: Rounded Corners 40">
          <a:extLst>
            <a:ext uri="{FF2B5EF4-FFF2-40B4-BE49-F238E27FC236}">
              <a16:creationId xmlns:a16="http://schemas.microsoft.com/office/drawing/2014/main" id="{A9A15DCB-569C-47C9-8F84-9BA18E4755AD}"/>
            </a:ext>
          </a:extLst>
        </xdr:cNvPr>
        <xdr:cNvSpPr/>
      </xdr:nvSpPr>
      <xdr:spPr>
        <a:xfrm>
          <a:off x="2165350" y="2070100"/>
          <a:ext cx="2268000" cy="1784350"/>
        </a:xfrm>
        <a:prstGeom prst="roundRect">
          <a:avLst>
            <a:gd name="adj" fmla="val 6734"/>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0</xdr:col>
      <xdr:colOff>19050</xdr:colOff>
      <xdr:row>3</xdr:row>
      <xdr:rowOff>101600</xdr:rowOff>
    </xdr:from>
    <xdr:to>
      <xdr:col>3</xdr:col>
      <xdr:colOff>311150</xdr:colOff>
      <xdr:row>20</xdr:row>
      <xdr:rowOff>165100</xdr:rowOff>
    </xdr:to>
    <xdr:sp macro="" textlink="">
      <xdr:nvSpPr>
        <xdr:cNvPr id="43" name="Rectangle: Rounded Corners 42">
          <a:extLst>
            <a:ext uri="{FF2B5EF4-FFF2-40B4-BE49-F238E27FC236}">
              <a16:creationId xmlns:a16="http://schemas.microsoft.com/office/drawing/2014/main" id="{FC9CB9FC-F38A-4886-A898-AF4A482D0824}"/>
            </a:ext>
          </a:extLst>
        </xdr:cNvPr>
        <xdr:cNvSpPr/>
      </xdr:nvSpPr>
      <xdr:spPr>
        <a:xfrm>
          <a:off x="19050" y="654050"/>
          <a:ext cx="2120900" cy="3194050"/>
        </a:xfrm>
        <a:prstGeom prst="roundRect">
          <a:avLst>
            <a:gd name="adj" fmla="val 8894"/>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5</xdr:col>
      <xdr:colOff>165100</xdr:colOff>
      <xdr:row>1</xdr:row>
      <xdr:rowOff>177800</xdr:rowOff>
    </xdr:from>
    <xdr:to>
      <xdr:col>7</xdr:col>
      <xdr:colOff>127000</xdr:colOff>
      <xdr:row>2</xdr:row>
      <xdr:rowOff>177800</xdr:rowOff>
    </xdr:to>
    <xdr:sp macro="" textlink="">
      <xdr:nvSpPr>
        <xdr:cNvPr id="3" name="TextBox 2">
          <a:extLst>
            <a:ext uri="{FF2B5EF4-FFF2-40B4-BE49-F238E27FC236}">
              <a16:creationId xmlns:a16="http://schemas.microsoft.com/office/drawing/2014/main" id="{EA0545E6-B9FC-40B1-9149-A1EFEEBD6F97}"/>
            </a:ext>
          </a:extLst>
        </xdr:cNvPr>
        <xdr:cNvSpPr txBox="1"/>
      </xdr:nvSpPr>
      <xdr:spPr>
        <a:xfrm>
          <a:off x="3213100" y="361950"/>
          <a:ext cx="11811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616161"/>
              </a:solidFill>
            </a:rPr>
            <a:t>Total Employees</a:t>
          </a:r>
        </a:p>
      </xdr:txBody>
    </xdr:sp>
    <xdr:clientData/>
  </xdr:twoCellAnchor>
  <xdr:twoCellAnchor>
    <xdr:from>
      <xdr:col>5</xdr:col>
      <xdr:colOff>273050</xdr:colOff>
      <xdr:row>0</xdr:row>
      <xdr:rowOff>50800</xdr:rowOff>
    </xdr:from>
    <xdr:to>
      <xdr:col>6</xdr:col>
      <xdr:colOff>165100</xdr:colOff>
      <xdr:row>2</xdr:row>
      <xdr:rowOff>44450</xdr:rowOff>
    </xdr:to>
    <xdr:sp macro="" textlink="'Pivot Analysis'!A5">
      <xdr:nvSpPr>
        <xdr:cNvPr id="4" name="TextBox 3">
          <a:extLst>
            <a:ext uri="{FF2B5EF4-FFF2-40B4-BE49-F238E27FC236}">
              <a16:creationId xmlns:a16="http://schemas.microsoft.com/office/drawing/2014/main" id="{8011795E-5D05-4943-A39A-8293A6630ABF}"/>
            </a:ext>
          </a:extLst>
        </xdr:cNvPr>
        <xdr:cNvSpPr txBox="1"/>
      </xdr:nvSpPr>
      <xdr:spPr>
        <a:xfrm>
          <a:off x="3321050" y="50800"/>
          <a:ext cx="501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8B329AF-0474-4083-99FB-D5A0899F9A1A}" type="TxLink">
            <a:rPr lang="en-US" sz="1800" b="0" i="0" u="none" strike="noStrike">
              <a:solidFill>
                <a:srgbClr val="37474F"/>
              </a:solidFill>
              <a:latin typeface="Calibri"/>
              <a:ea typeface="Calibri"/>
              <a:cs typeface="Calibri"/>
            </a:rPr>
            <a:pPr algn="ctr"/>
            <a:t>1470</a:t>
          </a:fld>
          <a:endParaRPr lang="en-PK" sz="1800">
            <a:solidFill>
              <a:srgbClr val="37474F"/>
            </a:solidFill>
          </a:endParaRPr>
        </a:p>
      </xdr:txBody>
    </xdr:sp>
    <xdr:clientData/>
  </xdr:twoCellAnchor>
  <xdr:twoCellAnchor editAs="oneCell">
    <xdr:from>
      <xdr:col>6</xdr:col>
      <xdr:colOff>273050</xdr:colOff>
      <xdr:row>0</xdr:row>
      <xdr:rowOff>120650</xdr:rowOff>
    </xdr:from>
    <xdr:to>
      <xdr:col>6</xdr:col>
      <xdr:colOff>507050</xdr:colOff>
      <xdr:row>1</xdr:row>
      <xdr:rowOff>170500</xdr:rowOff>
    </xdr:to>
    <xdr:pic>
      <xdr:nvPicPr>
        <xdr:cNvPr id="6" name="Graphic 5" descr="Male profile with solid fill">
          <a:extLst>
            <a:ext uri="{FF2B5EF4-FFF2-40B4-BE49-F238E27FC236}">
              <a16:creationId xmlns:a16="http://schemas.microsoft.com/office/drawing/2014/main" id="{F19B0F2A-5139-4567-BC70-5D57B079C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3930650" y="120650"/>
          <a:ext cx="234000" cy="234000"/>
        </a:xfrm>
        <a:prstGeom prst="rect">
          <a:avLst/>
        </a:prstGeom>
      </xdr:spPr>
    </xdr:pic>
    <xdr:clientData/>
  </xdr:twoCellAnchor>
  <xdr:twoCellAnchor>
    <xdr:from>
      <xdr:col>11</xdr:col>
      <xdr:colOff>406216</xdr:colOff>
      <xdr:row>0</xdr:row>
      <xdr:rowOff>25400</xdr:rowOff>
    </xdr:from>
    <xdr:to>
      <xdr:col>13</xdr:col>
      <xdr:colOff>483016</xdr:colOff>
      <xdr:row>3</xdr:row>
      <xdr:rowOff>66950</xdr:rowOff>
    </xdr:to>
    <xdr:sp macro="" textlink="">
      <xdr:nvSpPr>
        <xdr:cNvPr id="24" name="Rectangle: Rounded Corners 23">
          <a:extLst>
            <a:ext uri="{FF2B5EF4-FFF2-40B4-BE49-F238E27FC236}">
              <a16:creationId xmlns:a16="http://schemas.microsoft.com/office/drawing/2014/main" id="{390B8367-E47F-4CC8-900B-9BB1AC56798F}"/>
            </a:ext>
          </a:extLst>
        </xdr:cNvPr>
        <xdr:cNvSpPr/>
      </xdr:nvSpPr>
      <xdr:spPr>
        <a:xfrm>
          <a:off x="7111816" y="25400"/>
          <a:ext cx="1296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11</xdr:col>
      <xdr:colOff>470345</xdr:colOff>
      <xdr:row>2</xdr:row>
      <xdr:rowOff>0</xdr:rowOff>
    </xdr:from>
    <xdr:to>
      <xdr:col>13</xdr:col>
      <xdr:colOff>444056</xdr:colOff>
      <xdr:row>3</xdr:row>
      <xdr:rowOff>0</xdr:rowOff>
    </xdr:to>
    <xdr:sp macro="" textlink="">
      <xdr:nvSpPr>
        <xdr:cNvPr id="25" name="TextBox 24">
          <a:extLst>
            <a:ext uri="{FF2B5EF4-FFF2-40B4-BE49-F238E27FC236}">
              <a16:creationId xmlns:a16="http://schemas.microsoft.com/office/drawing/2014/main" id="{7EFA2E7E-EB47-448D-B542-37E1E6FC1F3A}"/>
            </a:ext>
          </a:extLst>
        </xdr:cNvPr>
        <xdr:cNvSpPr txBox="1"/>
      </xdr:nvSpPr>
      <xdr:spPr>
        <a:xfrm>
          <a:off x="7175945" y="368300"/>
          <a:ext cx="1192911"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100">
              <a:solidFill>
                <a:srgbClr val="555555"/>
              </a:solidFill>
              <a:latin typeface="+mn-lt"/>
              <a:ea typeface="+mn-ea"/>
              <a:cs typeface="+mn-cs"/>
            </a:rPr>
            <a:t>Avg </a:t>
          </a:r>
          <a:r>
            <a:rPr lang="en-US" sz="1100">
              <a:solidFill>
                <a:srgbClr val="616161"/>
              </a:solidFill>
              <a:latin typeface="+mn-lt"/>
              <a:ea typeface="+mn-ea"/>
              <a:cs typeface="+mn-cs"/>
            </a:rPr>
            <a:t>Monthly</a:t>
          </a:r>
          <a:r>
            <a:rPr lang="en-US" sz="1100">
              <a:solidFill>
                <a:srgbClr val="555555"/>
              </a:solidFill>
              <a:latin typeface="+mn-lt"/>
              <a:ea typeface="+mn-ea"/>
              <a:cs typeface="+mn-cs"/>
            </a:rPr>
            <a:t> </a:t>
          </a:r>
          <a:r>
            <a:rPr lang="en-US" sz="1100">
              <a:solidFill>
                <a:srgbClr val="616161"/>
              </a:solidFill>
              <a:latin typeface="+mn-lt"/>
              <a:ea typeface="+mn-ea"/>
              <a:cs typeface="+mn-cs"/>
            </a:rPr>
            <a:t>Income</a:t>
          </a:r>
        </a:p>
      </xdr:txBody>
    </xdr:sp>
    <xdr:clientData/>
  </xdr:twoCellAnchor>
  <xdr:twoCellAnchor>
    <xdr:from>
      <xdr:col>11</xdr:col>
      <xdr:colOff>581692</xdr:colOff>
      <xdr:row>0</xdr:row>
      <xdr:rowOff>57150</xdr:rowOff>
    </xdr:from>
    <xdr:to>
      <xdr:col>12</xdr:col>
      <xdr:colOff>478759</xdr:colOff>
      <xdr:row>2</xdr:row>
      <xdr:rowOff>50800</xdr:rowOff>
    </xdr:to>
    <xdr:sp macro="" textlink="'Pivot Analysis'!A14">
      <xdr:nvSpPr>
        <xdr:cNvPr id="27" name="TextBox 26">
          <a:extLst>
            <a:ext uri="{FF2B5EF4-FFF2-40B4-BE49-F238E27FC236}">
              <a16:creationId xmlns:a16="http://schemas.microsoft.com/office/drawing/2014/main" id="{4D67D2A0-DD79-4927-81A7-1F75B45569C3}"/>
            </a:ext>
          </a:extLst>
        </xdr:cNvPr>
        <xdr:cNvSpPr txBox="1"/>
      </xdr:nvSpPr>
      <xdr:spPr>
        <a:xfrm>
          <a:off x="7287292" y="57150"/>
          <a:ext cx="50666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EA661A82-397C-431B-9EDF-952ADE5A6343}" type="TxLink">
            <a:rPr lang="en-US" sz="1800" b="0" i="0" u="none" strike="noStrike">
              <a:solidFill>
                <a:srgbClr val="37474F"/>
              </a:solidFill>
              <a:latin typeface="Calibri"/>
              <a:ea typeface="Calibri"/>
              <a:cs typeface="Calibri"/>
            </a:rPr>
            <a:pPr marL="0" indent="0" algn="ctr"/>
            <a:t>6503</a:t>
          </a:fld>
          <a:endParaRPr lang="en-PK" sz="1800" b="0" i="0" u="none" strike="noStrike">
            <a:solidFill>
              <a:srgbClr val="37474F"/>
            </a:solidFill>
            <a:latin typeface="Calibri"/>
            <a:ea typeface="Calibri"/>
            <a:cs typeface="Calibri"/>
          </a:endParaRPr>
        </a:p>
      </xdr:txBody>
    </xdr:sp>
    <xdr:clientData/>
  </xdr:twoCellAnchor>
  <xdr:twoCellAnchor editAs="oneCell">
    <xdr:from>
      <xdr:col>12</xdr:col>
      <xdr:colOff>601377</xdr:colOff>
      <xdr:row>0</xdr:row>
      <xdr:rowOff>112427</xdr:rowOff>
    </xdr:from>
    <xdr:to>
      <xdr:col>13</xdr:col>
      <xdr:colOff>243777</xdr:colOff>
      <xdr:row>1</xdr:row>
      <xdr:rowOff>180277</xdr:rowOff>
    </xdr:to>
    <xdr:pic>
      <xdr:nvPicPr>
        <xdr:cNvPr id="28" name="Graphic 27" descr="Money with solid fill">
          <a:extLst>
            <a:ext uri="{FF2B5EF4-FFF2-40B4-BE49-F238E27FC236}">
              <a16:creationId xmlns:a16="http://schemas.microsoft.com/office/drawing/2014/main" id="{C4698FBE-D379-464F-831E-EE90AFD8A5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7916577" y="112427"/>
          <a:ext cx="252000" cy="252000"/>
        </a:xfrm>
        <a:prstGeom prst="rect">
          <a:avLst/>
        </a:prstGeom>
      </xdr:spPr>
    </xdr:pic>
    <xdr:clientData/>
  </xdr:twoCellAnchor>
  <xdr:twoCellAnchor>
    <xdr:from>
      <xdr:col>13</xdr:col>
      <xdr:colOff>501650</xdr:colOff>
      <xdr:row>0</xdr:row>
      <xdr:rowOff>25400</xdr:rowOff>
    </xdr:from>
    <xdr:to>
      <xdr:col>15</xdr:col>
      <xdr:colOff>578450</xdr:colOff>
      <xdr:row>3</xdr:row>
      <xdr:rowOff>66950</xdr:rowOff>
    </xdr:to>
    <xdr:sp macro="" textlink="">
      <xdr:nvSpPr>
        <xdr:cNvPr id="29" name="Rectangle: Rounded Corners 28">
          <a:extLst>
            <a:ext uri="{FF2B5EF4-FFF2-40B4-BE49-F238E27FC236}">
              <a16:creationId xmlns:a16="http://schemas.microsoft.com/office/drawing/2014/main" id="{C77BFE21-B63B-4A4E-8249-7743BE63AD71}"/>
            </a:ext>
          </a:extLst>
        </xdr:cNvPr>
        <xdr:cNvSpPr/>
      </xdr:nvSpPr>
      <xdr:spPr>
        <a:xfrm>
          <a:off x="8426450" y="25400"/>
          <a:ext cx="1296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13</xdr:col>
      <xdr:colOff>565150</xdr:colOff>
      <xdr:row>2</xdr:row>
      <xdr:rowOff>0</xdr:rowOff>
    </xdr:from>
    <xdr:to>
      <xdr:col>15</xdr:col>
      <xdr:colOff>527050</xdr:colOff>
      <xdr:row>3</xdr:row>
      <xdr:rowOff>0</xdr:rowOff>
    </xdr:to>
    <xdr:sp macro="" textlink="">
      <xdr:nvSpPr>
        <xdr:cNvPr id="30" name="TextBox 29">
          <a:extLst>
            <a:ext uri="{FF2B5EF4-FFF2-40B4-BE49-F238E27FC236}">
              <a16:creationId xmlns:a16="http://schemas.microsoft.com/office/drawing/2014/main" id="{302B30AF-F6C0-4AD9-8B10-1C4E780DB3AD}"/>
            </a:ext>
          </a:extLst>
        </xdr:cNvPr>
        <xdr:cNvSpPr txBox="1"/>
      </xdr:nvSpPr>
      <xdr:spPr>
        <a:xfrm>
          <a:off x="8489950" y="368300"/>
          <a:ext cx="11811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100">
              <a:solidFill>
                <a:srgbClr val="616161"/>
              </a:solidFill>
              <a:latin typeface="+mn-lt"/>
              <a:ea typeface="+mn-ea"/>
              <a:cs typeface="+mn-cs"/>
            </a:rPr>
            <a:t>Average</a:t>
          </a:r>
          <a:r>
            <a:rPr lang="en-US" sz="1100">
              <a:solidFill>
                <a:srgbClr val="555555"/>
              </a:solidFill>
              <a:latin typeface="+mn-lt"/>
              <a:ea typeface="+mn-ea"/>
              <a:cs typeface="+mn-cs"/>
            </a:rPr>
            <a:t> </a:t>
          </a:r>
          <a:r>
            <a:rPr lang="en-US" sz="1100">
              <a:solidFill>
                <a:srgbClr val="616161"/>
              </a:solidFill>
              <a:latin typeface="+mn-lt"/>
              <a:ea typeface="+mn-ea"/>
              <a:cs typeface="+mn-cs"/>
            </a:rPr>
            <a:t>Tenure</a:t>
          </a:r>
        </a:p>
      </xdr:txBody>
    </xdr:sp>
    <xdr:clientData/>
  </xdr:twoCellAnchor>
  <xdr:twoCellAnchor>
    <xdr:from>
      <xdr:col>14</xdr:col>
      <xdr:colOff>63500</xdr:colOff>
      <xdr:row>0</xdr:row>
      <xdr:rowOff>57150</xdr:rowOff>
    </xdr:from>
    <xdr:to>
      <xdr:col>14</xdr:col>
      <xdr:colOff>565150</xdr:colOff>
      <xdr:row>2</xdr:row>
      <xdr:rowOff>50800</xdr:rowOff>
    </xdr:to>
    <xdr:sp macro="" textlink="'Pivot Analysis'!A17">
      <xdr:nvSpPr>
        <xdr:cNvPr id="31" name="TextBox 30">
          <a:extLst>
            <a:ext uri="{FF2B5EF4-FFF2-40B4-BE49-F238E27FC236}">
              <a16:creationId xmlns:a16="http://schemas.microsoft.com/office/drawing/2014/main" id="{D08FA2B9-CDCE-4C34-91C3-AE91B564894A}"/>
            </a:ext>
          </a:extLst>
        </xdr:cNvPr>
        <xdr:cNvSpPr txBox="1"/>
      </xdr:nvSpPr>
      <xdr:spPr>
        <a:xfrm>
          <a:off x="8597900" y="57150"/>
          <a:ext cx="501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B3742585-3C39-4713-BBFC-19CB676D675F}" type="TxLink">
            <a:rPr lang="en-US" sz="1800" b="0" i="0" u="none" strike="noStrike">
              <a:solidFill>
                <a:srgbClr val="37474F"/>
              </a:solidFill>
              <a:latin typeface="Calibri"/>
              <a:ea typeface="Calibri"/>
              <a:cs typeface="Calibri"/>
            </a:rPr>
            <a:pPr marL="0" indent="0" algn="ctr"/>
            <a:t>7</a:t>
          </a:fld>
          <a:endParaRPr lang="en-PK" sz="1800" b="0" i="0" u="none" strike="noStrike">
            <a:solidFill>
              <a:srgbClr val="37474F"/>
            </a:solidFill>
            <a:latin typeface="Calibri"/>
            <a:ea typeface="Calibri"/>
            <a:cs typeface="Calibri"/>
          </a:endParaRPr>
        </a:p>
      </xdr:txBody>
    </xdr:sp>
    <xdr:clientData/>
  </xdr:twoCellAnchor>
  <xdr:twoCellAnchor editAs="oneCell">
    <xdr:from>
      <xdr:col>14</xdr:col>
      <xdr:colOff>539750</xdr:colOff>
      <xdr:row>0</xdr:row>
      <xdr:rowOff>88900</xdr:rowOff>
    </xdr:from>
    <xdr:to>
      <xdr:col>15</xdr:col>
      <xdr:colOff>254150</xdr:colOff>
      <xdr:row>2</xdr:row>
      <xdr:rowOff>44600</xdr:rowOff>
    </xdr:to>
    <xdr:pic>
      <xdr:nvPicPr>
        <xdr:cNvPr id="32" name="Graphic 31">
          <a:extLst>
            <a:ext uri="{FF2B5EF4-FFF2-40B4-BE49-F238E27FC236}">
              <a16:creationId xmlns:a16="http://schemas.microsoft.com/office/drawing/2014/main" id="{4E2AB29F-D395-4C53-AE04-4BE5812882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9074150" y="88900"/>
          <a:ext cx="324000" cy="324000"/>
        </a:xfrm>
        <a:prstGeom prst="rect">
          <a:avLst/>
        </a:prstGeom>
      </xdr:spPr>
    </xdr:pic>
    <xdr:clientData/>
  </xdr:twoCellAnchor>
  <xdr:twoCellAnchor>
    <xdr:from>
      <xdr:col>7</xdr:col>
      <xdr:colOff>203200</xdr:colOff>
      <xdr:row>0</xdr:row>
      <xdr:rowOff>25400</xdr:rowOff>
    </xdr:from>
    <xdr:to>
      <xdr:col>9</xdr:col>
      <xdr:colOff>280000</xdr:colOff>
      <xdr:row>3</xdr:row>
      <xdr:rowOff>66950</xdr:rowOff>
    </xdr:to>
    <xdr:sp macro="" textlink="">
      <xdr:nvSpPr>
        <xdr:cNvPr id="46" name="Rectangle: Rounded Corners 45">
          <a:extLst>
            <a:ext uri="{FF2B5EF4-FFF2-40B4-BE49-F238E27FC236}">
              <a16:creationId xmlns:a16="http://schemas.microsoft.com/office/drawing/2014/main" id="{48C3835B-EDD4-4DF3-A1EB-0459D3EFCCEC}"/>
            </a:ext>
          </a:extLst>
        </xdr:cNvPr>
        <xdr:cNvSpPr/>
      </xdr:nvSpPr>
      <xdr:spPr>
        <a:xfrm>
          <a:off x="4470400" y="25400"/>
          <a:ext cx="1296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7</xdr:col>
      <xdr:colOff>266700</xdr:colOff>
      <xdr:row>2</xdr:row>
      <xdr:rowOff>0</xdr:rowOff>
    </xdr:from>
    <xdr:to>
      <xdr:col>9</xdr:col>
      <xdr:colOff>228600</xdr:colOff>
      <xdr:row>3</xdr:row>
      <xdr:rowOff>0</xdr:rowOff>
    </xdr:to>
    <xdr:sp macro="" textlink="">
      <xdr:nvSpPr>
        <xdr:cNvPr id="47" name="TextBox 46">
          <a:extLst>
            <a:ext uri="{FF2B5EF4-FFF2-40B4-BE49-F238E27FC236}">
              <a16:creationId xmlns:a16="http://schemas.microsoft.com/office/drawing/2014/main" id="{C1A9EB10-B5D9-4DBC-8E0A-3A820ED2E064}"/>
            </a:ext>
          </a:extLst>
        </xdr:cNvPr>
        <xdr:cNvSpPr txBox="1"/>
      </xdr:nvSpPr>
      <xdr:spPr>
        <a:xfrm>
          <a:off x="4533900" y="368300"/>
          <a:ext cx="11811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100">
              <a:solidFill>
                <a:srgbClr val="555555"/>
              </a:solidFill>
              <a:latin typeface="+mn-lt"/>
              <a:ea typeface="+mn-ea"/>
              <a:cs typeface="+mn-cs"/>
            </a:rPr>
            <a:t>Total </a:t>
          </a:r>
          <a:r>
            <a:rPr lang="en-US" sz="1100">
              <a:solidFill>
                <a:srgbClr val="616161"/>
              </a:solidFill>
              <a:latin typeface="+mn-lt"/>
              <a:ea typeface="+mn-ea"/>
              <a:cs typeface="+mn-cs"/>
            </a:rPr>
            <a:t>Attrition</a:t>
          </a:r>
        </a:p>
      </xdr:txBody>
    </xdr:sp>
    <xdr:clientData/>
  </xdr:twoCellAnchor>
  <xdr:twoCellAnchor>
    <xdr:from>
      <xdr:col>7</xdr:col>
      <xdr:colOff>374650</xdr:colOff>
      <xdr:row>0</xdr:row>
      <xdr:rowOff>57150</xdr:rowOff>
    </xdr:from>
    <xdr:to>
      <xdr:col>8</xdr:col>
      <xdr:colOff>266700</xdr:colOff>
      <xdr:row>2</xdr:row>
      <xdr:rowOff>50800</xdr:rowOff>
    </xdr:to>
    <xdr:sp macro="" textlink="'Pivot Analysis'!A21">
      <xdr:nvSpPr>
        <xdr:cNvPr id="48" name="TextBox 47">
          <a:extLst>
            <a:ext uri="{FF2B5EF4-FFF2-40B4-BE49-F238E27FC236}">
              <a16:creationId xmlns:a16="http://schemas.microsoft.com/office/drawing/2014/main" id="{3643BD9C-8F3D-4BC1-904C-0BE4DA83321D}"/>
            </a:ext>
          </a:extLst>
        </xdr:cNvPr>
        <xdr:cNvSpPr txBox="1"/>
      </xdr:nvSpPr>
      <xdr:spPr>
        <a:xfrm>
          <a:off x="4641850" y="57150"/>
          <a:ext cx="501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8A67B620-B1FA-446B-B37B-86C1BFE1ECDC}" type="TxLink">
            <a:rPr lang="en-US" sz="1800" b="0" i="0" u="none" strike="noStrike">
              <a:solidFill>
                <a:srgbClr val="37474F"/>
              </a:solidFill>
              <a:latin typeface="Calibri"/>
              <a:ea typeface="Calibri"/>
              <a:cs typeface="Calibri"/>
            </a:rPr>
            <a:pPr marL="0" indent="0" algn="ctr"/>
            <a:t>237</a:t>
          </a:fld>
          <a:endParaRPr lang="en-PK" sz="1800" b="0" i="0" u="none" strike="noStrike">
            <a:solidFill>
              <a:srgbClr val="37474F"/>
            </a:solidFill>
            <a:latin typeface="Calibri"/>
            <a:ea typeface="Calibri"/>
            <a:cs typeface="Calibri"/>
          </a:endParaRPr>
        </a:p>
      </xdr:txBody>
    </xdr:sp>
    <xdr:clientData/>
  </xdr:twoCellAnchor>
  <xdr:twoCellAnchor editAs="oneCell">
    <xdr:from>
      <xdr:col>8</xdr:col>
      <xdr:colOff>349251</xdr:colOff>
      <xdr:row>0</xdr:row>
      <xdr:rowOff>152401</xdr:rowOff>
    </xdr:from>
    <xdr:to>
      <xdr:col>8</xdr:col>
      <xdr:colOff>594328</xdr:colOff>
      <xdr:row>2</xdr:row>
      <xdr:rowOff>101</xdr:rowOff>
    </xdr:to>
    <xdr:pic>
      <xdr:nvPicPr>
        <xdr:cNvPr id="49" name="Graphic 48" descr="Bar graph with downward trend with solid fill">
          <a:extLst>
            <a:ext uri="{FF2B5EF4-FFF2-40B4-BE49-F238E27FC236}">
              <a16:creationId xmlns:a16="http://schemas.microsoft.com/office/drawing/2014/main" id="{955618EA-3E32-4134-8609-DBFB4612A65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5226051" y="152401"/>
          <a:ext cx="245077" cy="216000"/>
        </a:xfrm>
        <a:prstGeom prst="rect">
          <a:avLst/>
        </a:prstGeom>
      </xdr:spPr>
    </xdr:pic>
    <xdr:clientData/>
  </xdr:twoCellAnchor>
  <xdr:twoCellAnchor>
    <xdr:from>
      <xdr:col>9</xdr:col>
      <xdr:colOff>304800</xdr:colOff>
      <xdr:row>0</xdr:row>
      <xdr:rowOff>25400</xdr:rowOff>
    </xdr:from>
    <xdr:to>
      <xdr:col>11</xdr:col>
      <xdr:colOff>381600</xdr:colOff>
      <xdr:row>3</xdr:row>
      <xdr:rowOff>66950</xdr:rowOff>
    </xdr:to>
    <xdr:sp macro="" textlink="">
      <xdr:nvSpPr>
        <xdr:cNvPr id="50" name="Rectangle: Rounded Corners 49">
          <a:extLst>
            <a:ext uri="{FF2B5EF4-FFF2-40B4-BE49-F238E27FC236}">
              <a16:creationId xmlns:a16="http://schemas.microsoft.com/office/drawing/2014/main" id="{802C9C7C-8068-49E4-A3CB-DA55B89F796D}"/>
            </a:ext>
          </a:extLst>
        </xdr:cNvPr>
        <xdr:cNvSpPr/>
      </xdr:nvSpPr>
      <xdr:spPr>
        <a:xfrm>
          <a:off x="5791200" y="25400"/>
          <a:ext cx="1296000" cy="594000"/>
        </a:xfrm>
        <a:prstGeom prst="roundRect">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9</xdr:col>
      <xdr:colOff>368300</xdr:colOff>
      <xdr:row>2</xdr:row>
      <xdr:rowOff>0</xdr:rowOff>
    </xdr:from>
    <xdr:to>
      <xdr:col>11</xdr:col>
      <xdr:colOff>330200</xdr:colOff>
      <xdr:row>3</xdr:row>
      <xdr:rowOff>0</xdr:rowOff>
    </xdr:to>
    <xdr:sp macro="" textlink="">
      <xdr:nvSpPr>
        <xdr:cNvPr id="51" name="TextBox 50">
          <a:extLst>
            <a:ext uri="{FF2B5EF4-FFF2-40B4-BE49-F238E27FC236}">
              <a16:creationId xmlns:a16="http://schemas.microsoft.com/office/drawing/2014/main" id="{DDA6448F-1CA1-4745-974B-8268B9F674FE}"/>
            </a:ext>
          </a:extLst>
        </xdr:cNvPr>
        <xdr:cNvSpPr txBox="1"/>
      </xdr:nvSpPr>
      <xdr:spPr>
        <a:xfrm>
          <a:off x="5854700" y="368300"/>
          <a:ext cx="11811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US" sz="1100">
              <a:solidFill>
                <a:srgbClr val="616161"/>
              </a:solidFill>
              <a:latin typeface="+mn-lt"/>
              <a:ea typeface="+mn-ea"/>
              <a:cs typeface="+mn-cs"/>
            </a:rPr>
            <a:t>Attrition Rate %</a:t>
          </a:r>
        </a:p>
      </xdr:txBody>
    </xdr:sp>
    <xdr:clientData/>
  </xdr:twoCellAnchor>
  <xdr:twoCellAnchor>
    <xdr:from>
      <xdr:col>9</xdr:col>
      <xdr:colOff>476250</xdr:colOff>
      <xdr:row>0</xdr:row>
      <xdr:rowOff>57150</xdr:rowOff>
    </xdr:from>
    <xdr:to>
      <xdr:col>10</xdr:col>
      <xdr:colOff>368300</xdr:colOff>
      <xdr:row>2</xdr:row>
      <xdr:rowOff>50800</xdr:rowOff>
    </xdr:to>
    <xdr:sp macro="" textlink="'Pivot Analysis'!A10">
      <xdr:nvSpPr>
        <xdr:cNvPr id="52" name="TextBox 51">
          <a:extLst>
            <a:ext uri="{FF2B5EF4-FFF2-40B4-BE49-F238E27FC236}">
              <a16:creationId xmlns:a16="http://schemas.microsoft.com/office/drawing/2014/main" id="{87C4FCC7-AA50-479C-9F4F-B63981AF7B92}"/>
            </a:ext>
          </a:extLst>
        </xdr:cNvPr>
        <xdr:cNvSpPr txBox="1"/>
      </xdr:nvSpPr>
      <xdr:spPr>
        <a:xfrm>
          <a:off x="5962650" y="57150"/>
          <a:ext cx="501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2A942550-53B8-4CA2-BABB-F0AFF25DA4EE}" type="TxLink">
            <a:rPr lang="en-US" sz="1800" b="0" i="0" u="none" strike="noStrike">
              <a:solidFill>
                <a:srgbClr val="37474F"/>
              </a:solidFill>
              <a:latin typeface="Calibri"/>
              <a:ea typeface="Calibri"/>
              <a:cs typeface="Calibri"/>
            </a:rPr>
            <a:pPr marL="0" indent="0" algn="ctr"/>
            <a:t>16%</a:t>
          </a:fld>
          <a:endParaRPr lang="en-PK" sz="1800" b="0" i="0" u="none" strike="noStrike">
            <a:solidFill>
              <a:srgbClr val="37474F"/>
            </a:solidFill>
            <a:latin typeface="Calibri"/>
            <a:ea typeface="Calibri"/>
            <a:cs typeface="Calibri"/>
          </a:endParaRPr>
        </a:p>
      </xdr:txBody>
    </xdr:sp>
    <xdr:clientData/>
  </xdr:twoCellAnchor>
  <xdr:twoCellAnchor>
    <xdr:from>
      <xdr:col>3</xdr:col>
      <xdr:colOff>400050</xdr:colOff>
      <xdr:row>9</xdr:row>
      <xdr:rowOff>152400</xdr:rowOff>
    </xdr:from>
    <xdr:to>
      <xdr:col>6</xdr:col>
      <xdr:colOff>298450</xdr:colOff>
      <xdr:row>10</xdr:row>
      <xdr:rowOff>165100</xdr:rowOff>
    </xdr:to>
    <xdr:sp macro="" textlink="">
      <xdr:nvSpPr>
        <xdr:cNvPr id="42" name="TextBox 41">
          <a:extLst>
            <a:ext uri="{FF2B5EF4-FFF2-40B4-BE49-F238E27FC236}">
              <a16:creationId xmlns:a16="http://schemas.microsoft.com/office/drawing/2014/main" id="{C7490B2F-11C3-4312-8399-EB5F963F212F}"/>
            </a:ext>
          </a:extLst>
        </xdr:cNvPr>
        <xdr:cNvSpPr txBox="1"/>
      </xdr:nvSpPr>
      <xdr:spPr>
        <a:xfrm>
          <a:off x="2228850" y="1809750"/>
          <a:ext cx="17272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Attrition</a:t>
          </a:r>
          <a:r>
            <a:rPr lang="en-US" sz="1100" baseline="0">
              <a:solidFill>
                <a:srgbClr val="37474F"/>
              </a:solidFill>
            </a:rPr>
            <a:t> by Overtime</a:t>
          </a:r>
          <a:endParaRPr lang="en-US" sz="1100">
            <a:solidFill>
              <a:srgbClr val="37474F"/>
            </a:solidFill>
          </a:endParaRPr>
        </a:p>
      </xdr:txBody>
    </xdr:sp>
    <xdr:clientData/>
  </xdr:twoCellAnchor>
  <xdr:twoCellAnchor>
    <xdr:from>
      <xdr:col>6</xdr:col>
      <xdr:colOff>484801</xdr:colOff>
      <xdr:row>9</xdr:row>
      <xdr:rowOff>158750</xdr:rowOff>
    </xdr:from>
    <xdr:to>
      <xdr:col>9</xdr:col>
      <xdr:colOff>366100</xdr:colOff>
      <xdr:row>10</xdr:row>
      <xdr:rowOff>171450</xdr:rowOff>
    </xdr:to>
    <xdr:sp macro="" textlink="">
      <xdr:nvSpPr>
        <xdr:cNvPr id="54" name="TextBox 53">
          <a:extLst>
            <a:ext uri="{FF2B5EF4-FFF2-40B4-BE49-F238E27FC236}">
              <a16:creationId xmlns:a16="http://schemas.microsoft.com/office/drawing/2014/main" id="{CFF48F43-C52C-4C16-BA6F-0362D2C477DE}"/>
            </a:ext>
          </a:extLst>
        </xdr:cNvPr>
        <xdr:cNvSpPr txBox="1"/>
      </xdr:nvSpPr>
      <xdr:spPr>
        <a:xfrm>
          <a:off x="4142401" y="1816100"/>
          <a:ext cx="1710099"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Attrition</a:t>
          </a:r>
          <a:r>
            <a:rPr lang="en-US" sz="1100" baseline="0">
              <a:solidFill>
                <a:srgbClr val="37474F"/>
              </a:solidFill>
            </a:rPr>
            <a:t> by </a:t>
          </a:r>
          <a:r>
            <a:rPr lang="en-US" sz="1100">
              <a:solidFill>
                <a:srgbClr val="37474F"/>
              </a:solidFill>
              <a:latin typeface="+mn-lt"/>
              <a:ea typeface="+mn-ea"/>
              <a:cs typeface="+mn-cs"/>
            </a:rPr>
            <a:t>Income</a:t>
          </a:r>
          <a:r>
            <a:rPr lang="en-US" sz="1100" baseline="0">
              <a:solidFill>
                <a:srgbClr val="37474F"/>
              </a:solidFill>
            </a:rPr>
            <a:t> Band</a:t>
          </a:r>
        </a:p>
      </xdr:txBody>
    </xdr:sp>
    <xdr:clientData/>
  </xdr:twoCellAnchor>
  <xdr:twoCellAnchor>
    <xdr:from>
      <xdr:col>9</xdr:col>
      <xdr:colOff>520700</xdr:colOff>
      <xdr:row>9</xdr:row>
      <xdr:rowOff>165100</xdr:rowOff>
    </xdr:from>
    <xdr:to>
      <xdr:col>12</xdr:col>
      <xdr:colOff>419100</xdr:colOff>
      <xdr:row>10</xdr:row>
      <xdr:rowOff>177800</xdr:rowOff>
    </xdr:to>
    <xdr:sp macro="" textlink="">
      <xdr:nvSpPr>
        <xdr:cNvPr id="57" name="TextBox 56">
          <a:extLst>
            <a:ext uri="{FF2B5EF4-FFF2-40B4-BE49-F238E27FC236}">
              <a16:creationId xmlns:a16="http://schemas.microsoft.com/office/drawing/2014/main" id="{8F17139D-F593-43BB-AD20-CB01B0EC8F88}"/>
            </a:ext>
          </a:extLst>
        </xdr:cNvPr>
        <xdr:cNvSpPr txBox="1"/>
      </xdr:nvSpPr>
      <xdr:spPr>
        <a:xfrm>
          <a:off x="6007100" y="1822450"/>
          <a:ext cx="17272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Attrition</a:t>
          </a:r>
          <a:r>
            <a:rPr lang="en-US" sz="1100" baseline="0">
              <a:solidFill>
                <a:srgbClr val="37474F"/>
              </a:solidFill>
            </a:rPr>
            <a:t> by </a:t>
          </a:r>
          <a:r>
            <a:rPr lang="en-US" sz="1100">
              <a:solidFill>
                <a:srgbClr val="37474F"/>
              </a:solidFill>
              <a:latin typeface="+mn-lt"/>
              <a:ea typeface="+mn-ea"/>
              <a:cs typeface="+mn-cs"/>
            </a:rPr>
            <a:t>Age</a:t>
          </a:r>
          <a:r>
            <a:rPr lang="en-US" sz="1100" baseline="0">
              <a:solidFill>
                <a:srgbClr val="37474F"/>
              </a:solidFill>
            </a:rPr>
            <a:t> Group</a:t>
          </a:r>
        </a:p>
      </xdr:txBody>
    </xdr:sp>
    <xdr:clientData/>
  </xdr:twoCellAnchor>
  <xdr:twoCellAnchor>
    <xdr:from>
      <xdr:col>12</xdr:col>
      <xdr:colOff>546100</xdr:colOff>
      <xdr:row>9</xdr:row>
      <xdr:rowOff>158750</xdr:rowOff>
    </xdr:from>
    <xdr:to>
      <xdr:col>15</xdr:col>
      <xdr:colOff>495300</xdr:colOff>
      <xdr:row>10</xdr:row>
      <xdr:rowOff>171450</xdr:rowOff>
    </xdr:to>
    <xdr:sp macro="" textlink="">
      <xdr:nvSpPr>
        <xdr:cNvPr id="59" name="TextBox 58">
          <a:extLst>
            <a:ext uri="{FF2B5EF4-FFF2-40B4-BE49-F238E27FC236}">
              <a16:creationId xmlns:a16="http://schemas.microsoft.com/office/drawing/2014/main" id="{491F2AD7-5379-4CA3-A749-AB48D5A00728}"/>
            </a:ext>
          </a:extLst>
        </xdr:cNvPr>
        <xdr:cNvSpPr txBox="1"/>
      </xdr:nvSpPr>
      <xdr:spPr>
        <a:xfrm>
          <a:off x="7861300" y="1816100"/>
          <a:ext cx="17780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a:t>
          </a:r>
          <a:r>
            <a:rPr lang="en-US" sz="1100" baseline="0">
              <a:solidFill>
                <a:srgbClr val="37474F"/>
              </a:solidFill>
            </a:rPr>
            <a:t> by </a:t>
          </a:r>
          <a:r>
            <a:rPr lang="en-US" sz="1100">
              <a:solidFill>
                <a:srgbClr val="37474F"/>
              </a:solidFill>
              <a:latin typeface="+mn-lt"/>
              <a:ea typeface="+mn-ea"/>
              <a:cs typeface="+mn-cs"/>
            </a:rPr>
            <a:t>Experience</a:t>
          </a:r>
          <a:r>
            <a:rPr lang="en-US" sz="1100" baseline="0">
              <a:solidFill>
                <a:srgbClr val="37474F"/>
              </a:solidFill>
            </a:rPr>
            <a:t> Category</a:t>
          </a:r>
        </a:p>
      </xdr:txBody>
    </xdr:sp>
    <xdr:clientData/>
  </xdr:twoCellAnchor>
  <xdr:twoCellAnchor>
    <xdr:from>
      <xdr:col>8</xdr:col>
      <xdr:colOff>184150</xdr:colOff>
      <xdr:row>19</xdr:row>
      <xdr:rowOff>95250</xdr:rowOff>
    </xdr:from>
    <xdr:to>
      <xdr:col>11</xdr:col>
      <xdr:colOff>133350</xdr:colOff>
      <xdr:row>20</xdr:row>
      <xdr:rowOff>107950</xdr:rowOff>
    </xdr:to>
    <xdr:sp macro="" textlink="">
      <xdr:nvSpPr>
        <xdr:cNvPr id="61" name="TextBox 60">
          <a:extLst>
            <a:ext uri="{FF2B5EF4-FFF2-40B4-BE49-F238E27FC236}">
              <a16:creationId xmlns:a16="http://schemas.microsoft.com/office/drawing/2014/main" id="{F47C1A9D-88D2-444E-A8D0-237D3601DF14}"/>
            </a:ext>
          </a:extLst>
        </xdr:cNvPr>
        <xdr:cNvSpPr txBox="1"/>
      </xdr:nvSpPr>
      <xdr:spPr>
        <a:xfrm>
          <a:off x="5060950" y="3594100"/>
          <a:ext cx="17780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a:t>
          </a:r>
          <a:r>
            <a:rPr lang="en-US" sz="1100" baseline="0">
              <a:solidFill>
                <a:srgbClr val="37474F"/>
              </a:solidFill>
            </a:rPr>
            <a:t>rition by </a:t>
          </a:r>
          <a:r>
            <a:rPr lang="en-US" sz="1100">
              <a:solidFill>
                <a:srgbClr val="37474F"/>
              </a:solidFill>
              <a:latin typeface="+mn-lt"/>
              <a:ea typeface="+mn-ea"/>
              <a:cs typeface="+mn-cs"/>
            </a:rPr>
            <a:t>Department</a:t>
          </a:r>
        </a:p>
      </xdr:txBody>
    </xdr:sp>
    <xdr:clientData/>
  </xdr:twoCellAnchor>
  <xdr:twoCellAnchor>
    <xdr:from>
      <xdr:col>3</xdr:col>
      <xdr:colOff>571500</xdr:colOff>
      <xdr:row>19</xdr:row>
      <xdr:rowOff>101600</xdr:rowOff>
    </xdr:from>
    <xdr:to>
      <xdr:col>6</xdr:col>
      <xdr:colOff>520700</xdr:colOff>
      <xdr:row>20</xdr:row>
      <xdr:rowOff>114300</xdr:rowOff>
    </xdr:to>
    <xdr:sp macro="" textlink="">
      <xdr:nvSpPr>
        <xdr:cNvPr id="64" name="TextBox 63">
          <a:extLst>
            <a:ext uri="{FF2B5EF4-FFF2-40B4-BE49-F238E27FC236}">
              <a16:creationId xmlns:a16="http://schemas.microsoft.com/office/drawing/2014/main" id="{0C32D1B4-14D9-4C48-A6E2-2A9A00042316}"/>
            </a:ext>
          </a:extLst>
        </xdr:cNvPr>
        <xdr:cNvSpPr txBox="1"/>
      </xdr:nvSpPr>
      <xdr:spPr>
        <a:xfrm>
          <a:off x="2400300" y="3600450"/>
          <a:ext cx="17780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a:t>
          </a:r>
          <a:r>
            <a:rPr lang="en-US" sz="1100" baseline="0">
              <a:solidFill>
                <a:srgbClr val="37474F"/>
              </a:solidFill>
            </a:rPr>
            <a:t>rition by Job </a:t>
          </a:r>
          <a:r>
            <a:rPr lang="en-US" sz="1100">
              <a:solidFill>
                <a:srgbClr val="37474F"/>
              </a:solidFill>
              <a:latin typeface="+mn-lt"/>
              <a:ea typeface="+mn-ea"/>
              <a:cs typeface="+mn-cs"/>
            </a:rPr>
            <a:t>Satisfaction</a:t>
          </a:r>
        </a:p>
      </xdr:txBody>
    </xdr:sp>
    <xdr:clientData/>
  </xdr:twoCellAnchor>
  <xdr:twoCellAnchor>
    <xdr:from>
      <xdr:col>12</xdr:col>
      <xdr:colOff>146050</xdr:colOff>
      <xdr:row>11</xdr:row>
      <xdr:rowOff>44450</xdr:rowOff>
    </xdr:from>
    <xdr:to>
      <xdr:col>15</xdr:col>
      <xdr:colOff>501650</xdr:colOff>
      <xdr:row>20</xdr:row>
      <xdr:rowOff>171450</xdr:rowOff>
    </xdr:to>
    <xdr:sp macro="" textlink="">
      <xdr:nvSpPr>
        <xdr:cNvPr id="79" name="Rectangle: Rounded Corners 78">
          <a:extLst>
            <a:ext uri="{FF2B5EF4-FFF2-40B4-BE49-F238E27FC236}">
              <a16:creationId xmlns:a16="http://schemas.microsoft.com/office/drawing/2014/main" id="{B7314975-E6A1-40CD-BE92-B543A61EC213}"/>
            </a:ext>
          </a:extLst>
        </xdr:cNvPr>
        <xdr:cNvSpPr/>
      </xdr:nvSpPr>
      <xdr:spPr>
        <a:xfrm>
          <a:off x="7461250" y="2070100"/>
          <a:ext cx="2184400" cy="1784350"/>
        </a:xfrm>
        <a:prstGeom prst="roundRect">
          <a:avLst>
            <a:gd name="adj" fmla="val 6734"/>
          </a:avLst>
        </a:prstGeom>
        <a:solidFill>
          <a:srgbClr val="FFFFFF"/>
        </a:solidFill>
        <a:ln w="3175">
          <a:solidFill>
            <a:srgbClr val="E0E0E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endParaRPr lang="en-PK" sz="1400" b="1">
            <a:ln>
              <a:noFill/>
            </a:ln>
            <a:solidFill>
              <a:srgbClr val="388E3C"/>
            </a:solidFill>
            <a:latin typeface="+mn-lt"/>
            <a:ea typeface="+mn-ea"/>
            <a:cs typeface="+mn-cs"/>
          </a:endParaRPr>
        </a:p>
      </xdr:txBody>
    </xdr:sp>
    <xdr:clientData/>
  </xdr:twoCellAnchor>
  <xdr:twoCellAnchor>
    <xdr:from>
      <xdr:col>12</xdr:col>
      <xdr:colOff>387350</xdr:colOff>
      <xdr:row>19</xdr:row>
      <xdr:rowOff>101600</xdr:rowOff>
    </xdr:from>
    <xdr:to>
      <xdr:col>15</xdr:col>
      <xdr:colOff>336550</xdr:colOff>
      <xdr:row>20</xdr:row>
      <xdr:rowOff>114300</xdr:rowOff>
    </xdr:to>
    <xdr:sp macro="" textlink="">
      <xdr:nvSpPr>
        <xdr:cNvPr id="80" name="TextBox 79">
          <a:extLst>
            <a:ext uri="{FF2B5EF4-FFF2-40B4-BE49-F238E27FC236}">
              <a16:creationId xmlns:a16="http://schemas.microsoft.com/office/drawing/2014/main" id="{510F2A88-39DA-4512-A22E-1EEA69D3553D}"/>
            </a:ext>
          </a:extLst>
        </xdr:cNvPr>
        <xdr:cNvSpPr txBox="1"/>
      </xdr:nvSpPr>
      <xdr:spPr>
        <a:xfrm>
          <a:off x="7702550" y="3600450"/>
          <a:ext cx="17780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a:solidFill>
                <a:srgbClr val="37474F"/>
              </a:solidFill>
            </a:rPr>
            <a:t>Att</a:t>
          </a:r>
          <a:r>
            <a:rPr lang="en-US" sz="1100" baseline="0">
              <a:solidFill>
                <a:srgbClr val="37474F"/>
              </a:solidFill>
            </a:rPr>
            <a:t>rition by </a:t>
          </a:r>
          <a:r>
            <a:rPr lang="en-US" sz="1100">
              <a:solidFill>
                <a:srgbClr val="37474F"/>
              </a:solidFill>
              <a:latin typeface="+mn-lt"/>
              <a:ea typeface="+mn-ea"/>
              <a:cs typeface="+mn-cs"/>
            </a:rPr>
            <a:t>Work</a:t>
          </a:r>
          <a:r>
            <a:rPr lang="en-US" sz="1100" baseline="0">
              <a:solidFill>
                <a:srgbClr val="37474F"/>
              </a:solidFill>
            </a:rPr>
            <a:t> Life Balance</a:t>
          </a:r>
        </a:p>
      </xdr:txBody>
    </xdr:sp>
    <xdr:clientData/>
  </xdr:twoCellAnchor>
  <xdr:twoCellAnchor editAs="oneCell">
    <xdr:from>
      <xdr:col>0</xdr:col>
      <xdr:colOff>95250</xdr:colOff>
      <xdr:row>3</xdr:row>
      <xdr:rowOff>152400</xdr:rowOff>
    </xdr:from>
    <xdr:to>
      <xdr:col>3</xdr:col>
      <xdr:colOff>222250</xdr:colOff>
      <xdr:row>20</xdr:row>
      <xdr:rowOff>120650</xdr:rowOff>
    </xdr:to>
    <mc:AlternateContent xmlns:mc="http://schemas.openxmlformats.org/markup-compatibility/2006" xmlns:a14="http://schemas.microsoft.com/office/drawing/2010/main">
      <mc:Choice Requires="a14">
        <xdr:graphicFrame macro="">
          <xdr:nvGraphicFramePr>
            <xdr:cNvPr id="56" name="JobRole">
              <a:extLst>
                <a:ext uri="{FF2B5EF4-FFF2-40B4-BE49-F238E27FC236}">
                  <a16:creationId xmlns:a16="http://schemas.microsoft.com/office/drawing/2014/main" id="{45781ECE-6B58-4247-B452-57FDCBCE0C6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95250" y="704850"/>
              <a:ext cx="1955800" cy="30988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0</xdr:row>
      <xdr:rowOff>31750</xdr:rowOff>
    </xdr:from>
    <xdr:to>
      <xdr:col>1</xdr:col>
      <xdr:colOff>472450</xdr:colOff>
      <xdr:row>3</xdr:row>
      <xdr:rowOff>37300</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A6C22278-C21F-4335-A6DC-71425C7F10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050" y="31750"/>
              <a:ext cx="936000" cy="558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457200</xdr:colOff>
      <xdr:row>0</xdr:row>
      <xdr:rowOff>113690</xdr:rowOff>
    </xdr:from>
    <xdr:to>
      <xdr:col>11</xdr:col>
      <xdr:colOff>99600</xdr:colOff>
      <xdr:row>1</xdr:row>
      <xdr:rowOff>181540</xdr:rowOff>
    </xdr:to>
    <xdr:pic>
      <xdr:nvPicPr>
        <xdr:cNvPr id="63" name="Graphic 62" descr="Bar chart with solid fill">
          <a:extLst>
            <a:ext uri="{FF2B5EF4-FFF2-40B4-BE49-F238E27FC236}">
              <a16:creationId xmlns:a16="http://schemas.microsoft.com/office/drawing/2014/main" id="{3A4D876A-F7BD-444C-8221-22F8749DB9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6553200" y="113690"/>
          <a:ext cx="252000" cy="252000"/>
        </a:xfrm>
        <a:prstGeom prst="rect">
          <a:avLst/>
        </a:prstGeom>
      </xdr:spPr>
    </xdr:pic>
    <xdr:clientData/>
  </xdr:twoCellAnchor>
  <xdr:twoCellAnchor>
    <xdr:from>
      <xdr:col>3</xdr:col>
      <xdr:colOff>381000</xdr:colOff>
      <xdr:row>3</xdr:row>
      <xdr:rowOff>114300</xdr:rowOff>
    </xdr:from>
    <xdr:to>
      <xdr:col>6</xdr:col>
      <xdr:colOff>316200</xdr:colOff>
      <xdr:row>9</xdr:row>
      <xdr:rowOff>161400</xdr:rowOff>
    </xdr:to>
    <xdr:graphicFrame macro="">
      <xdr:nvGraphicFramePr>
        <xdr:cNvPr id="53" name="Chart 52">
          <a:extLst>
            <a:ext uri="{FF2B5EF4-FFF2-40B4-BE49-F238E27FC236}">
              <a16:creationId xmlns:a16="http://schemas.microsoft.com/office/drawing/2014/main" id="{FF9BBA6A-A1F5-471D-B94C-9F9A6887A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453233</xdr:colOff>
      <xdr:row>3</xdr:row>
      <xdr:rowOff>120650</xdr:rowOff>
    </xdr:from>
    <xdr:to>
      <xdr:col>9</xdr:col>
      <xdr:colOff>370968</xdr:colOff>
      <xdr:row>9</xdr:row>
      <xdr:rowOff>167750</xdr:rowOff>
    </xdr:to>
    <xdr:graphicFrame macro="">
      <xdr:nvGraphicFramePr>
        <xdr:cNvPr id="66" name="Chart 65">
          <a:extLst>
            <a:ext uri="{FF2B5EF4-FFF2-40B4-BE49-F238E27FC236}">
              <a16:creationId xmlns:a16="http://schemas.microsoft.com/office/drawing/2014/main" id="{D72EA3A7-FD0A-4080-97C3-CC507EFA4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508000</xdr:colOff>
      <xdr:row>3</xdr:row>
      <xdr:rowOff>114300</xdr:rowOff>
    </xdr:from>
    <xdr:to>
      <xdr:col>12</xdr:col>
      <xdr:colOff>443200</xdr:colOff>
      <xdr:row>9</xdr:row>
      <xdr:rowOff>161400</xdr:rowOff>
    </xdr:to>
    <xdr:graphicFrame macro="">
      <xdr:nvGraphicFramePr>
        <xdr:cNvPr id="67" name="Chart 66">
          <a:extLst>
            <a:ext uri="{FF2B5EF4-FFF2-40B4-BE49-F238E27FC236}">
              <a16:creationId xmlns:a16="http://schemas.microsoft.com/office/drawing/2014/main" id="{E88CA82A-667C-419F-B618-698D189A0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577850</xdr:colOff>
      <xdr:row>3</xdr:row>
      <xdr:rowOff>114300</xdr:rowOff>
    </xdr:from>
    <xdr:to>
      <xdr:col>15</xdr:col>
      <xdr:colOff>501650</xdr:colOff>
      <xdr:row>9</xdr:row>
      <xdr:rowOff>161400</xdr:rowOff>
    </xdr:to>
    <xdr:graphicFrame macro="">
      <xdr:nvGraphicFramePr>
        <xdr:cNvPr id="68" name="Chart 67">
          <a:extLst>
            <a:ext uri="{FF2B5EF4-FFF2-40B4-BE49-F238E27FC236}">
              <a16:creationId xmlns:a16="http://schemas.microsoft.com/office/drawing/2014/main" id="{BC203CCB-FC49-4FE6-86EA-E36E9F35B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381000</xdr:colOff>
      <xdr:row>11</xdr:row>
      <xdr:rowOff>63500</xdr:rowOff>
    </xdr:from>
    <xdr:to>
      <xdr:col>7</xdr:col>
      <xdr:colOff>102600</xdr:colOff>
      <xdr:row>19</xdr:row>
      <xdr:rowOff>66300</xdr:rowOff>
    </xdr:to>
    <xdr:graphicFrame macro="">
      <xdr:nvGraphicFramePr>
        <xdr:cNvPr id="69" name="Chart 68">
          <a:extLst>
            <a:ext uri="{FF2B5EF4-FFF2-40B4-BE49-F238E27FC236}">
              <a16:creationId xmlns:a16="http://schemas.microsoft.com/office/drawing/2014/main" id="{D3AFDA2B-C91B-4FB4-899B-8B8BE4CBC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234950</xdr:colOff>
      <xdr:row>11</xdr:row>
      <xdr:rowOff>63500</xdr:rowOff>
    </xdr:from>
    <xdr:to>
      <xdr:col>12</xdr:col>
      <xdr:colOff>66950</xdr:colOff>
      <xdr:row>19</xdr:row>
      <xdr:rowOff>66300</xdr:rowOff>
    </xdr:to>
    <xdr:graphicFrame macro="">
      <xdr:nvGraphicFramePr>
        <xdr:cNvPr id="70" name="Chart 69">
          <a:extLst>
            <a:ext uri="{FF2B5EF4-FFF2-40B4-BE49-F238E27FC236}">
              <a16:creationId xmlns:a16="http://schemas.microsoft.com/office/drawing/2014/main" id="{00497BA3-C73C-4279-8DEA-F565CDFDD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184150</xdr:colOff>
      <xdr:row>11</xdr:row>
      <xdr:rowOff>63500</xdr:rowOff>
    </xdr:from>
    <xdr:to>
      <xdr:col>15</xdr:col>
      <xdr:colOff>502650</xdr:colOff>
      <xdr:row>19</xdr:row>
      <xdr:rowOff>66300</xdr:rowOff>
    </xdr:to>
    <xdr:graphicFrame macro="">
      <xdr:nvGraphicFramePr>
        <xdr:cNvPr id="71" name="Chart 70">
          <a:extLst>
            <a:ext uri="{FF2B5EF4-FFF2-40B4-BE49-F238E27FC236}">
              <a16:creationId xmlns:a16="http://schemas.microsoft.com/office/drawing/2014/main" id="{2766075C-582D-4567-98A5-97D163025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Husnain" refreshedDate="46068.680789351849" createdVersion="7" refreshedVersion="7" minRefreshableVersion="3" recordCount="1470" xr:uid="{6E8B4235-EADD-4D5D-9FEF-F372A754DE84}">
  <cacheSource type="worksheet">
    <worksheetSource name="raw_dataset"/>
  </cacheSource>
  <cacheFields count="32">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Binary" numFmtId="0">
      <sharedItems containsSemiMixedTypes="0" containsString="0" containsNumber="1" containsInteger="1" minValue="0" maxValue="1"/>
    </cacheField>
    <cacheField name="Age_Group" numFmtId="0">
      <sharedItems count="5">
        <s v="36-45"/>
        <s v="46+"/>
        <s v="26-35"/>
        <s v="18-25"/>
        <s v="46" u="1"/>
      </sharedItems>
    </cacheField>
    <cacheField name="Income_Band" numFmtId="0">
      <sharedItems count="3">
        <s v="Medium"/>
        <s v="Low"/>
        <s v="High"/>
      </sharedItems>
    </cacheField>
    <cacheField name="Experience_Category" numFmtId="0">
      <sharedItems count="4">
        <s v="6-10 Years"/>
        <s v="0-2 Years"/>
        <s v="3-5 Years"/>
        <s v="10+ Years"/>
      </sharedItems>
    </cacheField>
    <cacheField name="Income_per_Year" numFmtId="1">
      <sharedItems containsSemiMixedTypes="0" containsString="0" containsNumber="1" minValue="106.65" maxValue="19613"/>
    </cacheField>
    <cacheField name="Attrition Rate" numFmtId="0" formula="Attrition/1470" databaseField="0"/>
  </cacheFields>
  <extLst>
    <ext xmlns:x14="http://schemas.microsoft.com/office/spreadsheetml/2009/9/main" uri="{725AE2AE-9491-48be-B2B4-4EB974FC3084}">
      <x14:pivotCacheDefinition pivotCacheId="1151642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n v="2"/>
    <s v="Life Sciences"/>
    <n v="2"/>
    <x v="0"/>
    <n v="3"/>
    <n v="2"/>
    <x v="0"/>
    <x v="0"/>
    <s v="Single"/>
    <n v="5993"/>
    <n v="8"/>
    <x v="0"/>
    <n v="11"/>
    <n v="1"/>
    <n v="0"/>
    <n v="8"/>
    <n v="0"/>
    <x v="0"/>
    <n v="6"/>
    <n v="4"/>
    <n v="0"/>
    <n v="5"/>
    <n v="1"/>
    <x v="0"/>
    <x v="0"/>
    <x v="0"/>
    <n v="998.83333333333337"/>
  </r>
  <r>
    <n v="49"/>
    <x v="1"/>
    <x v="1"/>
    <n v="8"/>
    <n v="1"/>
    <s v="Life Sciences"/>
    <n v="3"/>
    <x v="1"/>
    <n v="2"/>
    <n v="2"/>
    <x v="1"/>
    <x v="1"/>
    <s v="Married"/>
    <n v="5130"/>
    <n v="1"/>
    <x v="1"/>
    <n v="23"/>
    <n v="4"/>
    <n v="1"/>
    <n v="10"/>
    <n v="3"/>
    <x v="1"/>
    <n v="10"/>
    <n v="7"/>
    <n v="1"/>
    <n v="7"/>
    <n v="0"/>
    <x v="1"/>
    <x v="0"/>
    <x v="0"/>
    <n v="513"/>
  </r>
  <r>
    <n v="37"/>
    <x v="0"/>
    <x v="1"/>
    <n v="2"/>
    <n v="2"/>
    <s v="Other"/>
    <n v="4"/>
    <x v="1"/>
    <n v="2"/>
    <n v="1"/>
    <x v="2"/>
    <x v="2"/>
    <s v="Single"/>
    <n v="2090"/>
    <n v="6"/>
    <x v="0"/>
    <n v="15"/>
    <n v="2"/>
    <n v="0"/>
    <n v="7"/>
    <n v="3"/>
    <x v="1"/>
    <n v="0"/>
    <n v="0"/>
    <n v="0"/>
    <n v="0"/>
    <n v="1"/>
    <x v="0"/>
    <x v="1"/>
    <x v="1"/>
    <n v="2090"/>
  </r>
  <r>
    <n v="33"/>
    <x v="1"/>
    <x v="1"/>
    <n v="3"/>
    <n v="4"/>
    <s v="Life Sciences"/>
    <n v="4"/>
    <x v="0"/>
    <n v="3"/>
    <n v="1"/>
    <x v="1"/>
    <x v="2"/>
    <s v="Married"/>
    <n v="2909"/>
    <n v="1"/>
    <x v="0"/>
    <n v="11"/>
    <n v="3"/>
    <n v="0"/>
    <n v="8"/>
    <n v="3"/>
    <x v="1"/>
    <n v="8"/>
    <n v="7"/>
    <n v="3"/>
    <n v="0"/>
    <n v="0"/>
    <x v="2"/>
    <x v="1"/>
    <x v="0"/>
    <n v="363.625"/>
  </r>
  <r>
    <n v="27"/>
    <x v="1"/>
    <x v="1"/>
    <n v="2"/>
    <n v="1"/>
    <s v="Medical"/>
    <n v="1"/>
    <x v="1"/>
    <n v="3"/>
    <n v="1"/>
    <x v="2"/>
    <x v="1"/>
    <s v="Married"/>
    <n v="3468"/>
    <n v="9"/>
    <x v="1"/>
    <n v="12"/>
    <n v="4"/>
    <n v="1"/>
    <n v="6"/>
    <n v="3"/>
    <x v="1"/>
    <n v="2"/>
    <n v="2"/>
    <n v="2"/>
    <n v="2"/>
    <n v="0"/>
    <x v="2"/>
    <x v="1"/>
    <x v="1"/>
    <n v="1734"/>
  </r>
  <r>
    <n v="32"/>
    <x v="1"/>
    <x v="1"/>
    <n v="2"/>
    <n v="2"/>
    <s v="Life Sciences"/>
    <n v="4"/>
    <x v="1"/>
    <n v="3"/>
    <n v="1"/>
    <x v="2"/>
    <x v="0"/>
    <s v="Single"/>
    <n v="3068"/>
    <n v="0"/>
    <x v="1"/>
    <n v="13"/>
    <n v="3"/>
    <n v="0"/>
    <n v="8"/>
    <n v="2"/>
    <x v="2"/>
    <n v="7"/>
    <n v="7"/>
    <n v="3"/>
    <n v="6"/>
    <n v="0"/>
    <x v="2"/>
    <x v="1"/>
    <x v="0"/>
    <n v="438.28571428571428"/>
  </r>
  <r>
    <n v="59"/>
    <x v="1"/>
    <x v="1"/>
    <n v="3"/>
    <n v="3"/>
    <s v="Medical"/>
    <n v="3"/>
    <x v="0"/>
    <n v="4"/>
    <n v="1"/>
    <x v="2"/>
    <x v="3"/>
    <s v="Married"/>
    <n v="2670"/>
    <n v="4"/>
    <x v="0"/>
    <n v="20"/>
    <n v="1"/>
    <n v="3"/>
    <n v="12"/>
    <n v="3"/>
    <x v="2"/>
    <n v="1"/>
    <n v="0"/>
    <n v="0"/>
    <n v="0"/>
    <n v="0"/>
    <x v="1"/>
    <x v="1"/>
    <x v="1"/>
    <n v="2670"/>
  </r>
  <r>
    <n v="30"/>
    <x v="1"/>
    <x v="1"/>
    <n v="24"/>
    <n v="1"/>
    <s v="Life Sciences"/>
    <n v="4"/>
    <x v="1"/>
    <n v="3"/>
    <n v="1"/>
    <x v="2"/>
    <x v="2"/>
    <s v="Divorced"/>
    <n v="2693"/>
    <n v="1"/>
    <x v="1"/>
    <n v="22"/>
    <n v="2"/>
    <n v="1"/>
    <n v="1"/>
    <n v="2"/>
    <x v="1"/>
    <n v="1"/>
    <n v="0"/>
    <n v="0"/>
    <n v="0"/>
    <n v="0"/>
    <x v="2"/>
    <x v="1"/>
    <x v="1"/>
    <n v="2693"/>
  </r>
  <r>
    <n v="38"/>
    <x v="1"/>
    <x v="1"/>
    <n v="23"/>
    <n v="3"/>
    <s v="Life Sciences"/>
    <n v="4"/>
    <x v="1"/>
    <n v="2"/>
    <n v="3"/>
    <x v="3"/>
    <x v="2"/>
    <s v="Single"/>
    <n v="9526"/>
    <n v="0"/>
    <x v="1"/>
    <n v="21"/>
    <n v="2"/>
    <n v="0"/>
    <n v="10"/>
    <n v="2"/>
    <x v="1"/>
    <n v="9"/>
    <n v="7"/>
    <n v="1"/>
    <n v="8"/>
    <n v="0"/>
    <x v="0"/>
    <x v="0"/>
    <x v="0"/>
    <n v="1058.4444444444443"/>
  </r>
  <r>
    <n v="36"/>
    <x v="1"/>
    <x v="1"/>
    <n v="27"/>
    <n v="3"/>
    <s v="Medical"/>
    <n v="3"/>
    <x v="1"/>
    <n v="3"/>
    <n v="2"/>
    <x v="4"/>
    <x v="2"/>
    <s v="Married"/>
    <n v="5237"/>
    <n v="6"/>
    <x v="1"/>
    <n v="13"/>
    <n v="2"/>
    <n v="2"/>
    <n v="17"/>
    <n v="3"/>
    <x v="2"/>
    <n v="7"/>
    <n v="7"/>
    <n v="7"/>
    <n v="7"/>
    <n v="0"/>
    <x v="0"/>
    <x v="0"/>
    <x v="0"/>
    <n v="748.14285714285711"/>
  </r>
  <r>
    <n v="35"/>
    <x v="1"/>
    <x v="1"/>
    <n v="16"/>
    <n v="3"/>
    <s v="Medical"/>
    <n v="1"/>
    <x v="1"/>
    <n v="4"/>
    <n v="1"/>
    <x v="2"/>
    <x v="1"/>
    <s v="Married"/>
    <n v="2426"/>
    <n v="0"/>
    <x v="1"/>
    <n v="13"/>
    <n v="3"/>
    <n v="1"/>
    <n v="6"/>
    <n v="5"/>
    <x v="1"/>
    <n v="5"/>
    <n v="4"/>
    <n v="0"/>
    <n v="3"/>
    <n v="0"/>
    <x v="2"/>
    <x v="1"/>
    <x v="2"/>
    <n v="485.2"/>
  </r>
  <r>
    <n v="29"/>
    <x v="1"/>
    <x v="1"/>
    <n v="15"/>
    <n v="2"/>
    <s v="Life Sciences"/>
    <n v="4"/>
    <x v="0"/>
    <n v="2"/>
    <n v="2"/>
    <x v="2"/>
    <x v="2"/>
    <s v="Single"/>
    <n v="4193"/>
    <n v="0"/>
    <x v="0"/>
    <n v="12"/>
    <n v="4"/>
    <n v="0"/>
    <n v="10"/>
    <n v="3"/>
    <x v="1"/>
    <n v="9"/>
    <n v="5"/>
    <n v="0"/>
    <n v="8"/>
    <n v="0"/>
    <x v="2"/>
    <x v="0"/>
    <x v="0"/>
    <n v="465.88888888888891"/>
  </r>
  <r>
    <n v="31"/>
    <x v="1"/>
    <x v="1"/>
    <n v="26"/>
    <n v="1"/>
    <s v="Life Sciences"/>
    <n v="1"/>
    <x v="1"/>
    <n v="3"/>
    <n v="1"/>
    <x v="1"/>
    <x v="2"/>
    <s v="Divorced"/>
    <n v="2911"/>
    <n v="1"/>
    <x v="1"/>
    <n v="17"/>
    <n v="4"/>
    <n v="1"/>
    <n v="5"/>
    <n v="1"/>
    <x v="2"/>
    <n v="5"/>
    <n v="2"/>
    <n v="4"/>
    <n v="3"/>
    <n v="0"/>
    <x v="2"/>
    <x v="1"/>
    <x v="2"/>
    <n v="582.20000000000005"/>
  </r>
  <r>
    <n v="34"/>
    <x v="1"/>
    <x v="1"/>
    <n v="19"/>
    <n v="2"/>
    <s v="Medical"/>
    <n v="2"/>
    <x v="1"/>
    <n v="3"/>
    <n v="1"/>
    <x v="2"/>
    <x v="0"/>
    <s v="Divorced"/>
    <n v="2661"/>
    <n v="0"/>
    <x v="1"/>
    <n v="11"/>
    <n v="3"/>
    <n v="1"/>
    <n v="3"/>
    <n v="2"/>
    <x v="1"/>
    <n v="2"/>
    <n v="2"/>
    <n v="1"/>
    <n v="2"/>
    <n v="0"/>
    <x v="2"/>
    <x v="1"/>
    <x v="1"/>
    <n v="1330.5"/>
  </r>
  <r>
    <n v="28"/>
    <x v="0"/>
    <x v="1"/>
    <n v="24"/>
    <n v="3"/>
    <s v="Life Sciences"/>
    <n v="3"/>
    <x v="1"/>
    <n v="2"/>
    <n v="1"/>
    <x v="2"/>
    <x v="2"/>
    <s v="Single"/>
    <n v="2028"/>
    <n v="5"/>
    <x v="0"/>
    <n v="14"/>
    <n v="2"/>
    <n v="0"/>
    <n v="6"/>
    <n v="4"/>
    <x v="1"/>
    <n v="4"/>
    <n v="2"/>
    <n v="0"/>
    <n v="3"/>
    <n v="1"/>
    <x v="2"/>
    <x v="1"/>
    <x v="2"/>
    <n v="507"/>
  </r>
  <r>
    <n v="29"/>
    <x v="1"/>
    <x v="1"/>
    <n v="21"/>
    <n v="4"/>
    <s v="Life Sciences"/>
    <n v="2"/>
    <x v="0"/>
    <n v="4"/>
    <n v="3"/>
    <x v="3"/>
    <x v="3"/>
    <s v="Divorced"/>
    <n v="9980"/>
    <n v="1"/>
    <x v="1"/>
    <n v="11"/>
    <n v="3"/>
    <n v="1"/>
    <n v="10"/>
    <n v="1"/>
    <x v="1"/>
    <n v="10"/>
    <n v="9"/>
    <n v="8"/>
    <n v="8"/>
    <n v="0"/>
    <x v="2"/>
    <x v="0"/>
    <x v="0"/>
    <n v="998"/>
  </r>
  <r>
    <n v="32"/>
    <x v="1"/>
    <x v="1"/>
    <n v="5"/>
    <n v="2"/>
    <s v="Life Sciences"/>
    <n v="1"/>
    <x v="1"/>
    <n v="4"/>
    <n v="1"/>
    <x v="1"/>
    <x v="1"/>
    <s v="Divorced"/>
    <n v="3298"/>
    <n v="0"/>
    <x v="0"/>
    <n v="12"/>
    <n v="4"/>
    <n v="2"/>
    <n v="7"/>
    <n v="5"/>
    <x v="2"/>
    <n v="6"/>
    <n v="2"/>
    <n v="0"/>
    <n v="5"/>
    <n v="0"/>
    <x v="2"/>
    <x v="1"/>
    <x v="0"/>
    <n v="549.66666666666663"/>
  </r>
  <r>
    <n v="22"/>
    <x v="1"/>
    <x v="1"/>
    <n v="16"/>
    <n v="2"/>
    <s v="Medical"/>
    <n v="4"/>
    <x v="1"/>
    <n v="4"/>
    <n v="1"/>
    <x v="2"/>
    <x v="0"/>
    <s v="Divorced"/>
    <n v="2935"/>
    <n v="1"/>
    <x v="0"/>
    <n v="13"/>
    <n v="2"/>
    <n v="2"/>
    <n v="1"/>
    <n v="2"/>
    <x v="2"/>
    <n v="1"/>
    <n v="0"/>
    <n v="0"/>
    <n v="0"/>
    <n v="0"/>
    <x v="3"/>
    <x v="1"/>
    <x v="1"/>
    <n v="2935"/>
  </r>
  <r>
    <n v="53"/>
    <x v="1"/>
    <x v="0"/>
    <n v="2"/>
    <n v="4"/>
    <s v="Life Sciences"/>
    <n v="1"/>
    <x v="0"/>
    <n v="2"/>
    <n v="4"/>
    <x v="5"/>
    <x v="0"/>
    <s v="Married"/>
    <n v="15427"/>
    <n v="2"/>
    <x v="1"/>
    <n v="16"/>
    <n v="3"/>
    <n v="0"/>
    <n v="31"/>
    <n v="3"/>
    <x v="1"/>
    <n v="25"/>
    <n v="8"/>
    <n v="3"/>
    <n v="7"/>
    <n v="0"/>
    <x v="1"/>
    <x v="2"/>
    <x v="3"/>
    <n v="617.08000000000004"/>
  </r>
  <r>
    <n v="38"/>
    <x v="1"/>
    <x v="1"/>
    <n v="2"/>
    <n v="3"/>
    <s v="Life Sciences"/>
    <n v="4"/>
    <x v="1"/>
    <n v="3"/>
    <n v="1"/>
    <x v="1"/>
    <x v="0"/>
    <s v="Single"/>
    <n v="3944"/>
    <n v="5"/>
    <x v="0"/>
    <n v="11"/>
    <n v="3"/>
    <n v="0"/>
    <n v="6"/>
    <n v="3"/>
    <x v="1"/>
    <n v="3"/>
    <n v="2"/>
    <n v="1"/>
    <n v="2"/>
    <n v="0"/>
    <x v="0"/>
    <x v="1"/>
    <x v="2"/>
    <n v="1314.6666666666667"/>
  </r>
  <r>
    <n v="24"/>
    <x v="1"/>
    <x v="1"/>
    <n v="11"/>
    <n v="2"/>
    <s v="Other"/>
    <n v="1"/>
    <x v="0"/>
    <n v="4"/>
    <n v="2"/>
    <x v="3"/>
    <x v="2"/>
    <s v="Divorced"/>
    <n v="4011"/>
    <n v="0"/>
    <x v="1"/>
    <n v="18"/>
    <n v="4"/>
    <n v="1"/>
    <n v="5"/>
    <n v="5"/>
    <x v="2"/>
    <n v="4"/>
    <n v="2"/>
    <n v="1"/>
    <n v="3"/>
    <n v="0"/>
    <x v="3"/>
    <x v="0"/>
    <x v="2"/>
    <n v="1002.75"/>
  </r>
  <r>
    <n v="36"/>
    <x v="0"/>
    <x v="0"/>
    <n v="9"/>
    <n v="4"/>
    <s v="Life Sciences"/>
    <n v="3"/>
    <x v="1"/>
    <n v="2"/>
    <n v="1"/>
    <x v="6"/>
    <x v="3"/>
    <s v="Single"/>
    <n v="3407"/>
    <n v="7"/>
    <x v="1"/>
    <n v="23"/>
    <n v="2"/>
    <n v="0"/>
    <n v="10"/>
    <n v="4"/>
    <x v="1"/>
    <n v="5"/>
    <n v="3"/>
    <n v="0"/>
    <n v="3"/>
    <n v="1"/>
    <x v="0"/>
    <x v="1"/>
    <x v="2"/>
    <n v="681.4"/>
  </r>
  <r>
    <n v="34"/>
    <x v="1"/>
    <x v="1"/>
    <n v="7"/>
    <n v="4"/>
    <s v="Life Sciences"/>
    <n v="1"/>
    <x v="0"/>
    <n v="3"/>
    <n v="3"/>
    <x v="7"/>
    <x v="1"/>
    <s v="Single"/>
    <n v="11994"/>
    <n v="0"/>
    <x v="1"/>
    <n v="11"/>
    <n v="3"/>
    <n v="0"/>
    <n v="13"/>
    <n v="4"/>
    <x v="1"/>
    <n v="12"/>
    <n v="6"/>
    <n v="2"/>
    <n v="11"/>
    <n v="0"/>
    <x v="2"/>
    <x v="2"/>
    <x v="3"/>
    <n v="999.5"/>
  </r>
  <r>
    <n v="21"/>
    <x v="1"/>
    <x v="1"/>
    <n v="15"/>
    <n v="2"/>
    <s v="Life Sciences"/>
    <n v="3"/>
    <x v="1"/>
    <n v="3"/>
    <n v="1"/>
    <x v="1"/>
    <x v="0"/>
    <s v="Single"/>
    <n v="1232"/>
    <n v="1"/>
    <x v="1"/>
    <n v="14"/>
    <n v="4"/>
    <n v="0"/>
    <n v="0"/>
    <n v="6"/>
    <x v="1"/>
    <n v="0"/>
    <n v="0"/>
    <n v="0"/>
    <n v="0"/>
    <n v="0"/>
    <x v="3"/>
    <x v="1"/>
    <x v="1"/>
    <n v="1232"/>
  </r>
  <r>
    <n v="34"/>
    <x v="0"/>
    <x v="1"/>
    <n v="6"/>
    <n v="1"/>
    <s v="Medical"/>
    <n v="2"/>
    <x v="1"/>
    <n v="3"/>
    <n v="1"/>
    <x v="1"/>
    <x v="3"/>
    <s v="Single"/>
    <n v="2960"/>
    <n v="2"/>
    <x v="1"/>
    <n v="11"/>
    <n v="3"/>
    <n v="0"/>
    <n v="8"/>
    <n v="2"/>
    <x v="1"/>
    <n v="4"/>
    <n v="2"/>
    <n v="1"/>
    <n v="3"/>
    <n v="1"/>
    <x v="2"/>
    <x v="1"/>
    <x v="2"/>
    <n v="740"/>
  </r>
  <r>
    <n v="53"/>
    <x v="1"/>
    <x v="1"/>
    <n v="5"/>
    <n v="3"/>
    <s v="Other"/>
    <n v="3"/>
    <x v="0"/>
    <n v="3"/>
    <n v="5"/>
    <x v="5"/>
    <x v="2"/>
    <s v="Divorced"/>
    <n v="19094"/>
    <n v="4"/>
    <x v="1"/>
    <n v="11"/>
    <n v="4"/>
    <n v="1"/>
    <n v="26"/>
    <n v="3"/>
    <x v="2"/>
    <n v="14"/>
    <n v="13"/>
    <n v="4"/>
    <n v="8"/>
    <n v="0"/>
    <x v="1"/>
    <x v="2"/>
    <x v="3"/>
    <n v="1363.8571428571429"/>
  </r>
  <r>
    <n v="32"/>
    <x v="0"/>
    <x v="1"/>
    <n v="16"/>
    <n v="1"/>
    <s v="Life Sciences"/>
    <n v="2"/>
    <x v="0"/>
    <n v="1"/>
    <n v="1"/>
    <x v="1"/>
    <x v="3"/>
    <s v="Single"/>
    <n v="3919"/>
    <n v="1"/>
    <x v="0"/>
    <n v="22"/>
    <n v="2"/>
    <n v="0"/>
    <n v="10"/>
    <n v="5"/>
    <x v="1"/>
    <n v="10"/>
    <n v="2"/>
    <n v="6"/>
    <n v="7"/>
    <n v="1"/>
    <x v="2"/>
    <x v="1"/>
    <x v="0"/>
    <n v="391.9"/>
  </r>
  <r>
    <n v="42"/>
    <x v="1"/>
    <x v="0"/>
    <n v="8"/>
    <n v="4"/>
    <s v="Marketing"/>
    <n v="3"/>
    <x v="1"/>
    <n v="3"/>
    <n v="2"/>
    <x v="0"/>
    <x v="1"/>
    <s v="Married"/>
    <n v="6825"/>
    <n v="0"/>
    <x v="1"/>
    <n v="11"/>
    <n v="4"/>
    <n v="1"/>
    <n v="10"/>
    <n v="2"/>
    <x v="1"/>
    <n v="9"/>
    <n v="7"/>
    <n v="4"/>
    <n v="2"/>
    <n v="0"/>
    <x v="0"/>
    <x v="0"/>
    <x v="0"/>
    <n v="758.33333333333337"/>
  </r>
  <r>
    <n v="44"/>
    <x v="1"/>
    <x v="1"/>
    <n v="7"/>
    <n v="4"/>
    <s v="Medical"/>
    <n v="1"/>
    <x v="0"/>
    <n v="2"/>
    <n v="3"/>
    <x v="4"/>
    <x v="0"/>
    <s v="Married"/>
    <n v="10248"/>
    <n v="3"/>
    <x v="1"/>
    <n v="14"/>
    <n v="4"/>
    <n v="1"/>
    <n v="24"/>
    <n v="4"/>
    <x v="1"/>
    <n v="22"/>
    <n v="6"/>
    <n v="5"/>
    <n v="17"/>
    <n v="0"/>
    <x v="0"/>
    <x v="2"/>
    <x v="3"/>
    <n v="465.81818181818181"/>
  </r>
  <r>
    <n v="46"/>
    <x v="1"/>
    <x v="0"/>
    <n v="2"/>
    <n v="4"/>
    <s v="Marketing"/>
    <n v="2"/>
    <x v="0"/>
    <n v="3"/>
    <n v="5"/>
    <x v="5"/>
    <x v="3"/>
    <s v="Single"/>
    <n v="18947"/>
    <n v="3"/>
    <x v="1"/>
    <n v="12"/>
    <n v="4"/>
    <n v="0"/>
    <n v="22"/>
    <n v="2"/>
    <x v="2"/>
    <n v="2"/>
    <n v="2"/>
    <n v="2"/>
    <n v="1"/>
    <n v="0"/>
    <x v="1"/>
    <x v="2"/>
    <x v="1"/>
    <n v="9473.5"/>
  </r>
  <r>
    <n v="33"/>
    <x v="1"/>
    <x v="1"/>
    <n v="2"/>
    <n v="3"/>
    <s v="Medical"/>
    <n v="3"/>
    <x v="1"/>
    <n v="3"/>
    <n v="1"/>
    <x v="2"/>
    <x v="0"/>
    <s v="Single"/>
    <n v="2496"/>
    <n v="4"/>
    <x v="1"/>
    <n v="11"/>
    <n v="4"/>
    <n v="0"/>
    <n v="7"/>
    <n v="3"/>
    <x v="1"/>
    <n v="1"/>
    <n v="1"/>
    <n v="0"/>
    <n v="0"/>
    <n v="0"/>
    <x v="2"/>
    <x v="1"/>
    <x v="1"/>
    <n v="2496"/>
  </r>
  <r>
    <n v="44"/>
    <x v="1"/>
    <x v="1"/>
    <n v="10"/>
    <n v="4"/>
    <s v="Other"/>
    <n v="4"/>
    <x v="1"/>
    <n v="3"/>
    <n v="2"/>
    <x v="4"/>
    <x v="0"/>
    <s v="Married"/>
    <n v="6465"/>
    <n v="2"/>
    <x v="0"/>
    <n v="13"/>
    <n v="4"/>
    <n v="0"/>
    <n v="9"/>
    <n v="5"/>
    <x v="3"/>
    <n v="4"/>
    <n v="2"/>
    <n v="1"/>
    <n v="3"/>
    <n v="0"/>
    <x v="0"/>
    <x v="0"/>
    <x v="2"/>
    <n v="1616.25"/>
  </r>
  <r>
    <n v="30"/>
    <x v="1"/>
    <x v="1"/>
    <n v="9"/>
    <n v="2"/>
    <s v="Medical"/>
    <n v="4"/>
    <x v="1"/>
    <n v="2"/>
    <n v="1"/>
    <x v="2"/>
    <x v="2"/>
    <s v="Single"/>
    <n v="2206"/>
    <n v="1"/>
    <x v="1"/>
    <n v="13"/>
    <n v="1"/>
    <n v="0"/>
    <n v="10"/>
    <n v="5"/>
    <x v="1"/>
    <n v="10"/>
    <n v="0"/>
    <n v="1"/>
    <n v="8"/>
    <n v="0"/>
    <x v="2"/>
    <x v="1"/>
    <x v="0"/>
    <n v="220.6"/>
  </r>
  <r>
    <n v="39"/>
    <x v="0"/>
    <x v="0"/>
    <n v="5"/>
    <n v="3"/>
    <s v="Technical Degree"/>
    <n v="4"/>
    <x v="1"/>
    <n v="3"/>
    <n v="2"/>
    <x v="6"/>
    <x v="0"/>
    <s v="Married"/>
    <n v="2086"/>
    <n v="3"/>
    <x v="1"/>
    <n v="14"/>
    <n v="3"/>
    <n v="1"/>
    <n v="19"/>
    <n v="6"/>
    <x v="3"/>
    <n v="1"/>
    <n v="0"/>
    <n v="0"/>
    <n v="0"/>
    <n v="1"/>
    <x v="0"/>
    <x v="1"/>
    <x v="1"/>
    <n v="2086"/>
  </r>
  <r>
    <n v="24"/>
    <x v="0"/>
    <x v="1"/>
    <n v="1"/>
    <n v="3"/>
    <s v="Medical"/>
    <n v="2"/>
    <x v="1"/>
    <n v="3"/>
    <n v="1"/>
    <x v="1"/>
    <x v="0"/>
    <s v="Married"/>
    <n v="2293"/>
    <n v="2"/>
    <x v="0"/>
    <n v="16"/>
    <n v="1"/>
    <n v="1"/>
    <n v="6"/>
    <n v="2"/>
    <x v="2"/>
    <n v="2"/>
    <n v="0"/>
    <n v="2"/>
    <n v="0"/>
    <n v="1"/>
    <x v="3"/>
    <x v="1"/>
    <x v="1"/>
    <n v="1146.5"/>
  </r>
  <r>
    <n v="43"/>
    <x v="1"/>
    <x v="1"/>
    <n v="2"/>
    <n v="2"/>
    <s v="Medical"/>
    <n v="4"/>
    <x v="0"/>
    <n v="4"/>
    <n v="1"/>
    <x v="1"/>
    <x v="2"/>
    <s v="Divorced"/>
    <n v="2645"/>
    <n v="1"/>
    <x v="1"/>
    <n v="12"/>
    <n v="4"/>
    <n v="2"/>
    <n v="6"/>
    <n v="3"/>
    <x v="2"/>
    <n v="5"/>
    <n v="3"/>
    <n v="1"/>
    <n v="4"/>
    <n v="0"/>
    <x v="0"/>
    <x v="1"/>
    <x v="2"/>
    <n v="529"/>
  </r>
  <r>
    <n v="50"/>
    <x v="0"/>
    <x v="0"/>
    <n v="3"/>
    <n v="2"/>
    <s v="Marketing"/>
    <n v="1"/>
    <x v="1"/>
    <n v="2"/>
    <n v="1"/>
    <x v="6"/>
    <x v="2"/>
    <s v="Married"/>
    <n v="2683"/>
    <n v="1"/>
    <x v="0"/>
    <n v="14"/>
    <n v="3"/>
    <n v="0"/>
    <n v="3"/>
    <n v="2"/>
    <x v="1"/>
    <n v="3"/>
    <n v="2"/>
    <n v="0"/>
    <n v="2"/>
    <n v="1"/>
    <x v="1"/>
    <x v="1"/>
    <x v="2"/>
    <n v="894.33333333333337"/>
  </r>
  <r>
    <n v="35"/>
    <x v="1"/>
    <x v="0"/>
    <n v="2"/>
    <n v="3"/>
    <s v="Marketing"/>
    <n v="4"/>
    <x v="0"/>
    <n v="3"/>
    <n v="1"/>
    <x v="6"/>
    <x v="0"/>
    <s v="Married"/>
    <n v="2014"/>
    <n v="1"/>
    <x v="1"/>
    <n v="13"/>
    <n v="1"/>
    <n v="0"/>
    <n v="2"/>
    <n v="3"/>
    <x v="1"/>
    <n v="2"/>
    <n v="2"/>
    <n v="2"/>
    <n v="2"/>
    <n v="0"/>
    <x v="2"/>
    <x v="1"/>
    <x v="1"/>
    <n v="1007"/>
  </r>
  <r>
    <n v="36"/>
    <x v="1"/>
    <x v="1"/>
    <n v="5"/>
    <n v="4"/>
    <s v="Life Sciences"/>
    <n v="2"/>
    <x v="0"/>
    <n v="2"/>
    <n v="1"/>
    <x v="1"/>
    <x v="3"/>
    <s v="Married"/>
    <n v="3419"/>
    <n v="9"/>
    <x v="0"/>
    <n v="14"/>
    <n v="4"/>
    <n v="1"/>
    <n v="6"/>
    <n v="3"/>
    <x v="3"/>
    <n v="1"/>
    <n v="1"/>
    <n v="0"/>
    <n v="0"/>
    <n v="0"/>
    <x v="0"/>
    <x v="1"/>
    <x v="1"/>
    <n v="3419"/>
  </r>
  <r>
    <n v="33"/>
    <x v="1"/>
    <x v="0"/>
    <n v="1"/>
    <n v="3"/>
    <s v="Life Sciences"/>
    <n v="3"/>
    <x v="0"/>
    <n v="4"/>
    <n v="2"/>
    <x v="0"/>
    <x v="3"/>
    <s v="Married"/>
    <n v="5376"/>
    <n v="2"/>
    <x v="1"/>
    <n v="19"/>
    <n v="1"/>
    <n v="2"/>
    <n v="10"/>
    <n v="3"/>
    <x v="1"/>
    <n v="5"/>
    <n v="3"/>
    <n v="1"/>
    <n v="3"/>
    <n v="0"/>
    <x v="2"/>
    <x v="0"/>
    <x v="2"/>
    <n v="1075.2"/>
  </r>
  <r>
    <n v="35"/>
    <x v="1"/>
    <x v="1"/>
    <n v="4"/>
    <n v="2"/>
    <s v="Other"/>
    <n v="3"/>
    <x v="1"/>
    <n v="3"/>
    <n v="1"/>
    <x v="2"/>
    <x v="0"/>
    <s v="Divorced"/>
    <n v="1951"/>
    <n v="1"/>
    <x v="1"/>
    <n v="12"/>
    <n v="3"/>
    <n v="1"/>
    <n v="1"/>
    <n v="3"/>
    <x v="1"/>
    <n v="1"/>
    <n v="0"/>
    <n v="0"/>
    <n v="0"/>
    <n v="0"/>
    <x v="2"/>
    <x v="1"/>
    <x v="1"/>
    <n v="1951"/>
  </r>
  <r>
    <n v="27"/>
    <x v="1"/>
    <x v="1"/>
    <n v="2"/>
    <n v="4"/>
    <s v="Life Sciences"/>
    <n v="4"/>
    <x v="0"/>
    <n v="3"/>
    <n v="1"/>
    <x v="2"/>
    <x v="3"/>
    <s v="Divorced"/>
    <n v="2341"/>
    <n v="1"/>
    <x v="1"/>
    <n v="13"/>
    <n v="4"/>
    <n v="1"/>
    <n v="1"/>
    <n v="6"/>
    <x v="1"/>
    <n v="1"/>
    <n v="0"/>
    <n v="0"/>
    <n v="0"/>
    <n v="0"/>
    <x v="2"/>
    <x v="1"/>
    <x v="1"/>
    <n v="2341"/>
  </r>
  <r>
    <n v="26"/>
    <x v="0"/>
    <x v="1"/>
    <n v="25"/>
    <n v="3"/>
    <s v="Life Sciences"/>
    <n v="1"/>
    <x v="1"/>
    <n v="1"/>
    <n v="1"/>
    <x v="2"/>
    <x v="2"/>
    <s v="Single"/>
    <n v="2293"/>
    <n v="1"/>
    <x v="1"/>
    <n v="12"/>
    <n v="3"/>
    <n v="0"/>
    <n v="1"/>
    <n v="2"/>
    <x v="2"/>
    <n v="1"/>
    <n v="0"/>
    <n v="0"/>
    <n v="1"/>
    <n v="1"/>
    <x v="2"/>
    <x v="1"/>
    <x v="1"/>
    <n v="2293"/>
  </r>
  <r>
    <n v="27"/>
    <x v="1"/>
    <x v="0"/>
    <n v="8"/>
    <n v="3"/>
    <s v="Life Sciences"/>
    <n v="4"/>
    <x v="1"/>
    <n v="3"/>
    <n v="3"/>
    <x v="0"/>
    <x v="2"/>
    <s v="Single"/>
    <n v="8726"/>
    <n v="1"/>
    <x v="1"/>
    <n v="15"/>
    <n v="4"/>
    <n v="0"/>
    <n v="9"/>
    <n v="0"/>
    <x v="1"/>
    <n v="9"/>
    <n v="8"/>
    <n v="1"/>
    <n v="7"/>
    <n v="0"/>
    <x v="2"/>
    <x v="0"/>
    <x v="0"/>
    <n v="969.55555555555554"/>
  </r>
  <r>
    <n v="30"/>
    <x v="1"/>
    <x v="1"/>
    <n v="1"/>
    <n v="2"/>
    <s v="Medical"/>
    <n v="3"/>
    <x v="0"/>
    <n v="3"/>
    <n v="2"/>
    <x v="2"/>
    <x v="0"/>
    <s v="Single"/>
    <n v="4011"/>
    <n v="1"/>
    <x v="1"/>
    <n v="23"/>
    <n v="4"/>
    <n v="0"/>
    <n v="12"/>
    <n v="2"/>
    <x v="1"/>
    <n v="12"/>
    <n v="8"/>
    <n v="3"/>
    <n v="7"/>
    <n v="0"/>
    <x v="2"/>
    <x v="0"/>
    <x v="3"/>
    <n v="334.25"/>
  </r>
  <r>
    <n v="41"/>
    <x v="0"/>
    <x v="1"/>
    <n v="12"/>
    <n v="3"/>
    <s v="Technical Degree"/>
    <n v="2"/>
    <x v="0"/>
    <n v="3"/>
    <n v="5"/>
    <x v="7"/>
    <x v="2"/>
    <s v="Married"/>
    <n v="19545"/>
    <n v="1"/>
    <x v="1"/>
    <n v="12"/>
    <n v="4"/>
    <n v="0"/>
    <n v="23"/>
    <n v="0"/>
    <x v="1"/>
    <n v="22"/>
    <n v="15"/>
    <n v="15"/>
    <n v="8"/>
    <n v="1"/>
    <x v="0"/>
    <x v="2"/>
    <x v="3"/>
    <n v="888.40909090909088"/>
  </r>
  <r>
    <n v="34"/>
    <x v="1"/>
    <x v="0"/>
    <n v="23"/>
    <n v="4"/>
    <s v="Marketing"/>
    <n v="2"/>
    <x v="1"/>
    <n v="3"/>
    <n v="2"/>
    <x v="0"/>
    <x v="2"/>
    <s v="Single"/>
    <n v="4568"/>
    <n v="0"/>
    <x v="1"/>
    <n v="20"/>
    <n v="3"/>
    <n v="0"/>
    <n v="10"/>
    <n v="2"/>
    <x v="1"/>
    <n v="9"/>
    <n v="5"/>
    <n v="8"/>
    <n v="7"/>
    <n v="0"/>
    <x v="2"/>
    <x v="0"/>
    <x v="0"/>
    <n v="507.55555555555554"/>
  </r>
  <r>
    <n v="37"/>
    <x v="1"/>
    <x v="1"/>
    <n v="19"/>
    <n v="2"/>
    <s v="Life Sciences"/>
    <n v="2"/>
    <x v="1"/>
    <n v="3"/>
    <n v="1"/>
    <x v="1"/>
    <x v="1"/>
    <s v="Married"/>
    <n v="3022"/>
    <n v="4"/>
    <x v="1"/>
    <n v="21"/>
    <n v="1"/>
    <n v="0"/>
    <n v="8"/>
    <n v="1"/>
    <x v="1"/>
    <n v="1"/>
    <n v="0"/>
    <n v="0"/>
    <n v="0"/>
    <n v="0"/>
    <x v="0"/>
    <x v="1"/>
    <x v="1"/>
    <n v="3022"/>
  </r>
  <r>
    <n v="46"/>
    <x v="1"/>
    <x v="0"/>
    <n v="5"/>
    <n v="4"/>
    <s v="Marketing"/>
    <n v="1"/>
    <x v="1"/>
    <n v="3"/>
    <n v="2"/>
    <x v="0"/>
    <x v="0"/>
    <s v="Single"/>
    <n v="5772"/>
    <n v="4"/>
    <x v="0"/>
    <n v="21"/>
    <n v="3"/>
    <n v="0"/>
    <n v="14"/>
    <n v="4"/>
    <x v="1"/>
    <n v="9"/>
    <n v="6"/>
    <n v="0"/>
    <n v="8"/>
    <n v="0"/>
    <x v="1"/>
    <x v="0"/>
    <x v="0"/>
    <n v="641.33333333333337"/>
  </r>
  <r>
    <n v="35"/>
    <x v="1"/>
    <x v="1"/>
    <n v="8"/>
    <n v="1"/>
    <s v="Life Sciences"/>
    <n v="4"/>
    <x v="1"/>
    <n v="4"/>
    <n v="1"/>
    <x v="2"/>
    <x v="0"/>
    <s v="Married"/>
    <n v="2269"/>
    <n v="1"/>
    <x v="1"/>
    <n v="19"/>
    <n v="4"/>
    <n v="0"/>
    <n v="1"/>
    <n v="2"/>
    <x v="1"/>
    <n v="1"/>
    <n v="0"/>
    <n v="0"/>
    <n v="1"/>
    <n v="0"/>
    <x v="2"/>
    <x v="1"/>
    <x v="1"/>
    <n v="2269"/>
  </r>
  <r>
    <n v="48"/>
    <x v="0"/>
    <x v="1"/>
    <n v="1"/>
    <n v="2"/>
    <s v="Life Sciences"/>
    <n v="1"/>
    <x v="1"/>
    <n v="2"/>
    <n v="3"/>
    <x v="2"/>
    <x v="2"/>
    <s v="Single"/>
    <n v="5381"/>
    <n v="9"/>
    <x v="0"/>
    <n v="13"/>
    <n v="4"/>
    <n v="0"/>
    <n v="23"/>
    <n v="2"/>
    <x v="1"/>
    <n v="1"/>
    <n v="0"/>
    <n v="0"/>
    <n v="0"/>
    <n v="1"/>
    <x v="1"/>
    <x v="0"/>
    <x v="1"/>
    <n v="5381"/>
  </r>
  <r>
    <n v="28"/>
    <x v="0"/>
    <x v="1"/>
    <n v="5"/>
    <n v="4"/>
    <s v="Technical Degree"/>
    <n v="3"/>
    <x v="1"/>
    <n v="3"/>
    <n v="1"/>
    <x v="2"/>
    <x v="2"/>
    <s v="Single"/>
    <n v="3441"/>
    <n v="1"/>
    <x v="0"/>
    <n v="13"/>
    <n v="3"/>
    <n v="0"/>
    <n v="2"/>
    <n v="3"/>
    <x v="2"/>
    <n v="2"/>
    <n v="2"/>
    <n v="2"/>
    <n v="2"/>
    <n v="1"/>
    <x v="2"/>
    <x v="1"/>
    <x v="1"/>
    <n v="1720.5"/>
  </r>
  <r>
    <n v="44"/>
    <x v="1"/>
    <x v="0"/>
    <n v="1"/>
    <n v="5"/>
    <s v="Marketing"/>
    <n v="2"/>
    <x v="0"/>
    <n v="3"/>
    <n v="2"/>
    <x v="0"/>
    <x v="3"/>
    <s v="Divorced"/>
    <n v="5454"/>
    <n v="5"/>
    <x v="0"/>
    <n v="21"/>
    <n v="3"/>
    <n v="1"/>
    <n v="9"/>
    <n v="2"/>
    <x v="2"/>
    <n v="4"/>
    <n v="3"/>
    <n v="1"/>
    <n v="3"/>
    <n v="0"/>
    <x v="0"/>
    <x v="0"/>
    <x v="2"/>
    <n v="1363.5"/>
  </r>
  <r>
    <n v="35"/>
    <x v="1"/>
    <x v="1"/>
    <n v="11"/>
    <n v="2"/>
    <s v="Medical"/>
    <n v="3"/>
    <x v="1"/>
    <n v="2"/>
    <n v="3"/>
    <x v="4"/>
    <x v="3"/>
    <s v="Married"/>
    <n v="9884"/>
    <n v="2"/>
    <x v="0"/>
    <n v="13"/>
    <n v="3"/>
    <n v="1"/>
    <n v="10"/>
    <n v="3"/>
    <x v="1"/>
    <n v="4"/>
    <n v="0"/>
    <n v="2"/>
    <n v="3"/>
    <n v="0"/>
    <x v="2"/>
    <x v="0"/>
    <x v="2"/>
    <n v="2471"/>
  </r>
  <r>
    <n v="26"/>
    <x v="1"/>
    <x v="0"/>
    <n v="23"/>
    <n v="3"/>
    <s v="Marketing"/>
    <n v="3"/>
    <x v="0"/>
    <n v="2"/>
    <n v="2"/>
    <x v="0"/>
    <x v="0"/>
    <s v="Married"/>
    <n v="4157"/>
    <n v="7"/>
    <x v="0"/>
    <n v="19"/>
    <n v="3"/>
    <n v="1"/>
    <n v="5"/>
    <n v="2"/>
    <x v="2"/>
    <n v="2"/>
    <n v="2"/>
    <n v="0"/>
    <n v="0"/>
    <n v="0"/>
    <x v="2"/>
    <x v="0"/>
    <x v="1"/>
    <n v="2078.5"/>
  </r>
  <r>
    <n v="33"/>
    <x v="1"/>
    <x v="1"/>
    <n v="1"/>
    <n v="2"/>
    <s v="Life Sciences"/>
    <n v="1"/>
    <x v="0"/>
    <n v="3"/>
    <n v="3"/>
    <x v="7"/>
    <x v="0"/>
    <s v="Single"/>
    <n v="13458"/>
    <n v="1"/>
    <x v="0"/>
    <n v="12"/>
    <n v="3"/>
    <n v="0"/>
    <n v="15"/>
    <n v="1"/>
    <x v="1"/>
    <n v="15"/>
    <n v="14"/>
    <n v="8"/>
    <n v="12"/>
    <n v="0"/>
    <x v="2"/>
    <x v="2"/>
    <x v="3"/>
    <n v="897.2"/>
  </r>
  <r>
    <n v="35"/>
    <x v="1"/>
    <x v="0"/>
    <n v="18"/>
    <n v="5"/>
    <s v="Life Sciences"/>
    <n v="2"/>
    <x v="1"/>
    <n v="3"/>
    <n v="3"/>
    <x v="0"/>
    <x v="3"/>
    <s v="Married"/>
    <n v="9069"/>
    <n v="1"/>
    <x v="1"/>
    <n v="22"/>
    <n v="4"/>
    <n v="1"/>
    <n v="9"/>
    <n v="3"/>
    <x v="2"/>
    <n v="9"/>
    <n v="8"/>
    <n v="1"/>
    <n v="8"/>
    <n v="0"/>
    <x v="2"/>
    <x v="0"/>
    <x v="0"/>
    <n v="1007.6666666666666"/>
  </r>
  <r>
    <n v="35"/>
    <x v="1"/>
    <x v="1"/>
    <n v="23"/>
    <n v="4"/>
    <s v="Medical"/>
    <n v="3"/>
    <x v="0"/>
    <n v="3"/>
    <n v="1"/>
    <x v="2"/>
    <x v="3"/>
    <s v="Married"/>
    <n v="4014"/>
    <n v="3"/>
    <x v="0"/>
    <n v="15"/>
    <n v="3"/>
    <n v="1"/>
    <n v="4"/>
    <n v="3"/>
    <x v="1"/>
    <n v="2"/>
    <n v="2"/>
    <n v="2"/>
    <n v="2"/>
    <n v="0"/>
    <x v="2"/>
    <x v="0"/>
    <x v="1"/>
    <n v="2007"/>
  </r>
  <r>
    <n v="31"/>
    <x v="1"/>
    <x v="1"/>
    <n v="7"/>
    <n v="4"/>
    <s v="Life Sciences"/>
    <n v="4"/>
    <x v="1"/>
    <n v="3"/>
    <n v="2"/>
    <x v="2"/>
    <x v="0"/>
    <s v="Divorced"/>
    <n v="5915"/>
    <n v="3"/>
    <x v="1"/>
    <n v="22"/>
    <n v="4"/>
    <n v="1"/>
    <n v="10"/>
    <n v="3"/>
    <x v="2"/>
    <n v="7"/>
    <n v="7"/>
    <n v="1"/>
    <n v="7"/>
    <n v="0"/>
    <x v="2"/>
    <x v="0"/>
    <x v="0"/>
    <n v="845"/>
  </r>
  <r>
    <n v="37"/>
    <x v="1"/>
    <x v="1"/>
    <n v="1"/>
    <n v="4"/>
    <s v="Life Sciences"/>
    <n v="1"/>
    <x v="1"/>
    <n v="2"/>
    <n v="2"/>
    <x v="3"/>
    <x v="2"/>
    <s v="Divorced"/>
    <n v="5993"/>
    <n v="1"/>
    <x v="1"/>
    <n v="18"/>
    <n v="3"/>
    <n v="1"/>
    <n v="7"/>
    <n v="2"/>
    <x v="3"/>
    <n v="7"/>
    <n v="5"/>
    <n v="0"/>
    <n v="7"/>
    <n v="0"/>
    <x v="0"/>
    <x v="0"/>
    <x v="0"/>
    <n v="856.14285714285711"/>
  </r>
  <r>
    <n v="32"/>
    <x v="1"/>
    <x v="1"/>
    <n v="1"/>
    <n v="3"/>
    <s v="Medical"/>
    <n v="1"/>
    <x v="1"/>
    <n v="3"/>
    <n v="2"/>
    <x v="3"/>
    <x v="0"/>
    <s v="Married"/>
    <n v="6162"/>
    <n v="1"/>
    <x v="0"/>
    <n v="22"/>
    <n v="2"/>
    <n v="1"/>
    <n v="9"/>
    <n v="3"/>
    <x v="1"/>
    <n v="9"/>
    <n v="8"/>
    <n v="7"/>
    <n v="8"/>
    <n v="0"/>
    <x v="2"/>
    <x v="0"/>
    <x v="0"/>
    <n v="684.66666666666663"/>
  </r>
  <r>
    <n v="38"/>
    <x v="1"/>
    <x v="1"/>
    <n v="29"/>
    <n v="5"/>
    <s v="Life Sciences"/>
    <n v="4"/>
    <x v="0"/>
    <n v="3"/>
    <n v="2"/>
    <x v="2"/>
    <x v="0"/>
    <s v="Single"/>
    <n v="2406"/>
    <n v="1"/>
    <x v="1"/>
    <n v="11"/>
    <n v="4"/>
    <n v="0"/>
    <n v="10"/>
    <n v="2"/>
    <x v="1"/>
    <n v="10"/>
    <n v="3"/>
    <n v="9"/>
    <n v="9"/>
    <n v="0"/>
    <x v="0"/>
    <x v="1"/>
    <x v="0"/>
    <n v="240.6"/>
  </r>
  <r>
    <n v="50"/>
    <x v="1"/>
    <x v="1"/>
    <n v="7"/>
    <n v="2"/>
    <s v="Medical"/>
    <n v="2"/>
    <x v="0"/>
    <n v="2"/>
    <n v="5"/>
    <x v="7"/>
    <x v="2"/>
    <s v="Divorced"/>
    <n v="18740"/>
    <n v="5"/>
    <x v="0"/>
    <n v="12"/>
    <n v="4"/>
    <n v="1"/>
    <n v="29"/>
    <n v="2"/>
    <x v="2"/>
    <n v="27"/>
    <n v="3"/>
    <n v="13"/>
    <n v="8"/>
    <n v="0"/>
    <x v="1"/>
    <x v="2"/>
    <x v="3"/>
    <n v="694.07407407407402"/>
  </r>
  <r>
    <n v="59"/>
    <x v="1"/>
    <x v="0"/>
    <n v="25"/>
    <n v="3"/>
    <s v="Life Sciences"/>
    <n v="1"/>
    <x v="0"/>
    <n v="3"/>
    <n v="3"/>
    <x v="0"/>
    <x v="3"/>
    <s v="Single"/>
    <n v="7637"/>
    <n v="7"/>
    <x v="1"/>
    <n v="11"/>
    <n v="4"/>
    <n v="0"/>
    <n v="28"/>
    <n v="3"/>
    <x v="2"/>
    <n v="21"/>
    <n v="16"/>
    <n v="7"/>
    <n v="9"/>
    <n v="0"/>
    <x v="1"/>
    <x v="0"/>
    <x v="3"/>
    <n v="363.66666666666669"/>
  </r>
  <r>
    <n v="36"/>
    <x v="1"/>
    <x v="1"/>
    <n v="8"/>
    <n v="3"/>
    <s v="Technical Degree"/>
    <n v="3"/>
    <x v="0"/>
    <n v="3"/>
    <n v="3"/>
    <x v="4"/>
    <x v="2"/>
    <s v="Divorced"/>
    <n v="10096"/>
    <n v="1"/>
    <x v="1"/>
    <n v="13"/>
    <n v="2"/>
    <n v="3"/>
    <n v="17"/>
    <n v="2"/>
    <x v="1"/>
    <n v="17"/>
    <n v="14"/>
    <n v="12"/>
    <n v="8"/>
    <n v="0"/>
    <x v="0"/>
    <x v="2"/>
    <x v="3"/>
    <n v="593.88235294117646"/>
  </r>
  <r>
    <n v="55"/>
    <x v="1"/>
    <x v="1"/>
    <n v="8"/>
    <n v="3"/>
    <s v="Medical"/>
    <n v="4"/>
    <x v="0"/>
    <n v="3"/>
    <n v="4"/>
    <x v="5"/>
    <x v="2"/>
    <s v="Divorced"/>
    <n v="14756"/>
    <n v="2"/>
    <x v="0"/>
    <n v="14"/>
    <n v="3"/>
    <n v="3"/>
    <n v="21"/>
    <n v="2"/>
    <x v="1"/>
    <n v="5"/>
    <n v="0"/>
    <n v="0"/>
    <n v="2"/>
    <n v="0"/>
    <x v="1"/>
    <x v="2"/>
    <x v="2"/>
    <n v="2951.2"/>
  </r>
  <r>
    <n v="36"/>
    <x v="1"/>
    <x v="1"/>
    <n v="11"/>
    <n v="3"/>
    <s v="Life Sciences"/>
    <n v="2"/>
    <x v="1"/>
    <n v="2"/>
    <n v="2"/>
    <x v="3"/>
    <x v="1"/>
    <s v="Single"/>
    <n v="6499"/>
    <n v="1"/>
    <x v="1"/>
    <n v="13"/>
    <n v="3"/>
    <n v="0"/>
    <n v="6"/>
    <n v="3"/>
    <x v="1"/>
    <n v="6"/>
    <n v="5"/>
    <n v="0"/>
    <n v="3"/>
    <n v="0"/>
    <x v="0"/>
    <x v="0"/>
    <x v="0"/>
    <n v="1083.1666666666667"/>
  </r>
  <r>
    <n v="45"/>
    <x v="1"/>
    <x v="1"/>
    <n v="7"/>
    <n v="3"/>
    <s v="Life Sciences"/>
    <n v="2"/>
    <x v="1"/>
    <n v="3"/>
    <n v="3"/>
    <x v="1"/>
    <x v="3"/>
    <s v="Divorced"/>
    <n v="9724"/>
    <n v="2"/>
    <x v="1"/>
    <n v="17"/>
    <n v="3"/>
    <n v="1"/>
    <n v="25"/>
    <n v="2"/>
    <x v="1"/>
    <n v="1"/>
    <n v="0"/>
    <n v="0"/>
    <n v="0"/>
    <n v="0"/>
    <x v="0"/>
    <x v="0"/>
    <x v="1"/>
    <n v="9724"/>
  </r>
  <r>
    <n v="35"/>
    <x v="1"/>
    <x v="1"/>
    <n v="1"/>
    <n v="3"/>
    <s v="Medical"/>
    <n v="2"/>
    <x v="1"/>
    <n v="3"/>
    <n v="1"/>
    <x v="1"/>
    <x v="3"/>
    <s v="Married"/>
    <n v="2194"/>
    <n v="4"/>
    <x v="1"/>
    <n v="13"/>
    <n v="4"/>
    <n v="1"/>
    <n v="5"/>
    <n v="2"/>
    <x v="2"/>
    <n v="3"/>
    <n v="2"/>
    <n v="1"/>
    <n v="2"/>
    <n v="0"/>
    <x v="2"/>
    <x v="1"/>
    <x v="2"/>
    <n v="731.33333333333337"/>
  </r>
  <r>
    <n v="36"/>
    <x v="0"/>
    <x v="1"/>
    <n v="9"/>
    <n v="3"/>
    <s v="Medical"/>
    <n v="4"/>
    <x v="1"/>
    <n v="2"/>
    <n v="1"/>
    <x v="1"/>
    <x v="2"/>
    <s v="Married"/>
    <n v="3388"/>
    <n v="0"/>
    <x v="0"/>
    <n v="17"/>
    <n v="1"/>
    <n v="1"/>
    <n v="2"/>
    <n v="0"/>
    <x v="2"/>
    <n v="1"/>
    <n v="0"/>
    <n v="0"/>
    <n v="0"/>
    <n v="1"/>
    <x v="0"/>
    <x v="1"/>
    <x v="1"/>
    <n v="3388"/>
  </r>
  <r>
    <n v="59"/>
    <x v="1"/>
    <x v="0"/>
    <n v="1"/>
    <n v="1"/>
    <s v="Life Sciences"/>
    <n v="1"/>
    <x v="0"/>
    <n v="2"/>
    <n v="2"/>
    <x v="0"/>
    <x v="2"/>
    <s v="Single"/>
    <n v="5473"/>
    <n v="7"/>
    <x v="1"/>
    <n v="11"/>
    <n v="4"/>
    <n v="0"/>
    <n v="20"/>
    <n v="2"/>
    <x v="2"/>
    <n v="4"/>
    <n v="3"/>
    <n v="1"/>
    <n v="3"/>
    <n v="0"/>
    <x v="1"/>
    <x v="0"/>
    <x v="2"/>
    <n v="1368.25"/>
  </r>
  <r>
    <n v="29"/>
    <x v="1"/>
    <x v="1"/>
    <n v="2"/>
    <n v="3"/>
    <s v="Life Sciences"/>
    <n v="3"/>
    <x v="1"/>
    <n v="3"/>
    <n v="1"/>
    <x v="1"/>
    <x v="1"/>
    <s v="Married"/>
    <n v="2703"/>
    <n v="0"/>
    <x v="1"/>
    <n v="23"/>
    <n v="4"/>
    <n v="1"/>
    <n v="6"/>
    <n v="3"/>
    <x v="1"/>
    <n v="5"/>
    <n v="4"/>
    <n v="0"/>
    <n v="4"/>
    <n v="0"/>
    <x v="2"/>
    <x v="1"/>
    <x v="2"/>
    <n v="540.6"/>
  </r>
  <r>
    <n v="31"/>
    <x v="1"/>
    <x v="1"/>
    <n v="1"/>
    <n v="4"/>
    <s v="Medical"/>
    <n v="3"/>
    <x v="1"/>
    <n v="3"/>
    <n v="1"/>
    <x v="1"/>
    <x v="1"/>
    <s v="Single"/>
    <n v="2501"/>
    <n v="1"/>
    <x v="1"/>
    <n v="17"/>
    <n v="2"/>
    <n v="0"/>
    <n v="1"/>
    <n v="4"/>
    <x v="1"/>
    <n v="1"/>
    <n v="1"/>
    <n v="1"/>
    <n v="0"/>
    <n v="0"/>
    <x v="2"/>
    <x v="1"/>
    <x v="1"/>
    <n v="2501"/>
  </r>
  <r>
    <n v="32"/>
    <x v="1"/>
    <x v="1"/>
    <n v="1"/>
    <n v="3"/>
    <s v="Life Sciences"/>
    <n v="2"/>
    <x v="1"/>
    <n v="3"/>
    <n v="2"/>
    <x v="1"/>
    <x v="1"/>
    <s v="Married"/>
    <n v="6220"/>
    <n v="1"/>
    <x v="1"/>
    <n v="17"/>
    <n v="2"/>
    <n v="2"/>
    <n v="10"/>
    <n v="3"/>
    <x v="1"/>
    <n v="10"/>
    <n v="4"/>
    <n v="0"/>
    <n v="9"/>
    <n v="0"/>
    <x v="2"/>
    <x v="0"/>
    <x v="0"/>
    <n v="622"/>
  </r>
  <r>
    <n v="36"/>
    <x v="1"/>
    <x v="1"/>
    <n v="6"/>
    <n v="3"/>
    <s v="Life Sciences"/>
    <n v="2"/>
    <x v="0"/>
    <n v="4"/>
    <n v="1"/>
    <x v="2"/>
    <x v="0"/>
    <s v="Married"/>
    <n v="3038"/>
    <n v="3"/>
    <x v="1"/>
    <n v="12"/>
    <n v="2"/>
    <n v="0"/>
    <n v="5"/>
    <n v="3"/>
    <x v="1"/>
    <n v="1"/>
    <n v="0"/>
    <n v="0"/>
    <n v="0"/>
    <n v="0"/>
    <x v="0"/>
    <x v="1"/>
    <x v="1"/>
    <n v="3038"/>
  </r>
  <r>
    <n v="31"/>
    <x v="1"/>
    <x v="1"/>
    <n v="8"/>
    <n v="4"/>
    <s v="Life Sciences"/>
    <n v="3"/>
    <x v="0"/>
    <n v="3"/>
    <n v="2"/>
    <x v="3"/>
    <x v="0"/>
    <s v="Single"/>
    <n v="4424"/>
    <n v="1"/>
    <x v="1"/>
    <n v="23"/>
    <n v="4"/>
    <n v="0"/>
    <n v="11"/>
    <n v="2"/>
    <x v="1"/>
    <n v="11"/>
    <n v="7"/>
    <n v="1"/>
    <n v="8"/>
    <n v="0"/>
    <x v="2"/>
    <x v="0"/>
    <x v="3"/>
    <n v="402.18181818181819"/>
  </r>
  <r>
    <n v="35"/>
    <x v="1"/>
    <x v="0"/>
    <n v="1"/>
    <n v="4"/>
    <s v="Marketing"/>
    <n v="3"/>
    <x v="1"/>
    <n v="2"/>
    <n v="2"/>
    <x v="0"/>
    <x v="3"/>
    <s v="Single"/>
    <n v="4312"/>
    <n v="0"/>
    <x v="1"/>
    <n v="14"/>
    <n v="2"/>
    <n v="0"/>
    <n v="16"/>
    <n v="2"/>
    <x v="1"/>
    <n v="15"/>
    <n v="13"/>
    <n v="2"/>
    <n v="8"/>
    <n v="0"/>
    <x v="2"/>
    <x v="0"/>
    <x v="3"/>
    <n v="287.46666666666664"/>
  </r>
  <r>
    <n v="45"/>
    <x v="1"/>
    <x v="1"/>
    <n v="6"/>
    <n v="4"/>
    <s v="Other"/>
    <n v="4"/>
    <x v="1"/>
    <n v="3"/>
    <n v="3"/>
    <x v="7"/>
    <x v="3"/>
    <s v="Married"/>
    <n v="13245"/>
    <n v="4"/>
    <x v="0"/>
    <n v="14"/>
    <n v="2"/>
    <n v="0"/>
    <n v="17"/>
    <n v="3"/>
    <x v="3"/>
    <n v="0"/>
    <n v="0"/>
    <n v="0"/>
    <n v="0"/>
    <n v="0"/>
    <x v="0"/>
    <x v="2"/>
    <x v="1"/>
    <n v="13245"/>
  </r>
  <r>
    <n v="37"/>
    <x v="1"/>
    <x v="1"/>
    <n v="7"/>
    <n v="4"/>
    <s v="Medical"/>
    <n v="1"/>
    <x v="1"/>
    <n v="3"/>
    <n v="3"/>
    <x v="7"/>
    <x v="2"/>
    <s v="Single"/>
    <n v="13664"/>
    <n v="4"/>
    <x v="1"/>
    <n v="13"/>
    <n v="1"/>
    <n v="0"/>
    <n v="16"/>
    <n v="3"/>
    <x v="3"/>
    <n v="5"/>
    <n v="2"/>
    <n v="0"/>
    <n v="2"/>
    <n v="0"/>
    <x v="0"/>
    <x v="2"/>
    <x v="2"/>
    <n v="2732.8"/>
  </r>
  <r>
    <n v="46"/>
    <x v="1"/>
    <x v="2"/>
    <n v="5"/>
    <n v="2"/>
    <s v="Medical"/>
    <n v="2"/>
    <x v="1"/>
    <n v="3"/>
    <n v="2"/>
    <x v="8"/>
    <x v="1"/>
    <s v="Divorced"/>
    <n v="5021"/>
    <n v="8"/>
    <x v="0"/>
    <n v="22"/>
    <n v="4"/>
    <n v="1"/>
    <n v="16"/>
    <n v="2"/>
    <x v="1"/>
    <n v="4"/>
    <n v="2"/>
    <n v="0"/>
    <n v="2"/>
    <n v="0"/>
    <x v="1"/>
    <x v="0"/>
    <x v="2"/>
    <n v="1255.25"/>
  </r>
  <r>
    <n v="30"/>
    <x v="1"/>
    <x v="1"/>
    <n v="1"/>
    <n v="1"/>
    <s v="Life Sciences"/>
    <n v="4"/>
    <x v="1"/>
    <n v="2"/>
    <n v="2"/>
    <x v="2"/>
    <x v="0"/>
    <s v="Married"/>
    <n v="5126"/>
    <n v="1"/>
    <x v="0"/>
    <n v="12"/>
    <n v="3"/>
    <n v="2"/>
    <n v="10"/>
    <n v="1"/>
    <x v="2"/>
    <n v="10"/>
    <n v="8"/>
    <n v="3"/>
    <n v="0"/>
    <n v="0"/>
    <x v="2"/>
    <x v="0"/>
    <x v="0"/>
    <n v="512.6"/>
  </r>
  <r>
    <n v="35"/>
    <x v="1"/>
    <x v="1"/>
    <n v="1"/>
    <n v="3"/>
    <s v="Medical"/>
    <n v="2"/>
    <x v="1"/>
    <n v="2"/>
    <n v="1"/>
    <x v="1"/>
    <x v="2"/>
    <s v="Single"/>
    <n v="2859"/>
    <n v="1"/>
    <x v="1"/>
    <n v="18"/>
    <n v="1"/>
    <n v="0"/>
    <n v="6"/>
    <n v="3"/>
    <x v="1"/>
    <n v="6"/>
    <n v="4"/>
    <n v="0"/>
    <n v="4"/>
    <n v="0"/>
    <x v="2"/>
    <x v="1"/>
    <x v="0"/>
    <n v="476.5"/>
  </r>
  <r>
    <n v="55"/>
    <x v="1"/>
    <x v="0"/>
    <n v="1"/>
    <n v="2"/>
    <s v="Life Sciences"/>
    <n v="1"/>
    <x v="1"/>
    <n v="3"/>
    <n v="3"/>
    <x v="0"/>
    <x v="0"/>
    <s v="Married"/>
    <n v="10239"/>
    <n v="3"/>
    <x v="1"/>
    <n v="14"/>
    <n v="4"/>
    <n v="1"/>
    <n v="24"/>
    <n v="4"/>
    <x v="1"/>
    <n v="1"/>
    <n v="0"/>
    <n v="1"/>
    <n v="0"/>
    <n v="0"/>
    <x v="1"/>
    <x v="2"/>
    <x v="1"/>
    <n v="10239"/>
  </r>
  <r>
    <n v="38"/>
    <x v="1"/>
    <x v="1"/>
    <n v="6"/>
    <n v="3"/>
    <s v="Medical"/>
    <n v="2"/>
    <x v="0"/>
    <n v="1"/>
    <n v="2"/>
    <x v="1"/>
    <x v="0"/>
    <s v="Divorced"/>
    <n v="5329"/>
    <n v="7"/>
    <x v="0"/>
    <n v="12"/>
    <n v="4"/>
    <n v="3"/>
    <n v="17"/>
    <n v="3"/>
    <x v="1"/>
    <n v="13"/>
    <n v="11"/>
    <n v="1"/>
    <n v="9"/>
    <n v="0"/>
    <x v="0"/>
    <x v="0"/>
    <x v="3"/>
    <n v="409.92307692307691"/>
  </r>
  <r>
    <n v="34"/>
    <x v="1"/>
    <x v="1"/>
    <n v="1"/>
    <n v="2"/>
    <s v="Medical"/>
    <n v="1"/>
    <x v="1"/>
    <n v="3"/>
    <n v="2"/>
    <x v="3"/>
    <x v="1"/>
    <s v="Married"/>
    <n v="4325"/>
    <n v="1"/>
    <x v="1"/>
    <n v="15"/>
    <n v="3"/>
    <n v="0"/>
    <n v="5"/>
    <n v="2"/>
    <x v="1"/>
    <n v="5"/>
    <n v="2"/>
    <n v="1"/>
    <n v="3"/>
    <n v="0"/>
    <x v="2"/>
    <x v="0"/>
    <x v="2"/>
    <n v="865"/>
  </r>
  <r>
    <n v="56"/>
    <x v="1"/>
    <x v="1"/>
    <n v="7"/>
    <n v="3"/>
    <s v="Life Sciences"/>
    <n v="4"/>
    <x v="1"/>
    <n v="1"/>
    <n v="3"/>
    <x v="3"/>
    <x v="0"/>
    <s v="Single"/>
    <n v="7260"/>
    <n v="4"/>
    <x v="1"/>
    <n v="11"/>
    <n v="1"/>
    <n v="0"/>
    <n v="37"/>
    <n v="3"/>
    <x v="2"/>
    <n v="6"/>
    <n v="4"/>
    <n v="0"/>
    <n v="2"/>
    <n v="0"/>
    <x v="1"/>
    <x v="0"/>
    <x v="0"/>
    <n v="1210"/>
  </r>
  <r>
    <n v="23"/>
    <x v="1"/>
    <x v="0"/>
    <n v="2"/>
    <n v="1"/>
    <s v="Technical Degree"/>
    <n v="3"/>
    <x v="1"/>
    <n v="3"/>
    <n v="1"/>
    <x v="6"/>
    <x v="3"/>
    <s v="Divorced"/>
    <n v="2322"/>
    <n v="3"/>
    <x v="1"/>
    <n v="13"/>
    <n v="3"/>
    <n v="1"/>
    <n v="3"/>
    <n v="3"/>
    <x v="1"/>
    <n v="0"/>
    <n v="0"/>
    <n v="0"/>
    <n v="0"/>
    <n v="0"/>
    <x v="3"/>
    <x v="1"/>
    <x v="1"/>
    <n v="2322"/>
  </r>
  <r>
    <n v="51"/>
    <x v="1"/>
    <x v="1"/>
    <n v="9"/>
    <n v="4"/>
    <s v="Life Sciences"/>
    <n v="4"/>
    <x v="1"/>
    <n v="3"/>
    <n v="1"/>
    <x v="2"/>
    <x v="0"/>
    <s v="Married"/>
    <n v="2075"/>
    <n v="3"/>
    <x v="1"/>
    <n v="23"/>
    <n v="2"/>
    <n v="2"/>
    <n v="10"/>
    <n v="4"/>
    <x v="1"/>
    <n v="4"/>
    <n v="2"/>
    <n v="0"/>
    <n v="3"/>
    <n v="0"/>
    <x v="1"/>
    <x v="1"/>
    <x v="2"/>
    <n v="518.75"/>
  </r>
  <r>
    <n v="30"/>
    <x v="1"/>
    <x v="1"/>
    <n v="2"/>
    <n v="3"/>
    <s v="Life Sciences"/>
    <n v="3"/>
    <x v="1"/>
    <n v="2"/>
    <n v="2"/>
    <x v="4"/>
    <x v="0"/>
    <s v="Married"/>
    <n v="4152"/>
    <n v="1"/>
    <x v="1"/>
    <n v="19"/>
    <n v="1"/>
    <n v="3"/>
    <n v="11"/>
    <n v="3"/>
    <x v="1"/>
    <n v="11"/>
    <n v="10"/>
    <n v="10"/>
    <n v="8"/>
    <n v="0"/>
    <x v="2"/>
    <x v="0"/>
    <x v="3"/>
    <n v="377.45454545454544"/>
  </r>
  <r>
    <n v="46"/>
    <x v="0"/>
    <x v="0"/>
    <n v="9"/>
    <n v="2"/>
    <s v="Medical"/>
    <n v="3"/>
    <x v="1"/>
    <n v="2"/>
    <n v="3"/>
    <x v="0"/>
    <x v="0"/>
    <s v="Single"/>
    <n v="9619"/>
    <n v="1"/>
    <x v="1"/>
    <n v="16"/>
    <n v="4"/>
    <n v="0"/>
    <n v="9"/>
    <n v="3"/>
    <x v="1"/>
    <n v="9"/>
    <n v="8"/>
    <n v="4"/>
    <n v="7"/>
    <n v="1"/>
    <x v="1"/>
    <x v="0"/>
    <x v="0"/>
    <n v="1068.7777777777778"/>
  </r>
  <r>
    <n v="40"/>
    <x v="1"/>
    <x v="1"/>
    <n v="1"/>
    <n v="4"/>
    <s v="Life Sciences"/>
    <n v="3"/>
    <x v="1"/>
    <n v="2"/>
    <n v="4"/>
    <x v="4"/>
    <x v="1"/>
    <s v="Married"/>
    <n v="13503"/>
    <n v="1"/>
    <x v="1"/>
    <n v="22"/>
    <n v="4"/>
    <n v="1"/>
    <n v="22"/>
    <n v="3"/>
    <x v="2"/>
    <n v="22"/>
    <n v="3"/>
    <n v="11"/>
    <n v="11"/>
    <n v="0"/>
    <x v="0"/>
    <x v="2"/>
    <x v="3"/>
    <n v="613.77272727272725"/>
  </r>
  <r>
    <n v="51"/>
    <x v="1"/>
    <x v="0"/>
    <n v="21"/>
    <n v="4"/>
    <s v="Marketing"/>
    <n v="3"/>
    <x v="1"/>
    <n v="3"/>
    <n v="2"/>
    <x v="0"/>
    <x v="0"/>
    <s v="Single"/>
    <n v="5441"/>
    <n v="0"/>
    <x v="0"/>
    <n v="22"/>
    <n v="4"/>
    <n v="0"/>
    <n v="11"/>
    <n v="2"/>
    <x v="0"/>
    <n v="10"/>
    <n v="7"/>
    <n v="1"/>
    <n v="0"/>
    <n v="0"/>
    <x v="1"/>
    <x v="0"/>
    <x v="0"/>
    <n v="544.1"/>
  </r>
  <r>
    <n v="30"/>
    <x v="1"/>
    <x v="0"/>
    <n v="4"/>
    <n v="2"/>
    <s v="Medical"/>
    <n v="3"/>
    <x v="0"/>
    <n v="2"/>
    <n v="2"/>
    <x v="0"/>
    <x v="1"/>
    <s v="Divorced"/>
    <n v="5209"/>
    <n v="1"/>
    <x v="0"/>
    <n v="12"/>
    <n v="2"/>
    <n v="3"/>
    <n v="11"/>
    <n v="4"/>
    <x v="2"/>
    <n v="11"/>
    <n v="8"/>
    <n v="2"/>
    <n v="7"/>
    <n v="0"/>
    <x v="2"/>
    <x v="0"/>
    <x v="3"/>
    <n v="473.54545454545456"/>
  </r>
  <r>
    <n v="46"/>
    <x v="1"/>
    <x v="1"/>
    <n v="1"/>
    <n v="3"/>
    <s v="Medical"/>
    <n v="3"/>
    <x v="1"/>
    <n v="2"/>
    <n v="3"/>
    <x v="4"/>
    <x v="3"/>
    <s v="Married"/>
    <n v="10673"/>
    <n v="2"/>
    <x v="0"/>
    <n v="13"/>
    <n v="3"/>
    <n v="1"/>
    <n v="21"/>
    <n v="5"/>
    <x v="2"/>
    <n v="10"/>
    <n v="9"/>
    <n v="9"/>
    <n v="5"/>
    <n v="0"/>
    <x v="1"/>
    <x v="2"/>
    <x v="0"/>
    <n v="1067.3"/>
  </r>
  <r>
    <n v="32"/>
    <x v="1"/>
    <x v="0"/>
    <n v="6"/>
    <n v="4"/>
    <s v="Medical"/>
    <n v="2"/>
    <x v="1"/>
    <n v="3"/>
    <n v="2"/>
    <x v="0"/>
    <x v="2"/>
    <s v="Single"/>
    <n v="5010"/>
    <n v="1"/>
    <x v="1"/>
    <n v="16"/>
    <n v="1"/>
    <n v="0"/>
    <n v="12"/>
    <n v="0"/>
    <x v="1"/>
    <n v="11"/>
    <n v="8"/>
    <n v="5"/>
    <n v="7"/>
    <n v="0"/>
    <x v="2"/>
    <x v="0"/>
    <x v="3"/>
    <n v="455.45454545454544"/>
  </r>
  <r>
    <n v="54"/>
    <x v="1"/>
    <x v="1"/>
    <n v="2"/>
    <n v="4"/>
    <s v="Technical Degree"/>
    <n v="1"/>
    <x v="0"/>
    <n v="3"/>
    <n v="3"/>
    <x v="7"/>
    <x v="2"/>
    <s v="Married"/>
    <n v="13549"/>
    <n v="9"/>
    <x v="1"/>
    <n v="12"/>
    <n v="1"/>
    <n v="1"/>
    <n v="16"/>
    <n v="5"/>
    <x v="0"/>
    <n v="4"/>
    <n v="3"/>
    <n v="0"/>
    <n v="3"/>
    <n v="0"/>
    <x v="1"/>
    <x v="2"/>
    <x v="2"/>
    <n v="3387.25"/>
  </r>
  <r>
    <n v="24"/>
    <x v="1"/>
    <x v="0"/>
    <n v="3"/>
    <n v="2"/>
    <s v="Other"/>
    <n v="1"/>
    <x v="0"/>
    <n v="3"/>
    <n v="2"/>
    <x v="0"/>
    <x v="2"/>
    <s v="Married"/>
    <n v="4999"/>
    <n v="0"/>
    <x v="1"/>
    <n v="21"/>
    <n v="1"/>
    <n v="1"/>
    <n v="4"/>
    <n v="2"/>
    <x v="2"/>
    <n v="3"/>
    <n v="2"/>
    <n v="0"/>
    <n v="2"/>
    <n v="0"/>
    <x v="3"/>
    <x v="0"/>
    <x v="2"/>
    <n v="1666.3333333333333"/>
  </r>
  <r>
    <n v="28"/>
    <x v="1"/>
    <x v="0"/>
    <n v="4"/>
    <n v="3"/>
    <s v="Medical"/>
    <n v="2"/>
    <x v="1"/>
    <n v="3"/>
    <n v="2"/>
    <x v="0"/>
    <x v="2"/>
    <s v="Married"/>
    <n v="4221"/>
    <n v="1"/>
    <x v="1"/>
    <n v="15"/>
    <n v="2"/>
    <n v="0"/>
    <n v="5"/>
    <n v="3"/>
    <x v="3"/>
    <n v="5"/>
    <n v="4"/>
    <n v="0"/>
    <n v="4"/>
    <n v="0"/>
    <x v="2"/>
    <x v="0"/>
    <x v="2"/>
    <n v="844.2"/>
  </r>
  <r>
    <n v="58"/>
    <x v="1"/>
    <x v="0"/>
    <n v="10"/>
    <n v="4"/>
    <s v="Medical"/>
    <n v="4"/>
    <x v="1"/>
    <n v="3"/>
    <n v="4"/>
    <x v="0"/>
    <x v="2"/>
    <s v="Single"/>
    <n v="13872"/>
    <n v="0"/>
    <x v="1"/>
    <n v="13"/>
    <n v="3"/>
    <n v="0"/>
    <n v="38"/>
    <n v="1"/>
    <x v="2"/>
    <n v="37"/>
    <n v="10"/>
    <n v="1"/>
    <n v="8"/>
    <n v="0"/>
    <x v="1"/>
    <x v="2"/>
    <x v="3"/>
    <n v="374.91891891891891"/>
  </r>
  <r>
    <n v="44"/>
    <x v="1"/>
    <x v="1"/>
    <n v="23"/>
    <n v="3"/>
    <s v="Medical"/>
    <n v="2"/>
    <x v="1"/>
    <n v="3"/>
    <n v="2"/>
    <x v="2"/>
    <x v="1"/>
    <s v="Married"/>
    <n v="2042"/>
    <n v="4"/>
    <x v="1"/>
    <n v="12"/>
    <n v="3"/>
    <n v="1"/>
    <n v="17"/>
    <n v="3"/>
    <x v="3"/>
    <n v="3"/>
    <n v="2"/>
    <n v="1"/>
    <n v="2"/>
    <n v="0"/>
    <x v="0"/>
    <x v="1"/>
    <x v="2"/>
    <n v="680.66666666666663"/>
  </r>
  <r>
    <n v="37"/>
    <x v="0"/>
    <x v="2"/>
    <n v="6"/>
    <n v="4"/>
    <s v="Human Resources"/>
    <n v="3"/>
    <x v="1"/>
    <n v="3"/>
    <n v="1"/>
    <x v="8"/>
    <x v="3"/>
    <s v="Divorced"/>
    <n v="2073"/>
    <n v="4"/>
    <x v="0"/>
    <n v="22"/>
    <n v="4"/>
    <n v="0"/>
    <n v="7"/>
    <n v="3"/>
    <x v="1"/>
    <n v="3"/>
    <n v="2"/>
    <n v="0"/>
    <n v="2"/>
    <n v="1"/>
    <x v="0"/>
    <x v="1"/>
    <x v="2"/>
    <n v="691"/>
  </r>
  <r>
    <n v="32"/>
    <x v="1"/>
    <x v="1"/>
    <n v="1"/>
    <n v="1"/>
    <s v="Life Sciences"/>
    <n v="4"/>
    <x v="1"/>
    <n v="3"/>
    <n v="1"/>
    <x v="1"/>
    <x v="3"/>
    <s v="Single"/>
    <n v="2956"/>
    <n v="1"/>
    <x v="1"/>
    <n v="13"/>
    <n v="4"/>
    <n v="0"/>
    <n v="1"/>
    <n v="2"/>
    <x v="1"/>
    <n v="1"/>
    <n v="0"/>
    <n v="0"/>
    <n v="0"/>
    <n v="0"/>
    <x v="2"/>
    <x v="1"/>
    <x v="1"/>
    <n v="2956"/>
  </r>
  <r>
    <n v="20"/>
    <x v="0"/>
    <x v="1"/>
    <n v="6"/>
    <n v="3"/>
    <s v="Life Sciences"/>
    <n v="4"/>
    <x v="0"/>
    <n v="2"/>
    <n v="1"/>
    <x v="2"/>
    <x v="0"/>
    <s v="Single"/>
    <n v="2926"/>
    <n v="1"/>
    <x v="0"/>
    <n v="18"/>
    <n v="2"/>
    <n v="0"/>
    <n v="1"/>
    <n v="5"/>
    <x v="1"/>
    <n v="1"/>
    <n v="0"/>
    <n v="1"/>
    <n v="0"/>
    <n v="1"/>
    <x v="3"/>
    <x v="1"/>
    <x v="1"/>
    <n v="2926"/>
  </r>
  <r>
    <n v="34"/>
    <x v="1"/>
    <x v="1"/>
    <n v="6"/>
    <n v="4"/>
    <s v="Other"/>
    <n v="1"/>
    <x v="0"/>
    <n v="3"/>
    <n v="2"/>
    <x v="1"/>
    <x v="2"/>
    <s v="Single"/>
    <n v="4809"/>
    <n v="1"/>
    <x v="1"/>
    <n v="14"/>
    <n v="3"/>
    <n v="0"/>
    <n v="16"/>
    <n v="3"/>
    <x v="1"/>
    <n v="16"/>
    <n v="13"/>
    <n v="2"/>
    <n v="10"/>
    <n v="0"/>
    <x v="2"/>
    <x v="0"/>
    <x v="3"/>
    <n v="300.5625"/>
  </r>
  <r>
    <n v="37"/>
    <x v="1"/>
    <x v="1"/>
    <n v="2"/>
    <n v="2"/>
    <s v="Life Sciences"/>
    <n v="3"/>
    <x v="1"/>
    <n v="2"/>
    <n v="2"/>
    <x v="4"/>
    <x v="0"/>
    <s v="Divorced"/>
    <n v="5163"/>
    <n v="5"/>
    <x v="1"/>
    <n v="14"/>
    <n v="4"/>
    <n v="1"/>
    <n v="17"/>
    <n v="2"/>
    <x v="3"/>
    <n v="1"/>
    <n v="0"/>
    <n v="0"/>
    <n v="0"/>
    <n v="0"/>
    <x v="0"/>
    <x v="0"/>
    <x v="1"/>
    <n v="5163"/>
  </r>
  <r>
    <n v="59"/>
    <x v="1"/>
    <x v="2"/>
    <n v="2"/>
    <n v="4"/>
    <s v="Human Resources"/>
    <n v="3"/>
    <x v="0"/>
    <n v="2"/>
    <n v="5"/>
    <x v="5"/>
    <x v="0"/>
    <s v="Married"/>
    <n v="18844"/>
    <n v="9"/>
    <x v="1"/>
    <n v="21"/>
    <n v="4"/>
    <n v="1"/>
    <n v="30"/>
    <n v="3"/>
    <x v="1"/>
    <n v="3"/>
    <n v="2"/>
    <n v="2"/>
    <n v="2"/>
    <n v="0"/>
    <x v="1"/>
    <x v="2"/>
    <x v="2"/>
    <n v="6281.333333333333"/>
  </r>
  <r>
    <n v="50"/>
    <x v="1"/>
    <x v="1"/>
    <n v="1"/>
    <n v="3"/>
    <s v="Life Sciences"/>
    <n v="1"/>
    <x v="0"/>
    <n v="3"/>
    <n v="5"/>
    <x v="7"/>
    <x v="1"/>
    <s v="Married"/>
    <n v="18172"/>
    <n v="3"/>
    <x v="0"/>
    <n v="19"/>
    <n v="1"/>
    <n v="0"/>
    <n v="28"/>
    <n v="1"/>
    <x v="2"/>
    <n v="8"/>
    <n v="3"/>
    <n v="0"/>
    <n v="7"/>
    <n v="0"/>
    <x v="1"/>
    <x v="2"/>
    <x v="0"/>
    <n v="2271.5"/>
  </r>
  <r>
    <n v="25"/>
    <x v="0"/>
    <x v="0"/>
    <n v="5"/>
    <n v="3"/>
    <s v="Marketing"/>
    <n v="3"/>
    <x v="1"/>
    <n v="2"/>
    <n v="2"/>
    <x v="0"/>
    <x v="2"/>
    <s v="Single"/>
    <n v="5744"/>
    <n v="1"/>
    <x v="0"/>
    <n v="11"/>
    <n v="4"/>
    <n v="0"/>
    <n v="6"/>
    <n v="1"/>
    <x v="1"/>
    <n v="6"/>
    <n v="4"/>
    <n v="0"/>
    <n v="3"/>
    <n v="1"/>
    <x v="3"/>
    <x v="0"/>
    <x v="0"/>
    <n v="957.33333333333337"/>
  </r>
  <r>
    <n v="25"/>
    <x v="1"/>
    <x v="1"/>
    <n v="7"/>
    <n v="1"/>
    <s v="Medical"/>
    <n v="4"/>
    <x v="1"/>
    <n v="2"/>
    <n v="1"/>
    <x v="1"/>
    <x v="0"/>
    <s v="Married"/>
    <n v="2889"/>
    <n v="1"/>
    <x v="1"/>
    <n v="11"/>
    <n v="3"/>
    <n v="2"/>
    <n v="2"/>
    <n v="2"/>
    <x v="1"/>
    <n v="2"/>
    <n v="2"/>
    <n v="2"/>
    <n v="1"/>
    <n v="0"/>
    <x v="3"/>
    <x v="1"/>
    <x v="1"/>
    <n v="1444.5"/>
  </r>
  <r>
    <n v="22"/>
    <x v="1"/>
    <x v="1"/>
    <n v="15"/>
    <n v="3"/>
    <s v="Medical"/>
    <n v="2"/>
    <x v="0"/>
    <n v="3"/>
    <n v="1"/>
    <x v="2"/>
    <x v="0"/>
    <s v="Single"/>
    <n v="2871"/>
    <n v="1"/>
    <x v="1"/>
    <n v="15"/>
    <n v="3"/>
    <n v="0"/>
    <n v="1"/>
    <n v="5"/>
    <x v="1"/>
    <n v="0"/>
    <n v="0"/>
    <n v="0"/>
    <n v="0"/>
    <n v="0"/>
    <x v="3"/>
    <x v="1"/>
    <x v="1"/>
    <n v="2871"/>
  </r>
  <r>
    <n v="51"/>
    <x v="1"/>
    <x v="1"/>
    <n v="1"/>
    <n v="4"/>
    <s v="Medical"/>
    <n v="1"/>
    <x v="0"/>
    <n v="2"/>
    <n v="3"/>
    <x v="4"/>
    <x v="3"/>
    <s v="Single"/>
    <n v="7484"/>
    <n v="3"/>
    <x v="1"/>
    <n v="20"/>
    <n v="3"/>
    <n v="0"/>
    <n v="23"/>
    <n v="1"/>
    <x v="2"/>
    <n v="13"/>
    <n v="12"/>
    <n v="12"/>
    <n v="8"/>
    <n v="0"/>
    <x v="1"/>
    <x v="0"/>
    <x v="3"/>
    <n v="575.69230769230774"/>
  </r>
  <r>
    <n v="34"/>
    <x v="0"/>
    <x v="1"/>
    <n v="7"/>
    <n v="3"/>
    <s v="Life Sciences"/>
    <n v="1"/>
    <x v="1"/>
    <n v="1"/>
    <n v="2"/>
    <x v="2"/>
    <x v="2"/>
    <s v="Single"/>
    <n v="6074"/>
    <n v="1"/>
    <x v="0"/>
    <n v="24"/>
    <n v="4"/>
    <n v="0"/>
    <n v="9"/>
    <n v="3"/>
    <x v="1"/>
    <n v="9"/>
    <n v="7"/>
    <n v="0"/>
    <n v="6"/>
    <n v="1"/>
    <x v="2"/>
    <x v="0"/>
    <x v="0"/>
    <n v="674.88888888888891"/>
  </r>
  <r>
    <n v="54"/>
    <x v="1"/>
    <x v="2"/>
    <n v="26"/>
    <n v="3"/>
    <s v="Human Resources"/>
    <n v="4"/>
    <x v="0"/>
    <n v="4"/>
    <n v="4"/>
    <x v="5"/>
    <x v="0"/>
    <s v="Single"/>
    <n v="17328"/>
    <n v="2"/>
    <x v="0"/>
    <n v="12"/>
    <n v="3"/>
    <n v="0"/>
    <n v="23"/>
    <n v="3"/>
    <x v="1"/>
    <n v="5"/>
    <n v="3"/>
    <n v="4"/>
    <n v="4"/>
    <n v="0"/>
    <x v="1"/>
    <x v="2"/>
    <x v="2"/>
    <n v="3465.6"/>
  </r>
  <r>
    <n v="24"/>
    <x v="1"/>
    <x v="1"/>
    <n v="18"/>
    <n v="1"/>
    <s v="Life Sciences"/>
    <n v="2"/>
    <x v="1"/>
    <n v="3"/>
    <n v="1"/>
    <x v="2"/>
    <x v="2"/>
    <s v="Married"/>
    <n v="2774"/>
    <n v="0"/>
    <x v="1"/>
    <n v="12"/>
    <n v="3"/>
    <n v="1"/>
    <n v="6"/>
    <n v="2"/>
    <x v="1"/>
    <n v="5"/>
    <n v="3"/>
    <n v="1"/>
    <n v="2"/>
    <n v="0"/>
    <x v="3"/>
    <x v="1"/>
    <x v="2"/>
    <n v="554.79999999999995"/>
  </r>
  <r>
    <n v="34"/>
    <x v="1"/>
    <x v="1"/>
    <n v="6"/>
    <n v="4"/>
    <s v="Life Sciences"/>
    <n v="3"/>
    <x v="0"/>
    <n v="2"/>
    <n v="2"/>
    <x v="1"/>
    <x v="1"/>
    <s v="Divorced"/>
    <n v="4505"/>
    <n v="6"/>
    <x v="1"/>
    <n v="15"/>
    <n v="3"/>
    <n v="1"/>
    <n v="12"/>
    <n v="3"/>
    <x v="1"/>
    <n v="1"/>
    <n v="0"/>
    <n v="0"/>
    <n v="0"/>
    <n v="0"/>
    <x v="2"/>
    <x v="0"/>
    <x v="1"/>
    <n v="4505"/>
  </r>
  <r>
    <n v="37"/>
    <x v="1"/>
    <x v="0"/>
    <n v="3"/>
    <n v="3"/>
    <s v="Life Sciences"/>
    <n v="3"/>
    <x v="1"/>
    <n v="3"/>
    <n v="3"/>
    <x v="0"/>
    <x v="0"/>
    <s v="Single"/>
    <n v="7428"/>
    <n v="2"/>
    <x v="1"/>
    <n v="12"/>
    <n v="1"/>
    <n v="0"/>
    <n v="12"/>
    <n v="3"/>
    <x v="1"/>
    <n v="5"/>
    <n v="3"/>
    <n v="1"/>
    <n v="3"/>
    <n v="0"/>
    <x v="0"/>
    <x v="0"/>
    <x v="2"/>
    <n v="1485.6"/>
  </r>
  <r>
    <n v="34"/>
    <x v="1"/>
    <x v="1"/>
    <n v="5"/>
    <n v="3"/>
    <s v="Medical"/>
    <n v="3"/>
    <x v="0"/>
    <n v="2"/>
    <n v="3"/>
    <x v="5"/>
    <x v="3"/>
    <s v="Single"/>
    <n v="11631"/>
    <n v="2"/>
    <x v="1"/>
    <n v="12"/>
    <n v="4"/>
    <n v="0"/>
    <n v="14"/>
    <n v="6"/>
    <x v="1"/>
    <n v="11"/>
    <n v="10"/>
    <n v="5"/>
    <n v="8"/>
    <n v="0"/>
    <x v="2"/>
    <x v="2"/>
    <x v="3"/>
    <n v="1057.3636363636363"/>
  </r>
  <r>
    <n v="36"/>
    <x v="1"/>
    <x v="0"/>
    <n v="11"/>
    <n v="2"/>
    <s v="Technical Degree"/>
    <n v="2"/>
    <x v="0"/>
    <n v="3"/>
    <n v="3"/>
    <x v="0"/>
    <x v="0"/>
    <s v="Married"/>
    <n v="9738"/>
    <n v="0"/>
    <x v="1"/>
    <n v="14"/>
    <n v="3"/>
    <n v="1"/>
    <n v="10"/>
    <n v="6"/>
    <x v="1"/>
    <n v="9"/>
    <n v="7"/>
    <n v="2"/>
    <n v="8"/>
    <n v="0"/>
    <x v="0"/>
    <x v="0"/>
    <x v="0"/>
    <n v="1082"/>
  </r>
  <r>
    <n v="36"/>
    <x v="1"/>
    <x v="1"/>
    <n v="3"/>
    <n v="2"/>
    <s v="Life Sciences"/>
    <n v="1"/>
    <x v="0"/>
    <n v="3"/>
    <n v="1"/>
    <x v="2"/>
    <x v="0"/>
    <s v="Divorced"/>
    <n v="2835"/>
    <n v="5"/>
    <x v="1"/>
    <n v="22"/>
    <n v="1"/>
    <n v="1"/>
    <n v="7"/>
    <n v="2"/>
    <x v="1"/>
    <n v="1"/>
    <n v="0"/>
    <n v="0"/>
    <n v="0"/>
    <n v="0"/>
    <x v="0"/>
    <x v="1"/>
    <x v="1"/>
    <n v="2835"/>
  </r>
  <r>
    <n v="43"/>
    <x v="1"/>
    <x v="0"/>
    <n v="26"/>
    <n v="2"/>
    <s v="Life Sciences"/>
    <n v="3"/>
    <x v="1"/>
    <n v="3"/>
    <n v="4"/>
    <x v="5"/>
    <x v="0"/>
    <s v="Married"/>
    <n v="16959"/>
    <n v="1"/>
    <x v="0"/>
    <n v="12"/>
    <n v="4"/>
    <n v="2"/>
    <n v="25"/>
    <n v="3"/>
    <x v="3"/>
    <n v="25"/>
    <n v="12"/>
    <n v="4"/>
    <n v="12"/>
    <n v="0"/>
    <x v="0"/>
    <x v="2"/>
    <x v="3"/>
    <n v="678.36"/>
  </r>
  <r>
    <n v="30"/>
    <x v="1"/>
    <x v="1"/>
    <n v="23"/>
    <n v="3"/>
    <s v="Life Sciences"/>
    <n v="1"/>
    <x v="1"/>
    <n v="1"/>
    <n v="1"/>
    <x v="1"/>
    <x v="2"/>
    <s v="Divorced"/>
    <n v="2613"/>
    <n v="1"/>
    <x v="1"/>
    <n v="25"/>
    <n v="3"/>
    <n v="3"/>
    <n v="10"/>
    <n v="2"/>
    <x v="2"/>
    <n v="10"/>
    <n v="7"/>
    <n v="0"/>
    <n v="9"/>
    <n v="0"/>
    <x v="2"/>
    <x v="1"/>
    <x v="0"/>
    <n v="261.3"/>
  </r>
  <r>
    <n v="33"/>
    <x v="1"/>
    <x v="0"/>
    <n v="22"/>
    <n v="2"/>
    <s v="Marketing"/>
    <n v="3"/>
    <x v="1"/>
    <n v="3"/>
    <n v="2"/>
    <x v="0"/>
    <x v="1"/>
    <s v="Married"/>
    <n v="6146"/>
    <n v="0"/>
    <x v="1"/>
    <n v="13"/>
    <n v="1"/>
    <n v="1"/>
    <n v="8"/>
    <n v="2"/>
    <x v="3"/>
    <n v="7"/>
    <n v="7"/>
    <n v="0"/>
    <n v="7"/>
    <n v="0"/>
    <x v="2"/>
    <x v="0"/>
    <x v="0"/>
    <n v="878"/>
  </r>
  <r>
    <n v="56"/>
    <x v="0"/>
    <x v="1"/>
    <n v="14"/>
    <n v="4"/>
    <s v="Life Sciences"/>
    <n v="2"/>
    <x v="0"/>
    <n v="3"/>
    <n v="1"/>
    <x v="1"/>
    <x v="1"/>
    <s v="Married"/>
    <n v="4963"/>
    <n v="9"/>
    <x v="0"/>
    <n v="18"/>
    <n v="1"/>
    <n v="3"/>
    <n v="7"/>
    <n v="2"/>
    <x v="1"/>
    <n v="5"/>
    <n v="4"/>
    <n v="4"/>
    <n v="3"/>
    <n v="1"/>
    <x v="1"/>
    <x v="0"/>
    <x v="2"/>
    <n v="992.6"/>
  </r>
  <r>
    <n v="51"/>
    <x v="1"/>
    <x v="1"/>
    <n v="6"/>
    <n v="3"/>
    <s v="Life Sciences"/>
    <n v="1"/>
    <x v="1"/>
    <n v="3"/>
    <n v="5"/>
    <x v="7"/>
    <x v="2"/>
    <s v="Single"/>
    <n v="19537"/>
    <n v="7"/>
    <x v="1"/>
    <n v="13"/>
    <n v="3"/>
    <n v="0"/>
    <n v="23"/>
    <n v="5"/>
    <x v="1"/>
    <n v="20"/>
    <n v="18"/>
    <n v="15"/>
    <n v="15"/>
    <n v="0"/>
    <x v="1"/>
    <x v="2"/>
    <x v="3"/>
    <n v="976.85"/>
  </r>
  <r>
    <n v="31"/>
    <x v="0"/>
    <x v="0"/>
    <n v="6"/>
    <n v="4"/>
    <s v="Life Sciences"/>
    <n v="2"/>
    <x v="1"/>
    <n v="1"/>
    <n v="2"/>
    <x v="0"/>
    <x v="2"/>
    <s v="Married"/>
    <n v="6172"/>
    <n v="4"/>
    <x v="0"/>
    <n v="18"/>
    <n v="2"/>
    <n v="0"/>
    <n v="12"/>
    <n v="3"/>
    <x v="2"/>
    <n v="7"/>
    <n v="7"/>
    <n v="7"/>
    <n v="7"/>
    <n v="1"/>
    <x v="2"/>
    <x v="0"/>
    <x v="0"/>
    <n v="881.71428571428567"/>
  </r>
  <r>
    <n v="26"/>
    <x v="1"/>
    <x v="1"/>
    <n v="6"/>
    <n v="3"/>
    <s v="Other"/>
    <n v="3"/>
    <x v="0"/>
    <n v="2"/>
    <n v="1"/>
    <x v="1"/>
    <x v="1"/>
    <s v="Married"/>
    <n v="2368"/>
    <n v="1"/>
    <x v="1"/>
    <n v="19"/>
    <n v="3"/>
    <n v="0"/>
    <n v="5"/>
    <n v="3"/>
    <x v="2"/>
    <n v="5"/>
    <n v="4"/>
    <n v="4"/>
    <n v="3"/>
    <n v="0"/>
    <x v="2"/>
    <x v="1"/>
    <x v="2"/>
    <n v="473.6"/>
  </r>
  <r>
    <n v="58"/>
    <x v="0"/>
    <x v="1"/>
    <n v="23"/>
    <n v="4"/>
    <s v="Medical"/>
    <n v="4"/>
    <x v="0"/>
    <n v="3"/>
    <n v="3"/>
    <x v="4"/>
    <x v="0"/>
    <s v="Married"/>
    <n v="10312"/>
    <n v="1"/>
    <x v="1"/>
    <n v="12"/>
    <n v="4"/>
    <n v="1"/>
    <n v="40"/>
    <n v="3"/>
    <x v="2"/>
    <n v="40"/>
    <n v="10"/>
    <n v="15"/>
    <n v="6"/>
    <n v="1"/>
    <x v="1"/>
    <x v="2"/>
    <x v="3"/>
    <n v="257.8"/>
  </r>
  <r>
    <n v="19"/>
    <x v="0"/>
    <x v="0"/>
    <n v="22"/>
    <n v="1"/>
    <s v="Marketing"/>
    <n v="4"/>
    <x v="1"/>
    <n v="3"/>
    <n v="1"/>
    <x v="6"/>
    <x v="2"/>
    <s v="Single"/>
    <n v="1675"/>
    <n v="1"/>
    <x v="0"/>
    <n v="19"/>
    <n v="4"/>
    <n v="0"/>
    <n v="0"/>
    <n v="2"/>
    <x v="2"/>
    <n v="0"/>
    <n v="0"/>
    <n v="0"/>
    <n v="0"/>
    <n v="1"/>
    <x v="3"/>
    <x v="1"/>
    <x v="1"/>
    <n v="1675"/>
  </r>
  <r>
    <n v="22"/>
    <x v="1"/>
    <x v="1"/>
    <n v="2"/>
    <n v="1"/>
    <s v="Technical Degree"/>
    <n v="3"/>
    <x v="1"/>
    <n v="3"/>
    <n v="1"/>
    <x v="2"/>
    <x v="0"/>
    <s v="Married"/>
    <n v="2523"/>
    <n v="0"/>
    <x v="1"/>
    <n v="14"/>
    <n v="3"/>
    <n v="1"/>
    <n v="3"/>
    <n v="2"/>
    <x v="1"/>
    <n v="2"/>
    <n v="1"/>
    <n v="2"/>
    <n v="1"/>
    <n v="0"/>
    <x v="3"/>
    <x v="1"/>
    <x v="1"/>
    <n v="1261.5"/>
  </r>
  <r>
    <n v="49"/>
    <x v="1"/>
    <x v="1"/>
    <n v="20"/>
    <n v="4"/>
    <s v="Medical"/>
    <n v="3"/>
    <x v="0"/>
    <n v="3"/>
    <n v="2"/>
    <x v="3"/>
    <x v="3"/>
    <s v="Married"/>
    <n v="6567"/>
    <n v="1"/>
    <x v="1"/>
    <n v="14"/>
    <n v="3"/>
    <n v="0"/>
    <n v="16"/>
    <n v="2"/>
    <x v="2"/>
    <n v="15"/>
    <n v="11"/>
    <n v="5"/>
    <n v="11"/>
    <n v="0"/>
    <x v="1"/>
    <x v="0"/>
    <x v="3"/>
    <n v="437.8"/>
  </r>
  <r>
    <n v="43"/>
    <x v="1"/>
    <x v="1"/>
    <n v="28"/>
    <n v="3"/>
    <s v="Medical"/>
    <n v="2"/>
    <x v="0"/>
    <n v="4"/>
    <n v="1"/>
    <x v="1"/>
    <x v="2"/>
    <s v="Single"/>
    <n v="4739"/>
    <n v="4"/>
    <x v="1"/>
    <n v="12"/>
    <n v="4"/>
    <n v="0"/>
    <n v="18"/>
    <n v="2"/>
    <x v="1"/>
    <n v="3"/>
    <n v="2"/>
    <n v="1"/>
    <n v="2"/>
    <n v="0"/>
    <x v="0"/>
    <x v="0"/>
    <x v="2"/>
    <n v="1579.6666666666667"/>
  </r>
  <r>
    <n v="50"/>
    <x v="1"/>
    <x v="0"/>
    <n v="12"/>
    <n v="3"/>
    <s v="Marketing"/>
    <n v="3"/>
    <x v="0"/>
    <n v="3"/>
    <n v="3"/>
    <x v="0"/>
    <x v="0"/>
    <s v="Single"/>
    <n v="9208"/>
    <n v="4"/>
    <x v="1"/>
    <n v="11"/>
    <n v="4"/>
    <n v="0"/>
    <n v="16"/>
    <n v="3"/>
    <x v="1"/>
    <n v="2"/>
    <n v="2"/>
    <n v="2"/>
    <n v="1"/>
    <n v="0"/>
    <x v="1"/>
    <x v="0"/>
    <x v="1"/>
    <n v="4604"/>
  </r>
  <r>
    <n v="31"/>
    <x v="0"/>
    <x v="0"/>
    <n v="20"/>
    <n v="3"/>
    <s v="Life Sciences"/>
    <n v="2"/>
    <x v="0"/>
    <n v="1"/>
    <n v="2"/>
    <x v="0"/>
    <x v="2"/>
    <s v="Married"/>
    <n v="4559"/>
    <n v="3"/>
    <x v="0"/>
    <n v="11"/>
    <n v="3"/>
    <n v="1"/>
    <n v="4"/>
    <n v="2"/>
    <x v="1"/>
    <n v="2"/>
    <n v="2"/>
    <n v="2"/>
    <n v="2"/>
    <n v="1"/>
    <x v="2"/>
    <x v="0"/>
    <x v="1"/>
    <n v="2279.5"/>
  </r>
  <r>
    <n v="41"/>
    <x v="1"/>
    <x v="0"/>
    <n v="9"/>
    <n v="1"/>
    <s v="Life Sciences"/>
    <n v="3"/>
    <x v="1"/>
    <n v="3"/>
    <n v="3"/>
    <x v="0"/>
    <x v="2"/>
    <s v="Divorced"/>
    <n v="8189"/>
    <n v="3"/>
    <x v="0"/>
    <n v="13"/>
    <n v="3"/>
    <n v="1"/>
    <n v="12"/>
    <n v="2"/>
    <x v="1"/>
    <n v="9"/>
    <n v="7"/>
    <n v="0"/>
    <n v="7"/>
    <n v="0"/>
    <x v="0"/>
    <x v="0"/>
    <x v="0"/>
    <n v="909.88888888888891"/>
  </r>
  <r>
    <n v="26"/>
    <x v="1"/>
    <x v="2"/>
    <n v="25"/>
    <n v="1"/>
    <s v="Life Sciences"/>
    <n v="3"/>
    <x v="0"/>
    <n v="3"/>
    <n v="1"/>
    <x v="8"/>
    <x v="2"/>
    <s v="Married"/>
    <n v="2942"/>
    <n v="1"/>
    <x v="1"/>
    <n v="23"/>
    <n v="4"/>
    <n v="1"/>
    <n v="8"/>
    <n v="3"/>
    <x v="1"/>
    <n v="8"/>
    <n v="7"/>
    <n v="5"/>
    <n v="7"/>
    <n v="0"/>
    <x v="2"/>
    <x v="1"/>
    <x v="0"/>
    <n v="367.75"/>
  </r>
  <r>
    <n v="36"/>
    <x v="1"/>
    <x v="1"/>
    <n v="6"/>
    <n v="2"/>
    <s v="Medical"/>
    <n v="2"/>
    <x v="1"/>
    <n v="3"/>
    <n v="2"/>
    <x v="3"/>
    <x v="1"/>
    <s v="Divorced"/>
    <n v="4941"/>
    <n v="6"/>
    <x v="1"/>
    <n v="20"/>
    <n v="4"/>
    <n v="2"/>
    <n v="7"/>
    <n v="0"/>
    <x v="1"/>
    <n v="3"/>
    <n v="2"/>
    <n v="0"/>
    <n v="1"/>
    <n v="0"/>
    <x v="0"/>
    <x v="0"/>
    <x v="2"/>
    <n v="1647"/>
  </r>
  <r>
    <n v="51"/>
    <x v="0"/>
    <x v="1"/>
    <n v="8"/>
    <n v="4"/>
    <s v="Life Sciences"/>
    <n v="1"/>
    <x v="1"/>
    <n v="1"/>
    <n v="3"/>
    <x v="3"/>
    <x v="0"/>
    <s v="Single"/>
    <n v="10650"/>
    <n v="2"/>
    <x v="1"/>
    <n v="15"/>
    <n v="4"/>
    <n v="0"/>
    <n v="18"/>
    <n v="2"/>
    <x v="1"/>
    <n v="4"/>
    <n v="2"/>
    <n v="0"/>
    <n v="3"/>
    <n v="1"/>
    <x v="1"/>
    <x v="2"/>
    <x v="2"/>
    <n v="2662.5"/>
  </r>
  <r>
    <n v="39"/>
    <x v="1"/>
    <x v="0"/>
    <n v="4"/>
    <n v="4"/>
    <s v="Life Sciences"/>
    <n v="4"/>
    <x v="0"/>
    <n v="2"/>
    <n v="2"/>
    <x v="0"/>
    <x v="2"/>
    <s v="Married"/>
    <n v="5902"/>
    <n v="4"/>
    <x v="1"/>
    <n v="14"/>
    <n v="3"/>
    <n v="1"/>
    <n v="17"/>
    <n v="1"/>
    <x v="3"/>
    <n v="15"/>
    <n v="11"/>
    <n v="5"/>
    <n v="9"/>
    <n v="0"/>
    <x v="0"/>
    <x v="0"/>
    <x v="3"/>
    <n v="393.46666666666664"/>
  </r>
  <r>
    <n v="25"/>
    <x v="1"/>
    <x v="0"/>
    <n v="28"/>
    <n v="3"/>
    <s v="Life Sciences"/>
    <n v="1"/>
    <x v="1"/>
    <n v="2"/>
    <n v="2"/>
    <x v="0"/>
    <x v="2"/>
    <s v="Married"/>
    <n v="8639"/>
    <n v="2"/>
    <x v="1"/>
    <n v="18"/>
    <n v="4"/>
    <n v="0"/>
    <n v="6"/>
    <n v="3"/>
    <x v="1"/>
    <n v="2"/>
    <n v="2"/>
    <n v="2"/>
    <n v="2"/>
    <n v="0"/>
    <x v="3"/>
    <x v="0"/>
    <x v="1"/>
    <n v="4319.5"/>
  </r>
  <r>
    <n v="30"/>
    <x v="1"/>
    <x v="2"/>
    <n v="9"/>
    <n v="3"/>
    <s v="Human Resources"/>
    <n v="3"/>
    <x v="1"/>
    <n v="3"/>
    <n v="2"/>
    <x v="8"/>
    <x v="0"/>
    <s v="Married"/>
    <n v="6347"/>
    <n v="0"/>
    <x v="0"/>
    <n v="19"/>
    <n v="4"/>
    <n v="0"/>
    <n v="12"/>
    <n v="2"/>
    <x v="0"/>
    <n v="11"/>
    <n v="9"/>
    <n v="4"/>
    <n v="7"/>
    <n v="0"/>
    <x v="2"/>
    <x v="0"/>
    <x v="3"/>
    <n v="577"/>
  </r>
  <r>
    <n v="32"/>
    <x v="0"/>
    <x v="1"/>
    <n v="9"/>
    <n v="3"/>
    <s v="Medical"/>
    <n v="1"/>
    <x v="0"/>
    <n v="3"/>
    <n v="1"/>
    <x v="2"/>
    <x v="3"/>
    <s v="Single"/>
    <n v="4200"/>
    <n v="7"/>
    <x v="1"/>
    <n v="22"/>
    <n v="1"/>
    <n v="0"/>
    <n v="10"/>
    <n v="2"/>
    <x v="3"/>
    <n v="5"/>
    <n v="4"/>
    <n v="0"/>
    <n v="4"/>
    <n v="1"/>
    <x v="2"/>
    <x v="0"/>
    <x v="2"/>
    <n v="840"/>
  </r>
  <r>
    <n v="45"/>
    <x v="1"/>
    <x v="1"/>
    <n v="29"/>
    <n v="3"/>
    <s v="Medical"/>
    <n v="3"/>
    <x v="1"/>
    <n v="3"/>
    <n v="1"/>
    <x v="1"/>
    <x v="0"/>
    <s v="Single"/>
    <n v="3452"/>
    <n v="5"/>
    <x v="1"/>
    <n v="13"/>
    <n v="2"/>
    <n v="0"/>
    <n v="9"/>
    <n v="2"/>
    <x v="2"/>
    <n v="6"/>
    <n v="5"/>
    <n v="0"/>
    <n v="3"/>
    <n v="0"/>
    <x v="0"/>
    <x v="1"/>
    <x v="0"/>
    <n v="575.33333333333337"/>
  </r>
  <r>
    <n v="38"/>
    <x v="1"/>
    <x v="1"/>
    <n v="3"/>
    <n v="5"/>
    <s v="Technical Degree"/>
    <n v="4"/>
    <x v="0"/>
    <n v="3"/>
    <n v="2"/>
    <x v="1"/>
    <x v="2"/>
    <s v="Single"/>
    <n v="4317"/>
    <n v="3"/>
    <x v="0"/>
    <n v="20"/>
    <n v="2"/>
    <n v="0"/>
    <n v="19"/>
    <n v="2"/>
    <x v="1"/>
    <n v="3"/>
    <n v="2"/>
    <n v="2"/>
    <n v="2"/>
    <n v="0"/>
    <x v="0"/>
    <x v="0"/>
    <x v="2"/>
    <n v="1439"/>
  </r>
  <r>
    <n v="30"/>
    <x v="1"/>
    <x v="1"/>
    <n v="18"/>
    <n v="3"/>
    <s v="Life Sciences"/>
    <n v="1"/>
    <x v="0"/>
    <n v="3"/>
    <n v="1"/>
    <x v="1"/>
    <x v="2"/>
    <s v="Single"/>
    <n v="2632"/>
    <n v="1"/>
    <x v="1"/>
    <n v="14"/>
    <n v="3"/>
    <n v="0"/>
    <n v="5"/>
    <n v="4"/>
    <x v="2"/>
    <n v="5"/>
    <n v="4"/>
    <n v="0"/>
    <n v="4"/>
    <n v="0"/>
    <x v="2"/>
    <x v="1"/>
    <x v="2"/>
    <n v="526.4"/>
  </r>
  <r>
    <n v="32"/>
    <x v="1"/>
    <x v="0"/>
    <n v="9"/>
    <n v="2"/>
    <s v="Medical"/>
    <n v="4"/>
    <x v="1"/>
    <n v="1"/>
    <n v="2"/>
    <x v="0"/>
    <x v="0"/>
    <s v="Divorced"/>
    <n v="4668"/>
    <n v="0"/>
    <x v="1"/>
    <n v="17"/>
    <n v="4"/>
    <n v="3"/>
    <n v="9"/>
    <n v="2"/>
    <x v="3"/>
    <n v="8"/>
    <n v="7"/>
    <n v="0"/>
    <n v="7"/>
    <n v="0"/>
    <x v="2"/>
    <x v="0"/>
    <x v="0"/>
    <n v="583.5"/>
  </r>
  <r>
    <n v="30"/>
    <x v="1"/>
    <x v="1"/>
    <n v="5"/>
    <n v="3"/>
    <s v="Technical Degree"/>
    <n v="4"/>
    <x v="0"/>
    <n v="3"/>
    <n v="1"/>
    <x v="1"/>
    <x v="3"/>
    <s v="Divorced"/>
    <n v="3204"/>
    <n v="5"/>
    <x v="1"/>
    <n v="14"/>
    <n v="4"/>
    <n v="1"/>
    <n v="8"/>
    <n v="3"/>
    <x v="1"/>
    <n v="3"/>
    <n v="2"/>
    <n v="2"/>
    <n v="2"/>
    <n v="0"/>
    <x v="2"/>
    <x v="1"/>
    <x v="2"/>
    <n v="1068"/>
  </r>
  <r>
    <n v="30"/>
    <x v="1"/>
    <x v="1"/>
    <n v="2"/>
    <n v="1"/>
    <s v="Medical"/>
    <n v="2"/>
    <x v="1"/>
    <n v="2"/>
    <n v="1"/>
    <x v="2"/>
    <x v="0"/>
    <s v="Single"/>
    <n v="2720"/>
    <n v="0"/>
    <x v="1"/>
    <n v="13"/>
    <n v="4"/>
    <n v="0"/>
    <n v="6"/>
    <n v="3"/>
    <x v="1"/>
    <n v="5"/>
    <n v="3"/>
    <n v="1"/>
    <n v="2"/>
    <n v="0"/>
    <x v="2"/>
    <x v="1"/>
    <x v="2"/>
    <n v="544"/>
  </r>
  <r>
    <n v="41"/>
    <x v="1"/>
    <x v="1"/>
    <n v="10"/>
    <n v="3"/>
    <s v="Life Sciences"/>
    <n v="4"/>
    <x v="1"/>
    <n v="2"/>
    <n v="4"/>
    <x v="5"/>
    <x v="3"/>
    <s v="Divorced"/>
    <n v="17181"/>
    <n v="4"/>
    <x v="1"/>
    <n v="13"/>
    <n v="2"/>
    <n v="1"/>
    <n v="21"/>
    <n v="2"/>
    <x v="2"/>
    <n v="7"/>
    <n v="6"/>
    <n v="7"/>
    <n v="7"/>
    <n v="0"/>
    <x v="0"/>
    <x v="2"/>
    <x v="0"/>
    <n v="2454.4285714285716"/>
  </r>
  <r>
    <n v="41"/>
    <x v="1"/>
    <x v="1"/>
    <n v="9"/>
    <n v="4"/>
    <s v="Life Sciences"/>
    <n v="3"/>
    <x v="1"/>
    <n v="3"/>
    <n v="1"/>
    <x v="2"/>
    <x v="3"/>
    <s v="Married"/>
    <n v="2238"/>
    <n v="2"/>
    <x v="1"/>
    <n v="21"/>
    <n v="4"/>
    <n v="1"/>
    <n v="7"/>
    <n v="2"/>
    <x v="1"/>
    <n v="5"/>
    <n v="0"/>
    <n v="1"/>
    <n v="4"/>
    <n v="0"/>
    <x v="0"/>
    <x v="1"/>
    <x v="2"/>
    <n v="447.6"/>
  </r>
  <r>
    <n v="19"/>
    <x v="1"/>
    <x v="1"/>
    <n v="3"/>
    <n v="1"/>
    <s v="Medical"/>
    <n v="2"/>
    <x v="0"/>
    <n v="3"/>
    <n v="1"/>
    <x v="2"/>
    <x v="1"/>
    <s v="Single"/>
    <n v="1483"/>
    <n v="1"/>
    <x v="1"/>
    <n v="14"/>
    <n v="4"/>
    <n v="0"/>
    <n v="1"/>
    <n v="3"/>
    <x v="1"/>
    <n v="1"/>
    <n v="0"/>
    <n v="0"/>
    <n v="0"/>
    <n v="0"/>
    <x v="3"/>
    <x v="1"/>
    <x v="1"/>
    <n v="1483"/>
  </r>
  <r>
    <n v="40"/>
    <x v="1"/>
    <x v="1"/>
    <n v="26"/>
    <n v="3"/>
    <s v="Medical"/>
    <n v="2"/>
    <x v="0"/>
    <n v="3"/>
    <n v="2"/>
    <x v="1"/>
    <x v="1"/>
    <s v="Divorced"/>
    <n v="5605"/>
    <n v="1"/>
    <x v="1"/>
    <n v="11"/>
    <n v="1"/>
    <n v="1"/>
    <n v="20"/>
    <n v="2"/>
    <x v="1"/>
    <n v="20"/>
    <n v="7"/>
    <n v="2"/>
    <n v="13"/>
    <n v="0"/>
    <x v="0"/>
    <x v="0"/>
    <x v="3"/>
    <n v="280.25"/>
  </r>
  <r>
    <n v="35"/>
    <x v="1"/>
    <x v="0"/>
    <n v="1"/>
    <n v="5"/>
    <s v="Marketing"/>
    <n v="3"/>
    <x v="1"/>
    <n v="3"/>
    <n v="3"/>
    <x v="0"/>
    <x v="1"/>
    <s v="Married"/>
    <n v="7295"/>
    <n v="1"/>
    <x v="1"/>
    <n v="13"/>
    <n v="1"/>
    <n v="2"/>
    <n v="10"/>
    <n v="3"/>
    <x v="1"/>
    <n v="10"/>
    <n v="8"/>
    <n v="0"/>
    <n v="6"/>
    <n v="0"/>
    <x v="2"/>
    <x v="0"/>
    <x v="0"/>
    <n v="729.5"/>
  </r>
  <r>
    <n v="53"/>
    <x v="1"/>
    <x v="0"/>
    <n v="6"/>
    <n v="2"/>
    <s v="Marketing"/>
    <n v="2"/>
    <x v="1"/>
    <n v="3"/>
    <n v="2"/>
    <x v="6"/>
    <x v="2"/>
    <s v="Married"/>
    <n v="2306"/>
    <n v="2"/>
    <x v="0"/>
    <n v="20"/>
    <n v="4"/>
    <n v="1"/>
    <n v="13"/>
    <n v="3"/>
    <x v="0"/>
    <n v="7"/>
    <n v="7"/>
    <n v="4"/>
    <n v="5"/>
    <n v="0"/>
    <x v="1"/>
    <x v="1"/>
    <x v="0"/>
    <n v="329.42857142857144"/>
  </r>
  <r>
    <n v="45"/>
    <x v="1"/>
    <x v="1"/>
    <n v="9"/>
    <n v="3"/>
    <s v="Life Sciences"/>
    <n v="2"/>
    <x v="1"/>
    <n v="3"/>
    <n v="2"/>
    <x v="2"/>
    <x v="1"/>
    <s v="Divorced"/>
    <n v="2348"/>
    <n v="8"/>
    <x v="1"/>
    <n v="18"/>
    <n v="3"/>
    <n v="1"/>
    <n v="20"/>
    <n v="2"/>
    <x v="0"/>
    <n v="17"/>
    <n v="9"/>
    <n v="0"/>
    <n v="15"/>
    <n v="0"/>
    <x v="0"/>
    <x v="1"/>
    <x v="3"/>
    <n v="138.11764705882354"/>
  </r>
  <r>
    <n v="32"/>
    <x v="1"/>
    <x v="0"/>
    <n v="8"/>
    <n v="3"/>
    <s v="Marketing"/>
    <n v="2"/>
    <x v="0"/>
    <n v="3"/>
    <n v="3"/>
    <x v="0"/>
    <x v="0"/>
    <s v="Single"/>
    <n v="8998"/>
    <n v="1"/>
    <x v="1"/>
    <n v="14"/>
    <n v="4"/>
    <n v="0"/>
    <n v="9"/>
    <n v="2"/>
    <x v="1"/>
    <n v="9"/>
    <n v="8"/>
    <n v="3"/>
    <n v="7"/>
    <n v="0"/>
    <x v="2"/>
    <x v="0"/>
    <x v="0"/>
    <n v="999.77777777777783"/>
  </r>
  <r>
    <n v="29"/>
    <x v="1"/>
    <x v="1"/>
    <n v="1"/>
    <n v="1"/>
    <s v="Technical Degree"/>
    <n v="4"/>
    <x v="1"/>
    <n v="3"/>
    <n v="2"/>
    <x v="3"/>
    <x v="2"/>
    <s v="Married"/>
    <n v="4319"/>
    <n v="1"/>
    <x v="1"/>
    <n v="13"/>
    <n v="1"/>
    <n v="1"/>
    <n v="10"/>
    <n v="1"/>
    <x v="1"/>
    <n v="10"/>
    <n v="7"/>
    <n v="0"/>
    <n v="9"/>
    <n v="0"/>
    <x v="2"/>
    <x v="0"/>
    <x v="0"/>
    <n v="431.9"/>
  </r>
  <r>
    <n v="51"/>
    <x v="1"/>
    <x v="1"/>
    <n v="7"/>
    <n v="4"/>
    <s v="Medical"/>
    <n v="2"/>
    <x v="1"/>
    <n v="2"/>
    <n v="2"/>
    <x v="3"/>
    <x v="2"/>
    <s v="Married"/>
    <n v="6132"/>
    <n v="2"/>
    <x v="1"/>
    <n v="17"/>
    <n v="3"/>
    <n v="0"/>
    <n v="10"/>
    <n v="2"/>
    <x v="1"/>
    <n v="1"/>
    <n v="0"/>
    <n v="0"/>
    <n v="0"/>
    <n v="0"/>
    <x v="1"/>
    <x v="0"/>
    <x v="1"/>
    <n v="6132"/>
  </r>
  <r>
    <n v="58"/>
    <x v="1"/>
    <x v="1"/>
    <n v="9"/>
    <n v="3"/>
    <s v="Medical"/>
    <n v="2"/>
    <x v="0"/>
    <n v="2"/>
    <n v="1"/>
    <x v="1"/>
    <x v="1"/>
    <s v="Married"/>
    <n v="3346"/>
    <n v="4"/>
    <x v="0"/>
    <n v="20"/>
    <n v="2"/>
    <n v="1"/>
    <n v="9"/>
    <n v="3"/>
    <x v="2"/>
    <n v="1"/>
    <n v="0"/>
    <n v="0"/>
    <n v="0"/>
    <n v="0"/>
    <x v="1"/>
    <x v="1"/>
    <x v="1"/>
    <n v="3346"/>
  </r>
  <r>
    <n v="40"/>
    <x v="1"/>
    <x v="0"/>
    <n v="4"/>
    <n v="4"/>
    <s v="Marketing"/>
    <n v="3"/>
    <x v="1"/>
    <n v="2"/>
    <n v="3"/>
    <x v="0"/>
    <x v="0"/>
    <s v="Married"/>
    <n v="10855"/>
    <n v="7"/>
    <x v="1"/>
    <n v="11"/>
    <n v="1"/>
    <n v="1"/>
    <n v="15"/>
    <n v="2"/>
    <x v="2"/>
    <n v="12"/>
    <n v="11"/>
    <n v="2"/>
    <n v="11"/>
    <n v="0"/>
    <x v="0"/>
    <x v="2"/>
    <x v="3"/>
    <n v="904.58333333333337"/>
  </r>
  <r>
    <n v="34"/>
    <x v="1"/>
    <x v="0"/>
    <n v="2"/>
    <n v="4"/>
    <s v="Marketing"/>
    <n v="3"/>
    <x v="0"/>
    <n v="3"/>
    <n v="1"/>
    <x v="6"/>
    <x v="2"/>
    <s v="Married"/>
    <n v="2231"/>
    <n v="6"/>
    <x v="1"/>
    <n v="18"/>
    <n v="4"/>
    <n v="1"/>
    <n v="6"/>
    <n v="3"/>
    <x v="1"/>
    <n v="4"/>
    <n v="3"/>
    <n v="1"/>
    <n v="2"/>
    <n v="0"/>
    <x v="2"/>
    <x v="1"/>
    <x v="2"/>
    <n v="557.75"/>
  </r>
  <r>
    <n v="22"/>
    <x v="1"/>
    <x v="1"/>
    <n v="19"/>
    <n v="1"/>
    <s v="Medical"/>
    <n v="3"/>
    <x v="1"/>
    <n v="3"/>
    <n v="1"/>
    <x v="1"/>
    <x v="0"/>
    <s v="Married"/>
    <n v="2323"/>
    <n v="1"/>
    <x v="1"/>
    <n v="24"/>
    <n v="1"/>
    <n v="2"/>
    <n v="2"/>
    <n v="6"/>
    <x v="1"/>
    <n v="2"/>
    <n v="2"/>
    <n v="2"/>
    <n v="2"/>
    <n v="0"/>
    <x v="3"/>
    <x v="1"/>
    <x v="1"/>
    <n v="1161.5"/>
  </r>
  <r>
    <n v="27"/>
    <x v="1"/>
    <x v="1"/>
    <n v="9"/>
    <n v="3"/>
    <s v="Medical"/>
    <n v="4"/>
    <x v="1"/>
    <n v="3"/>
    <n v="1"/>
    <x v="1"/>
    <x v="1"/>
    <s v="Divorced"/>
    <n v="2024"/>
    <n v="6"/>
    <x v="1"/>
    <n v="18"/>
    <n v="4"/>
    <n v="1"/>
    <n v="6"/>
    <n v="1"/>
    <x v="0"/>
    <n v="2"/>
    <n v="2"/>
    <n v="2"/>
    <n v="2"/>
    <n v="0"/>
    <x v="2"/>
    <x v="1"/>
    <x v="1"/>
    <n v="1012"/>
  </r>
  <r>
    <n v="28"/>
    <x v="1"/>
    <x v="1"/>
    <n v="21"/>
    <n v="3"/>
    <s v="Medical"/>
    <n v="3"/>
    <x v="1"/>
    <n v="3"/>
    <n v="1"/>
    <x v="1"/>
    <x v="0"/>
    <s v="Married"/>
    <n v="2713"/>
    <n v="1"/>
    <x v="1"/>
    <n v="11"/>
    <n v="3"/>
    <n v="1"/>
    <n v="5"/>
    <n v="2"/>
    <x v="0"/>
    <n v="5"/>
    <n v="2"/>
    <n v="0"/>
    <n v="2"/>
    <n v="0"/>
    <x v="2"/>
    <x v="1"/>
    <x v="2"/>
    <n v="542.6"/>
  </r>
  <r>
    <n v="57"/>
    <x v="1"/>
    <x v="1"/>
    <n v="24"/>
    <n v="2"/>
    <s v="Life Sciences"/>
    <n v="3"/>
    <x v="1"/>
    <n v="4"/>
    <n v="3"/>
    <x v="4"/>
    <x v="0"/>
    <s v="Divorced"/>
    <n v="9439"/>
    <n v="3"/>
    <x v="0"/>
    <n v="16"/>
    <n v="2"/>
    <n v="1"/>
    <n v="12"/>
    <n v="2"/>
    <x v="0"/>
    <n v="5"/>
    <n v="3"/>
    <n v="1"/>
    <n v="4"/>
    <n v="0"/>
    <x v="1"/>
    <x v="0"/>
    <x v="2"/>
    <n v="1887.8"/>
  </r>
  <r>
    <n v="27"/>
    <x v="1"/>
    <x v="1"/>
    <n v="3"/>
    <n v="3"/>
    <s v="Medical"/>
    <n v="3"/>
    <x v="1"/>
    <n v="2"/>
    <n v="1"/>
    <x v="1"/>
    <x v="2"/>
    <s v="Divorced"/>
    <n v="2566"/>
    <n v="1"/>
    <x v="0"/>
    <n v="15"/>
    <n v="4"/>
    <n v="1"/>
    <n v="1"/>
    <n v="2"/>
    <x v="2"/>
    <n v="1"/>
    <n v="1"/>
    <n v="0"/>
    <n v="1"/>
    <n v="0"/>
    <x v="2"/>
    <x v="1"/>
    <x v="1"/>
    <n v="2566"/>
  </r>
  <r>
    <n v="50"/>
    <x v="1"/>
    <x v="1"/>
    <n v="11"/>
    <n v="3"/>
    <s v="Life Sciences"/>
    <n v="3"/>
    <x v="0"/>
    <n v="3"/>
    <n v="5"/>
    <x v="5"/>
    <x v="1"/>
    <s v="Single"/>
    <n v="19926"/>
    <n v="3"/>
    <x v="1"/>
    <n v="15"/>
    <n v="2"/>
    <n v="0"/>
    <n v="21"/>
    <n v="5"/>
    <x v="1"/>
    <n v="5"/>
    <n v="4"/>
    <n v="4"/>
    <n v="4"/>
    <n v="0"/>
    <x v="1"/>
    <x v="2"/>
    <x v="2"/>
    <n v="3985.2"/>
  </r>
  <r>
    <n v="41"/>
    <x v="1"/>
    <x v="1"/>
    <n v="14"/>
    <n v="3"/>
    <s v="Life Sciences"/>
    <n v="1"/>
    <x v="1"/>
    <n v="3"/>
    <n v="1"/>
    <x v="1"/>
    <x v="2"/>
    <s v="Divorced"/>
    <n v="2451"/>
    <n v="4"/>
    <x v="1"/>
    <n v="12"/>
    <n v="1"/>
    <n v="1"/>
    <n v="13"/>
    <n v="2"/>
    <x v="1"/>
    <n v="9"/>
    <n v="8"/>
    <n v="1"/>
    <n v="8"/>
    <n v="0"/>
    <x v="0"/>
    <x v="1"/>
    <x v="0"/>
    <n v="272.33333333333331"/>
  </r>
  <r>
    <n v="30"/>
    <x v="1"/>
    <x v="0"/>
    <n v="5"/>
    <n v="3"/>
    <s v="Life Sciences"/>
    <n v="2"/>
    <x v="0"/>
    <n v="3"/>
    <n v="3"/>
    <x v="0"/>
    <x v="0"/>
    <s v="Married"/>
    <n v="9419"/>
    <n v="2"/>
    <x v="1"/>
    <n v="12"/>
    <n v="3"/>
    <n v="1"/>
    <n v="12"/>
    <n v="2"/>
    <x v="1"/>
    <n v="10"/>
    <n v="9"/>
    <n v="7"/>
    <n v="4"/>
    <n v="0"/>
    <x v="2"/>
    <x v="0"/>
    <x v="0"/>
    <n v="941.9"/>
  </r>
  <r>
    <n v="38"/>
    <x v="1"/>
    <x v="0"/>
    <n v="1"/>
    <n v="4"/>
    <s v="Life Sciences"/>
    <n v="1"/>
    <x v="0"/>
    <n v="2"/>
    <n v="2"/>
    <x v="0"/>
    <x v="0"/>
    <s v="Single"/>
    <n v="8686"/>
    <n v="4"/>
    <x v="1"/>
    <n v="22"/>
    <n v="3"/>
    <n v="0"/>
    <n v="12"/>
    <n v="2"/>
    <x v="3"/>
    <n v="8"/>
    <n v="3"/>
    <n v="0"/>
    <n v="7"/>
    <n v="0"/>
    <x v="0"/>
    <x v="0"/>
    <x v="0"/>
    <n v="1085.75"/>
  </r>
  <r>
    <n v="32"/>
    <x v="1"/>
    <x v="1"/>
    <n v="6"/>
    <n v="5"/>
    <s v="Life Sciences"/>
    <n v="3"/>
    <x v="1"/>
    <n v="3"/>
    <n v="1"/>
    <x v="1"/>
    <x v="2"/>
    <s v="Single"/>
    <n v="3038"/>
    <n v="3"/>
    <x v="1"/>
    <n v="20"/>
    <n v="1"/>
    <n v="0"/>
    <n v="8"/>
    <n v="2"/>
    <x v="1"/>
    <n v="5"/>
    <n v="4"/>
    <n v="1"/>
    <n v="4"/>
    <n v="0"/>
    <x v="2"/>
    <x v="1"/>
    <x v="2"/>
    <n v="607.6"/>
  </r>
  <r>
    <n v="27"/>
    <x v="1"/>
    <x v="1"/>
    <n v="17"/>
    <n v="3"/>
    <s v="Technical Degree"/>
    <n v="3"/>
    <x v="1"/>
    <n v="3"/>
    <n v="1"/>
    <x v="1"/>
    <x v="1"/>
    <s v="Married"/>
    <n v="3058"/>
    <n v="0"/>
    <x v="0"/>
    <n v="16"/>
    <n v="4"/>
    <n v="1"/>
    <n v="6"/>
    <n v="3"/>
    <x v="2"/>
    <n v="5"/>
    <n v="2"/>
    <n v="1"/>
    <n v="1"/>
    <n v="0"/>
    <x v="2"/>
    <x v="1"/>
    <x v="2"/>
    <n v="611.6"/>
  </r>
  <r>
    <n v="19"/>
    <x v="0"/>
    <x v="0"/>
    <n v="1"/>
    <n v="1"/>
    <s v="Technical Degree"/>
    <n v="3"/>
    <x v="0"/>
    <n v="1"/>
    <n v="1"/>
    <x v="6"/>
    <x v="3"/>
    <s v="Single"/>
    <n v="2325"/>
    <n v="0"/>
    <x v="1"/>
    <n v="21"/>
    <n v="1"/>
    <n v="0"/>
    <n v="1"/>
    <n v="5"/>
    <x v="3"/>
    <n v="0"/>
    <n v="0"/>
    <n v="0"/>
    <n v="0"/>
    <n v="1"/>
    <x v="3"/>
    <x v="1"/>
    <x v="1"/>
    <n v="2325"/>
  </r>
  <r>
    <n v="36"/>
    <x v="1"/>
    <x v="1"/>
    <n v="3"/>
    <n v="2"/>
    <s v="Medical"/>
    <n v="4"/>
    <x v="1"/>
    <n v="3"/>
    <n v="1"/>
    <x v="2"/>
    <x v="1"/>
    <s v="Single"/>
    <n v="2088"/>
    <n v="4"/>
    <x v="1"/>
    <n v="12"/>
    <n v="3"/>
    <n v="0"/>
    <n v="13"/>
    <n v="3"/>
    <x v="2"/>
    <n v="8"/>
    <n v="7"/>
    <n v="7"/>
    <n v="2"/>
    <n v="0"/>
    <x v="0"/>
    <x v="1"/>
    <x v="0"/>
    <n v="261"/>
  </r>
  <r>
    <n v="30"/>
    <x v="1"/>
    <x v="1"/>
    <n v="9"/>
    <n v="3"/>
    <s v="Medical"/>
    <n v="3"/>
    <x v="1"/>
    <n v="3"/>
    <n v="2"/>
    <x v="2"/>
    <x v="3"/>
    <s v="Divorced"/>
    <n v="3072"/>
    <n v="1"/>
    <x v="1"/>
    <n v="11"/>
    <n v="3"/>
    <n v="2"/>
    <n v="12"/>
    <n v="4"/>
    <x v="1"/>
    <n v="12"/>
    <n v="9"/>
    <n v="6"/>
    <n v="10"/>
    <n v="0"/>
    <x v="2"/>
    <x v="1"/>
    <x v="3"/>
    <n v="256"/>
  </r>
  <r>
    <n v="45"/>
    <x v="1"/>
    <x v="0"/>
    <n v="4"/>
    <n v="2"/>
    <s v="Life Sciences"/>
    <n v="3"/>
    <x v="0"/>
    <n v="3"/>
    <n v="2"/>
    <x v="0"/>
    <x v="3"/>
    <s v="Divorced"/>
    <n v="5006"/>
    <n v="4"/>
    <x v="0"/>
    <n v="11"/>
    <n v="1"/>
    <n v="1"/>
    <n v="9"/>
    <n v="3"/>
    <x v="3"/>
    <n v="5"/>
    <n v="4"/>
    <n v="0"/>
    <n v="3"/>
    <n v="0"/>
    <x v="0"/>
    <x v="0"/>
    <x v="2"/>
    <n v="1001.2"/>
  </r>
  <r>
    <n v="56"/>
    <x v="1"/>
    <x v="1"/>
    <n v="8"/>
    <n v="3"/>
    <s v="Life Sciences"/>
    <n v="3"/>
    <x v="0"/>
    <n v="3"/>
    <n v="1"/>
    <x v="1"/>
    <x v="3"/>
    <s v="Divorced"/>
    <n v="4257"/>
    <n v="4"/>
    <x v="0"/>
    <n v="18"/>
    <n v="3"/>
    <n v="1"/>
    <n v="19"/>
    <n v="3"/>
    <x v="1"/>
    <n v="2"/>
    <n v="2"/>
    <n v="2"/>
    <n v="2"/>
    <n v="0"/>
    <x v="1"/>
    <x v="0"/>
    <x v="1"/>
    <n v="2128.5"/>
  </r>
  <r>
    <n v="33"/>
    <x v="1"/>
    <x v="1"/>
    <n v="2"/>
    <n v="3"/>
    <s v="Life Sciences"/>
    <n v="3"/>
    <x v="1"/>
    <n v="3"/>
    <n v="1"/>
    <x v="1"/>
    <x v="0"/>
    <s v="Single"/>
    <n v="2500"/>
    <n v="0"/>
    <x v="1"/>
    <n v="14"/>
    <n v="1"/>
    <n v="0"/>
    <n v="4"/>
    <n v="2"/>
    <x v="3"/>
    <n v="3"/>
    <n v="1"/>
    <n v="0"/>
    <n v="2"/>
    <n v="0"/>
    <x v="2"/>
    <x v="1"/>
    <x v="2"/>
    <n v="833.33333333333337"/>
  </r>
  <r>
    <n v="19"/>
    <x v="0"/>
    <x v="1"/>
    <n v="2"/>
    <n v="3"/>
    <s v="Life Sciences"/>
    <n v="2"/>
    <x v="1"/>
    <n v="2"/>
    <n v="1"/>
    <x v="2"/>
    <x v="0"/>
    <s v="Single"/>
    <n v="1102"/>
    <n v="1"/>
    <x v="1"/>
    <n v="22"/>
    <n v="3"/>
    <n v="0"/>
    <n v="1"/>
    <n v="3"/>
    <x v="2"/>
    <n v="1"/>
    <n v="0"/>
    <n v="1"/>
    <n v="0"/>
    <n v="1"/>
    <x v="3"/>
    <x v="1"/>
    <x v="1"/>
    <n v="1102"/>
  </r>
  <r>
    <n v="46"/>
    <x v="1"/>
    <x v="0"/>
    <n v="1"/>
    <n v="2"/>
    <s v="Marketing"/>
    <n v="2"/>
    <x v="0"/>
    <n v="3"/>
    <n v="3"/>
    <x v="0"/>
    <x v="3"/>
    <s v="Divorced"/>
    <n v="10453"/>
    <n v="1"/>
    <x v="1"/>
    <n v="25"/>
    <n v="3"/>
    <n v="3"/>
    <n v="24"/>
    <n v="2"/>
    <x v="1"/>
    <n v="24"/>
    <n v="13"/>
    <n v="15"/>
    <n v="7"/>
    <n v="0"/>
    <x v="1"/>
    <x v="2"/>
    <x v="3"/>
    <n v="435.54166666666669"/>
  </r>
  <r>
    <n v="38"/>
    <x v="1"/>
    <x v="1"/>
    <n v="9"/>
    <n v="2"/>
    <s v="Life Sciences"/>
    <n v="3"/>
    <x v="0"/>
    <n v="3"/>
    <n v="1"/>
    <x v="2"/>
    <x v="0"/>
    <s v="Single"/>
    <n v="2288"/>
    <n v="1"/>
    <x v="1"/>
    <n v="12"/>
    <n v="3"/>
    <n v="0"/>
    <n v="2"/>
    <n v="3"/>
    <x v="1"/>
    <n v="2"/>
    <n v="2"/>
    <n v="2"/>
    <n v="1"/>
    <n v="0"/>
    <x v="0"/>
    <x v="1"/>
    <x v="1"/>
    <n v="1144"/>
  </r>
  <r>
    <n v="31"/>
    <x v="1"/>
    <x v="1"/>
    <n v="12"/>
    <n v="1"/>
    <s v="Medical"/>
    <n v="3"/>
    <x v="0"/>
    <n v="3"/>
    <n v="1"/>
    <x v="1"/>
    <x v="0"/>
    <s v="Married"/>
    <n v="3929"/>
    <n v="8"/>
    <x v="0"/>
    <n v="23"/>
    <n v="3"/>
    <n v="1"/>
    <n v="7"/>
    <n v="0"/>
    <x v="1"/>
    <n v="4"/>
    <n v="2"/>
    <n v="0"/>
    <n v="2"/>
    <n v="0"/>
    <x v="2"/>
    <x v="1"/>
    <x v="2"/>
    <n v="982.25"/>
  </r>
  <r>
    <n v="34"/>
    <x v="1"/>
    <x v="1"/>
    <n v="27"/>
    <n v="2"/>
    <s v="Medical"/>
    <n v="4"/>
    <x v="0"/>
    <n v="3"/>
    <n v="1"/>
    <x v="1"/>
    <x v="1"/>
    <s v="Single"/>
    <n v="2311"/>
    <n v="2"/>
    <x v="1"/>
    <n v="15"/>
    <n v="4"/>
    <n v="0"/>
    <n v="9"/>
    <n v="3"/>
    <x v="1"/>
    <n v="3"/>
    <n v="2"/>
    <n v="1"/>
    <n v="2"/>
    <n v="0"/>
    <x v="2"/>
    <x v="1"/>
    <x v="2"/>
    <n v="770.33333333333337"/>
  </r>
  <r>
    <n v="41"/>
    <x v="0"/>
    <x v="0"/>
    <n v="20"/>
    <n v="2"/>
    <s v="Marketing"/>
    <n v="2"/>
    <x v="0"/>
    <n v="3"/>
    <n v="1"/>
    <x v="6"/>
    <x v="1"/>
    <s v="Single"/>
    <n v="3140"/>
    <n v="1"/>
    <x v="0"/>
    <n v="22"/>
    <n v="4"/>
    <n v="0"/>
    <n v="4"/>
    <n v="5"/>
    <x v="2"/>
    <n v="4"/>
    <n v="3"/>
    <n v="0"/>
    <n v="2"/>
    <n v="1"/>
    <x v="0"/>
    <x v="1"/>
    <x v="2"/>
    <n v="785"/>
  </r>
  <r>
    <n v="50"/>
    <x v="1"/>
    <x v="1"/>
    <n v="1"/>
    <n v="3"/>
    <s v="Medical"/>
    <n v="3"/>
    <x v="1"/>
    <n v="2"/>
    <n v="1"/>
    <x v="2"/>
    <x v="2"/>
    <s v="Married"/>
    <n v="3690"/>
    <n v="2"/>
    <x v="1"/>
    <n v="15"/>
    <n v="4"/>
    <n v="1"/>
    <n v="5"/>
    <n v="2"/>
    <x v="2"/>
    <n v="3"/>
    <n v="2"/>
    <n v="0"/>
    <n v="2"/>
    <n v="0"/>
    <x v="1"/>
    <x v="1"/>
    <x v="2"/>
    <n v="1230"/>
  </r>
  <r>
    <n v="53"/>
    <x v="1"/>
    <x v="1"/>
    <n v="13"/>
    <n v="2"/>
    <s v="Medical"/>
    <n v="4"/>
    <x v="0"/>
    <n v="4"/>
    <n v="2"/>
    <x v="3"/>
    <x v="3"/>
    <s v="Divorced"/>
    <n v="4450"/>
    <n v="1"/>
    <x v="1"/>
    <n v="11"/>
    <n v="3"/>
    <n v="2"/>
    <n v="5"/>
    <n v="3"/>
    <x v="1"/>
    <n v="4"/>
    <n v="2"/>
    <n v="1"/>
    <n v="3"/>
    <n v="0"/>
    <x v="1"/>
    <x v="0"/>
    <x v="2"/>
    <n v="1112.5"/>
  </r>
  <r>
    <n v="33"/>
    <x v="1"/>
    <x v="1"/>
    <n v="14"/>
    <n v="3"/>
    <s v="Medical"/>
    <n v="4"/>
    <x v="0"/>
    <n v="3"/>
    <n v="1"/>
    <x v="1"/>
    <x v="1"/>
    <s v="Married"/>
    <n v="2756"/>
    <n v="1"/>
    <x v="1"/>
    <n v="13"/>
    <n v="4"/>
    <n v="1"/>
    <n v="8"/>
    <n v="5"/>
    <x v="1"/>
    <n v="8"/>
    <n v="7"/>
    <n v="1"/>
    <n v="6"/>
    <n v="0"/>
    <x v="2"/>
    <x v="1"/>
    <x v="0"/>
    <n v="344.5"/>
  </r>
  <r>
    <n v="40"/>
    <x v="1"/>
    <x v="1"/>
    <n v="4"/>
    <n v="1"/>
    <s v="Medical"/>
    <n v="4"/>
    <x v="0"/>
    <n v="3"/>
    <n v="5"/>
    <x v="5"/>
    <x v="2"/>
    <s v="Married"/>
    <n v="19033"/>
    <n v="1"/>
    <x v="1"/>
    <n v="14"/>
    <n v="2"/>
    <n v="1"/>
    <n v="21"/>
    <n v="2"/>
    <x v="1"/>
    <n v="20"/>
    <n v="8"/>
    <n v="9"/>
    <n v="9"/>
    <n v="0"/>
    <x v="0"/>
    <x v="2"/>
    <x v="3"/>
    <n v="951.65"/>
  </r>
  <r>
    <n v="55"/>
    <x v="1"/>
    <x v="1"/>
    <n v="14"/>
    <n v="4"/>
    <s v="Medical"/>
    <n v="3"/>
    <x v="1"/>
    <n v="4"/>
    <n v="5"/>
    <x v="7"/>
    <x v="1"/>
    <s v="Single"/>
    <n v="18722"/>
    <n v="8"/>
    <x v="1"/>
    <n v="11"/>
    <n v="4"/>
    <n v="0"/>
    <n v="36"/>
    <n v="3"/>
    <x v="1"/>
    <n v="24"/>
    <n v="15"/>
    <n v="2"/>
    <n v="15"/>
    <n v="0"/>
    <x v="1"/>
    <x v="2"/>
    <x v="3"/>
    <n v="780.08333333333337"/>
  </r>
  <r>
    <n v="34"/>
    <x v="1"/>
    <x v="1"/>
    <n v="2"/>
    <n v="1"/>
    <s v="Life Sciences"/>
    <n v="4"/>
    <x v="1"/>
    <n v="2"/>
    <n v="2"/>
    <x v="3"/>
    <x v="2"/>
    <s v="Married"/>
    <n v="9547"/>
    <n v="1"/>
    <x v="1"/>
    <n v="17"/>
    <n v="3"/>
    <n v="0"/>
    <n v="10"/>
    <n v="2"/>
    <x v="2"/>
    <n v="10"/>
    <n v="9"/>
    <n v="1"/>
    <n v="9"/>
    <n v="0"/>
    <x v="2"/>
    <x v="0"/>
    <x v="0"/>
    <n v="954.7"/>
  </r>
  <r>
    <n v="51"/>
    <x v="1"/>
    <x v="1"/>
    <n v="3"/>
    <n v="3"/>
    <s v="Medical"/>
    <n v="4"/>
    <x v="0"/>
    <n v="3"/>
    <n v="4"/>
    <x v="4"/>
    <x v="1"/>
    <s v="Single"/>
    <n v="13734"/>
    <n v="3"/>
    <x v="1"/>
    <n v="18"/>
    <n v="3"/>
    <n v="0"/>
    <n v="21"/>
    <n v="6"/>
    <x v="1"/>
    <n v="7"/>
    <n v="7"/>
    <n v="1"/>
    <n v="0"/>
    <n v="0"/>
    <x v="1"/>
    <x v="2"/>
    <x v="0"/>
    <n v="1962"/>
  </r>
  <r>
    <n v="52"/>
    <x v="1"/>
    <x v="1"/>
    <n v="1"/>
    <n v="4"/>
    <s v="Life Sciences"/>
    <n v="3"/>
    <x v="1"/>
    <n v="2"/>
    <n v="5"/>
    <x v="5"/>
    <x v="2"/>
    <s v="Married"/>
    <n v="19999"/>
    <n v="0"/>
    <x v="1"/>
    <n v="14"/>
    <n v="1"/>
    <n v="1"/>
    <n v="34"/>
    <n v="5"/>
    <x v="1"/>
    <n v="33"/>
    <n v="18"/>
    <n v="11"/>
    <n v="9"/>
    <n v="0"/>
    <x v="1"/>
    <x v="2"/>
    <x v="3"/>
    <n v="606.030303030303"/>
  </r>
  <r>
    <n v="27"/>
    <x v="1"/>
    <x v="1"/>
    <n v="9"/>
    <n v="3"/>
    <s v="Medical"/>
    <n v="4"/>
    <x v="0"/>
    <n v="3"/>
    <n v="1"/>
    <x v="1"/>
    <x v="1"/>
    <s v="Single"/>
    <n v="2279"/>
    <n v="1"/>
    <x v="1"/>
    <n v="16"/>
    <n v="4"/>
    <n v="0"/>
    <n v="7"/>
    <n v="2"/>
    <x v="2"/>
    <n v="7"/>
    <n v="7"/>
    <n v="0"/>
    <n v="3"/>
    <n v="0"/>
    <x v="2"/>
    <x v="1"/>
    <x v="0"/>
    <n v="325.57142857142856"/>
  </r>
  <r>
    <n v="35"/>
    <x v="0"/>
    <x v="1"/>
    <n v="23"/>
    <n v="2"/>
    <s v="Life Sciences"/>
    <n v="2"/>
    <x v="1"/>
    <n v="2"/>
    <n v="2"/>
    <x v="3"/>
    <x v="2"/>
    <s v="Married"/>
    <n v="5916"/>
    <n v="3"/>
    <x v="0"/>
    <n v="13"/>
    <n v="1"/>
    <n v="0"/>
    <n v="8"/>
    <n v="1"/>
    <x v="1"/>
    <n v="1"/>
    <n v="0"/>
    <n v="0"/>
    <n v="1"/>
    <n v="1"/>
    <x v="2"/>
    <x v="0"/>
    <x v="1"/>
    <n v="5916"/>
  </r>
  <r>
    <n v="43"/>
    <x v="1"/>
    <x v="1"/>
    <n v="7"/>
    <n v="3"/>
    <s v="Medical"/>
    <n v="4"/>
    <x v="1"/>
    <n v="4"/>
    <n v="1"/>
    <x v="1"/>
    <x v="0"/>
    <s v="Divorced"/>
    <n v="2089"/>
    <n v="4"/>
    <x v="1"/>
    <n v="14"/>
    <n v="4"/>
    <n v="3"/>
    <n v="7"/>
    <n v="3"/>
    <x v="3"/>
    <n v="5"/>
    <n v="4"/>
    <n v="2"/>
    <n v="2"/>
    <n v="0"/>
    <x v="0"/>
    <x v="1"/>
    <x v="2"/>
    <n v="417.8"/>
  </r>
  <r>
    <n v="45"/>
    <x v="1"/>
    <x v="1"/>
    <n v="2"/>
    <n v="2"/>
    <s v="Medical"/>
    <n v="1"/>
    <x v="1"/>
    <n v="2"/>
    <n v="4"/>
    <x v="5"/>
    <x v="0"/>
    <s v="Married"/>
    <n v="16792"/>
    <n v="9"/>
    <x v="1"/>
    <n v="23"/>
    <n v="4"/>
    <n v="1"/>
    <n v="22"/>
    <n v="1"/>
    <x v="1"/>
    <n v="20"/>
    <n v="8"/>
    <n v="11"/>
    <n v="8"/>
    <n v="0"/>
    <x v="0"/>
    <x v="2"/>
    <x v="3"/>
    <n v="839.6"/>
  </r>
  <r>
    <n v="37"/>
    <x v="1"/>
    <x v="1"/>
    <n v="21"/>
    <n v="3"/>
    <s v="Life Sciences"/>
    <n v="2"/>
    <x v="1"/>
    <n v="4"/>
    <n v="1"/>
    <x v="1"/>
    <x v="3"/>
    <s v="Married"/>
    <n v="3564"/>
    <n v="1"/>
    <x v="0"/>
    <n v="12"/>
    <n v="1"/>
    <n v="1"/>
    <n v="8"/>
    <n v="3"/>
    <x v="2"/>
    <n v="8"/>
    <n v="7"/>
    <n v="1"/>
    <n v="7"/>
    <n v="0"/>
    <x v="0"/>
    <x v="1"/>
    <x v="0"/>
    <n v="445.5"/>
  </r>
  <r>
    <n v="35"/>
    <x v="1"/>
    <x v="1"/>
    <n v="2"/>
    <n v="3"/>
    <s v="Medical"/>
    <n v="2"/>
    <x v="0"/>
    <n v="3"/>
    <n v="2"/>
    <x v="2"/>
    <x v="1"/>
    <s v="Single"/>
    <n v="4425"/>
    <n v="5"/>
    <x v="1"/>
    <n v="11"/>
    <n v="4"/>
    <n v="0"/>
    <n v="10"/>
    <n v="5"/>
    <x v="1"/>
    <n v="6"/>
    <n v="2"/>
    <n v="1"/>
    <n v="2"/>
    <n v="0"/>
    <x v="2"/>
    <x v="0"/>
    <x v="0"/>
    <n v="737.5"/>
  </r>
  <r>
    <n v="42"/>
    <x v="1"/>
    <x v="1"/>
    <n v="21"/>
    <n v="2"/>
    <s v="Medical"/>
    <n v="3"/>
    <x v="0"/>
    <n v="3"/>
    <n v="2"/>
    <x v="3"/>
    <x v="2"/>
    <s v="Divorced"/>
    <n v="5265"/>
    <n v="2"/>
    <x v="1"/>
    <n v="16"/>
    <n v="2"/>
    <n v="1"/>
    <n v="11"/>
    <n v="5"/>
    <x v="1"/>
    <n v="5"/>
    <n v="3"/>
    <n v="0"/>
    <n v="2"/>
    <n v="0"/>
    <x v="0"/>
    <x v="0"/>
    <x v="2"/>
    <n v="1053"/>
  </r>
  <r>
    <n v="38"/>
    <x v="1"/>
    <x v="1"/>
    <n v="2"/>
    <n v="4"/>
    <s v="Life Sciences"/>
    <n v="4"/>
    <x v="1"/>
    <n v="3"/>
    <n v="2"/>
    <x v="3"/>
    <x v="2"/>
    <s v="Married"/>
    <n v="6553"/>
    <n v="9"/>
    <x v="1"/>
    <n v="14"/>
    <n v="2"/>
    <n v="0"/>
    <n v="14"/>
    <n v="3"/>
    <x v="1"/>
    <n v="1"/>
    <n v="0"/>
    <n v="0"/>
    <n v="0"/>
    <n v="0"/>
    <x v="0"/>
    <x v="0"/>
    <x v="1"/>
    <n v="6553"/>
  </r>
  <r>
    <n v="38"/>
    <x v="1"/>
    <x v="1"/>
    <n v="29"/>
    <n v="3"/>
    <s v="Technical Degree"/>
    <n v="4"/>
    <x v="1"/>
    <n v="3"/>
    <n v="2"/>
    <x v="3"/>
    <x v="0"/>
    <s v="Married"/>
    <n v="6261"/>
    <n v="3"/>
    <x v="1"/>
    <n v="18"/>
    <n v="1"/>
    <n v="1"/>
    <n v="9"/>
    <n v="3"/>
    <x v="0"/>
    <n v="7"/>
    <n v="7"/>
    <n v="1"/>
    <n v="7"/>
    <n v="0"/>
    <x v="0"/>
    <x v="0"/>
    <x v="0"/>
    <n v="894.42857142857144"/>
  </r>
  <r>
    <n v="27"/>
    <x v="1"/>
    <x v="1"/>
    <n v="1"/>
    <n v="1"/>
    <s v="Technical Degree"/>
    <n v="3"/>
    <x v="1"/>
    <n v="2"/>
    <n v="2"/>
    <x v="3"/>
    <x v="3"/>
    <s v="Married"/>
    <n v="4298"/>
    <n v="5"/>
    <x v="1"/>
    <n v="19"/>
    <n v="3"/>
    <n v="1"/>
    <n v="6"/>
    <n v="1"/>
    <x v="1"/>
    <n v="2"/>
    <n v="2"/>
    <n v="2"/>
    <n v="0"/>
    <n v="0"/>
    <x v="2"/>
    <x v="0"/>
    <x v="1"/>
    <n v="2149"/>
  </r>
  <r>
    <n v="49"/>
    <x v="1"/>
    <x v="1"/>
    <n v="18"/>
    <n v="4"/>
    <s v="Life Sciences"/>
    <n v="4"/>
    <x v="1"/>
    <n v="3"/>
    <n v="2"/>
    <x v="3"/>
    <x v="0"/>
    <s v="Divorced"/>
    <n v="6804"/>
    <n v="1"/>
    <x v="0"/>
    <n v="15"/>
    <n v="1"/>
    <n v="2"/>
    <n v="7"/>
    <n v="0"/>
    <x v="1"/>
    <n v="7"/>
    <n v="7"/>
    <n v="1"/>
    <n v="7"/>
    <n v="0"/>
    <x v="1"/>
    <x v="0"/>
    <x v="0"/>
    <n v="972"/>
  </r>
  <r>
    <n v="34"/>
    <x v="1"/>
    <x v="1"/>
    <n v="10"/>
    <n v="4"/>
    <s v="Medical"/>
    <n v="4"/>
    <x v="1"/>
    <n v="3"/>
    <n v="1"/>
    <x v="1"/>
    <x v="2"/>
    <s v="Divorced"/>
    <n v="3815"/>
    <n v="1"/>
    <x v="0"/>
    <n v="17"/>
    <n v="4"/>
    <n v="1"/>
    <n v="5"/>
    <n v="4"/>
    <x v="3"/>
    <n v="5"/>
    <n v="3"/>
    <n v="2"/>
    <n v="0"/>
    <n v="0"/>
    <x v="2"/>
    <x v="1"/>
    <x v="2"/>
    <n v="763"/>
  </r>
  <r>
    <n v="40"/>
    <x v="1"/>
    <x v="1"/>
    <n v="19"/>
    <n v="2"/>
    <s v="Medical"/>
    <n v="3"/>
    <x v="1"/>
    <n v="3"/>
    <n v="2"/>
    <x v="2"/>
    <x v="0"/>
    <s v="Married"/>
    <n v="2741"/>
    <n v="8"/>
    <x v="0"/>
    <n v="15"/>
    <n v="3"/>
    <n v="1"/>
    <n v="15"/>
    <n v="2"/>
    <x v="3"/>
    <n v="7"/>
    <n v="2"/>
    <n v="3"/>
    <n v="7"/>
    <n v="0"/>
    <x v="0"/>
    <x v="1"/>
    <x v="0"/>
    <n v="391.57142857142856"/>
  </r>
  <r>
    <n v="38"/>
    <x v="0"/>
    <x v="1"/>
    <n v="29"/>
    <n v="1"/>
    <s v="Medical"/>
    <n v="2"/>
    <x v="1"/>
    <n v="3"/>
    <n v="2"/>
    <x v="4"/>
    <x v="3"/>
    <s v="Married"/>
    <n v="6673"/>
    <n v="7"/>
    <x v="0"/>
    <n v="19"/>
    <n v="2"/>
    <n v="0"/>
    <n v="17"/>
    <n v="2"/>
    <x v="1"/>
    <n v="1"/>
    <n v="0"/>
    <n v="0"/>
    <n v="0"/>
    <n v="1"/>
    <x v="0"/>
    <x v="0"/>
    <x v="1"/>
    <n v="6673"/>
  </r>
  <r>
    <n v="29"/>
    <x v="0"/>
    <x v="0"/>
    <n v="27"/>
    <n v="3"/>
    <s v="Marketing"/>
    <n v="2"/>
    <x v="0"/>
    <n v="3"/>
    <n v="3"/>
    <x v="0"/>
    <x v="0"/>
    <s v="Married"/>
    <n v="7639"/>
    <n v="1"/>
    <x v="1"/>
    <n v="22"/>
    <n v="4"/>
    <n v="3"/>
    <n v="10"/>
    <n v="3"/>
    <x v="2"/>
    <n v="10"/>
    <n v="4"/>
    <n v="1"/>
    <n v="9"/>
    <n v="1"/>
    <x v="2"/>
    <x v="0"/>
    <x v="0"/>
    <n v="763.9"/>
  </r>
  <r>
    <n v="22"/>
    <x v="1"/>
    <x v="1"/>
    <n v="5"/>
    <n v="3"/>
    <s v="Life Sciences"/>
    <n v="4"/>
    <x v="1"/>
    <n v="4"/>
    <n v="1"/>
    <x v="1"/>
    <x v="1"/>
    <s v="Divorced"/>
    <n v="2328"/>
    <n v="1"/>
    <x v="0"/>
    <n v="16"/>
    <n v="1"/>
    <n v="1"/>
    <n v="4"/>
    <n v="2"/>
    <x v="2"/>
    <n v="4"/>
    <n v="2"/>
    <n v="2"/>
    <n v="2"/>
    <n v="0"/>
    <x v="3"/>
    <x v="1"/>
    <x v="2"/>
    <n v="582"/>
  </r>
  <r>
    <n v="36"/>
    <x v="1"/>
    <x v="1"/>
    <n v="18"/>
    <n v="1"/>
    <s v="Medical"/>
    <n v="2"/>
    <x v="0"/>
    <n v="3"/>
    <n v="1"/>
    <x v="2"/>
    <x v="0"/>
    <s v="Single"/>
    <n v="2153"/>
    <n v="1"/>
    <x v="1"/>
    <n v="13"/>
    <n v="1"/>
    <n v="0"/>
    <n v="8"/>
    <n v="2"/>
    <x v="1"/>
    <n v="8"/>
    <n v="1"/>
    <n v="1"/>
    <n v="7"/>
    <n v="0"/>
    <x v="0"/>
    <x v="1"/>
    <x v="0"/>
    <n v="269.125"/>
  </r>
  <r>
    <n v="40"/>
    <x v="1"/>
    <x v="1"/>
    <n v="9"/>
    <n v="5"/>
    <s v="Life Sciences"/>
    <n v="4"/>
    <x v="1"/>
    <n v="2"/>
    <n v="2"/>
    <x v="4"/>
    <x v="0"/>
    <s v="Married"/>
    <n v="4876"/>
    <n v="9"/>
    <x v="1"/>
    <n v="14"/>
    <n v="4"/>
    <n v="1"/>
    <n v="5"/>
    <n v="5"/>
    <x v="0"/>
    <n v="3"/>
    <n v="2"/>
    <n v="0"/>
    <n v="2"/>
    <n v="0"/>
    <x v="0"/>
    <x v="0"/>
    <x v="2"/>
    <n v="1625.3333333333333"/>
  </r>
  <r>
    <n v="46"/>
    <x v="1"/>
    <x v="1"/>
    <n v="1"/>
    <n v="4"/>
    <s v="Medical"/>
    <n v="4"/>
    <x v="1"/>
    <n v="3"/>
    <n v="3"/>
    <x v="4"/>
    <x v="3"/>
    <s v="Divorced"/>
    <n v="9396"/>
    <n v="7"/>
    <x v="1"/>
    <n v="16"/>
    <n v="3"/>
    <n v="1"/>
    <n v="17"/>
    <n v="3"/>
    <x v="1"/>
    <n v="4"/>
    <n v="2"/>
    <n v="0"/>
    <n v="3"/>
    <n v="0"/>
    <x v="1"/>
    <x v="0"/>
    <x v="2"/>
    <n v="2349"/>
  </r>
  <r>
    <n v="32"/>
    <x v="0"/>
    <x v="0"/>
    <n v="4"/>
    <n v="4"/>
    <s v="Medical"/>
    <n v="4"/>
    <x v="1"/>
    <n v="1"/>
    <n v="3"/>
    <x v="0"/>
    <x v="0"/>
    <s v="Married"/>
    <n v="10400"/>
    <n v="1"/>
    <x v="1"/>
    <n v="11"/>
    <n v="3"/>
    <n v="0"/>
    <n v="14"/>
    <n v="2"/>
    <x v="2"/>
    <n v="14"/>
    <n v="8"/>
    <n v="9"/>
    <n v="8"/>
    <n v="1"/>
    <x v="2"/>
    <x v="2"/>
    <x v="3"/>
    <n v="742.85714285714289"/>
  </r>
  <r>
    <n v="30"/>
    <x v="1"/>
    <x v="1"/>
    <n v="1"/>
    <n v="1"/>
    <s v="Life Sciences"/>
    <n v="3"/>
    <x v="1"/>
    <n v="2"/>
    <n v="3"/>
    <x v="3"/>
    <x v="2"/>
    <s v="Single"/>
    <n v="8474"/>
    <n v="1"/>
    <x v="1"/>
    <n v="22"/>
    <n v="3"/>
    <n v="0"/>
    <n v="12"/>
    <n v="2"/>
    <x v="1"/>
    <n v="11"/>
    <n v="8"/>
    <n v="5"/>
    <n v="8"/>
    <n v="0"/>
    <x v="2"/>
    <x v="0"/>
    <x v="3"/>
    <n v="770.36363636363637"/>
  </r>
  <r>
    <n v="27"/>
    <x v="1"/>
    <x v="0"/>
    <n v="20"/>
    <n v="3"/>
    <s v="Life Sciences"/>
    <n v="4"/>
    <x v="0"/>
    <n v="3"/>
    <n v="2"/>
    <x v="0"/>
    <x v="2"/>
    <s v="Single"/>
    <n v="9981"/>
    <n v="1"/>
    <x v="1"/>
    <n v="14"/>
    <n v="4"/>
    <n v="0"/>
    <n v="7"/>
    <n v="2"/>
    <x v="1"/>
    <n v="7"/>
    <n v="7"/>
    <n v="0"/>
    <n v="7"/>
    <n v="0"/>
    <x v="2"/>
    <x v="0"/>
    <x v="0"/>
    <n v="1425.8571428571429"/>
  </r>
  <r>
    <n v="51"/>
    <x v="1"/>
    <x v="1"/>
    <n v="8"/>
    <n v="4"/>
    <s v="Life Sciences"/>
    <n v="2"/>
    <x v="1"/>
    <n v="2"/>
    <n v="3"/>
    <x v="7"/>
    <x v="1"/>
    <s v="Married"/>
    <n v="12490"/>
    <n v="5"/>
    <x v="1"/>
    <n v="16"/>
    <n v="4"/>
    <n v="2"/>
    <n v="16"/>
    <n v="5"/>
    <x v="0"/>
    <n v="10"/>
    <n v="9"/>
    <n v="4"/>
    <n v="7"/>
    <n v="0"/>
    <x v="1"/>
    <x v="2"/>
    <x v="0"/>
    <n v="1249"/>
  </r>
  <r>
    <n v="30"/>
    <x v="0"/>
    <x v="1"/>
    <n v="3"/>
    <n v="3"/>
    <s v="Technical Degree"/>
    <n v="4"/>
    <x v="0"/>
    <n v="3"/>
    <n v="1"/>
    <x v="1"/>
    <x v="3"/>
    <s v="Single"/>
    <n v="2657"/>
    <n v="5"/>
    <x v="0"/>
    <n v="11"/>
    <n v="3"/>
    <n v="0"/>
    <n v="8"/>
    <n v="5"/>
    <x v="1"/>
    <n v="5"/>
    <n v="2"/>
    <n v="0"/>
    <n v="4"/>
    <n v="1"/>
    <x v="2"/>
    <x v="1"/>
    <x v="2"/>
    <n v="531.4"/>
  </r>
  <r>
    <n v="41"/>
    <x v="1"/>
    <x v="0"/>
    <n v="6"/>
    <n v="3"/>
    <s v="Life Sciences"/>
    <n v="4"/>
    <x v="0"/>
    <n v="3"/>
    <n v="3"/>
    <x v="5"/>
    <x v="0"/>
    <s v="Single"/>
    <n v="13591"/>
    <n v="3"/>
    <x v="0"/>
    <n v="18"/>
    <n v="3"/>
    <n v="0"/>
    <n v="16"/>
    <n v="3"/>
    <x v="1"/>
    <n v="1"/>
    <n v="0"/>
    <n v="0"/>
    <n v="0"/>
    <n v="0"/>
    <x v="0"/>
    <x v="2"/>
    <x v="1"/>
    <n v="13591"/>
  </r>
  <r>
    <n v="30"/>
    <x v="0"/>
    <x v="0"/>
    <n v="26"/>
    <n v="4"/>
    <s v="Marketing"/>
    <n v="3"/>
    <x v="0"/>
    <n v="2"/>
    <n v="2"/>
    <x v="0"/>
    <x v="3"/>
    <s v="Single"/>
    <n v="6696"/>
    <n v="5"/>
    <x v="1"/>
    <n v="15"/>
    <n v="3"/>
    <n v="0"/>
    <n v="9"/>
    <n v="5"/>
    <x v="2"/>
    <n v="6"/>
    <n v="3"/>
    <n v="0"/>
    <n v="1"/>
    <n v="1"/>
    <x v="2"/>
    <x v="0"/>
    <x v="0"/>
    <n v="1116"/>
  </r>
  <r>
    <n v="29"/>
    <x v="0"/>
    <x v="1"/>
    <n v="1"/>
    <n v="3"/>
    <s v="Technical Degree"/>
    <n v="3"/>
    <x v="1"/>
    <n v="3"/>
    <n v="1"/>
    <x v="1"/>
    <x v="2"/>
    <s v="Single"/>
    <n v="2058"/>
    <n v="0"/>
    <x v="1"/>
    <n v="14"/>
    <n v="4"/>
    <n v="0"/>
    <n v="7"/>
    <n v="1"/>
    <x v="2"/>
    <n v="6"/>
    <n v="2"/>
    <n v="1"/>
    <n v="5"/>
    <n v="1"/>
    <x v="2"/>
    <x v="1"/>
    <x v="0"/>
    <n v="343"/>
  </r>
  <r>
    <n v="45"/>
    <x v="1"/>
    <x v="0"/>
    <n v="6"/>
    <n v="3"/>
    <s v="Medical"/>
    <n v="4"/>
    <x v="0"/>
    <n v="2"/>
    <n v="3"/>
    <x v="0"/>
    <x v="0"/>
    <s v="Single"/>
    <n v="8865"/>
    <n v="6"/>
    <x v="1"/>
    <n v="12"/>
    <n v="4"/>
    <n v="0"/>
    <n v="23"/>
    <n v="2"/>
    <x v="1"/>
    <n v="19"/>
    <n v="7"/>
    <n v="12"/>
    <n v="8"/>
    <n v="0"/>
    <x v="0"/>
    <x v="0"/>
    <x v="3"/>
    <n v="466.57894736842104"/>
  </r>
  <r>
    <n v="54"/>
    <x v="1"/>
    <x v="0"/>
    <n v="3"/>
    <n v="3"/>
    <s v="Marketing"/>
    <n v="4"/>
    <x v="0"/>
    <n v="3"/>
    <n v="2"/>
    <x v="0"/>
    <x v="3"/>
    <s v="Married"/>
    <n v="5940"/>
    <n v="2"/>
    <x v="1"/>
    <n v="14"/>
    <n v="4"/>
    <n v="1"/>
    <n v="16"/>
    <n v="4"/>
    <x v="1"/>
    <n v="6"/>
    <n v="2"/>
    <n v="0"/>
    <n v="5"/>
    <n v="0"/>
    <x v="1"/>
    <x v="0"/>
    <x v="0"/>
    <n v="990"/>
  </r>
  <r>
    <n v="36"/>
    <x v="1"/>
    <x v="1"/>
    <n v="5"/>
    <n v="2"/>
    <s v="Life Sciences"/>
    <n v="4"/>
    <x v="1"/>
    <n v="3"/>
    <n v="2"/>
    <x v="2"/>
    <x v="1"/>
    <s v="Single"/>
    <n v="5914"/>
    <n v="8"/>
    <x v="1"/>
    <n v="16"/>
    <n v="4"/>
    <n v="0"/>
    <n v="16"/>
    <n v="3"/>
    <x v="3"/>
    <n v="13"/>
    <n v="11"/>
    <n v="3"/>
    <n v="7"/>
    <n v="0"/>
    <x v="0"/>
    <x v="0"/>
    <x v="3"/>
    <n v="454.92307692307691"/>
  </r>
  <r>
    <n v="33"/>
    <x v="1"/>
    <x v="1"/>
    <n v="4"/>
    <n v="4"/>
    <s v="Medical"/>
    <n v="3"/>
    <x v="0"/>
    <n v="2"/>
    <n v="1"/>
    <x v="1"/>
    <x v="1"/>
    <s v="Married"/>
    <n v="2622"/>
    <n v="6"/>
    <x v="1"/>
    <n v="21"/>
    <n v="4"/>
    <n v="0"/>
    <n v="7"/>
    <n v="3"/>
    <x v="1"/>
    <n v="3"/>
    <n v="2"/>
    <n v="1"/>
    <n v="1"/>
    <n v="0"/>
    <x v="2"/>
    <x v="1"/>
    <x v="2"/>
    <n v="874"/>
  </r>
  <r>
    <n v="37"/>
    <x v="1"/>
    <x v="1"/>
    <n v="11"/>
    <n v="3"/>
    <s v="Other"/>
    <n v="2"/>
    <x v="1"/>
    <n v="3"/>
    <n v="3"/>
    <x v="7"/>
    <x v="0"/>
    <s v="Divorced"/>
    <n v="12185"/>
    <n v="1"/>
    <x v="0"/>
    <n v="14"/>
    <n v="3"/>
    <n v="3"/>
    <n v="10"/>
    <n v="1"/>
    <x v="1"/>
    <n v="10"/>
    <n v="8"/>
    <n v="0"/>
    <n v="7"/>
    <n v="0"/>
    <x v="0"/>
    <x v="2"/>
    <x v="0"/>
    <n v="1218.5"/>
  </r>
  <r>
    <n v="38"/>
    <x v="1"/>
    <x v="0"/>
    <n v="3"/>
    <n v="3"/>
    <s v="Life Sciences"/>
    <n v="1"/>
    <x v="1"/>
    <n v="3"/>
    <n v="3"/>
    <x v="0"/>
    <x v="2"/>
    <s v="Divorced"/>
    <n v="10609"/>
    <n v="0"/>
    <x v="1"/>
    <n v="12"/>
    <n v="3"/>
    <n v="2"/>
    <n v="17"/>
    <n v="6"/>
    <x v="2"/>
    <n v="16"/>
    <n v="10"/>
    <n v="5"/>
    <n v="13"/>
    <n v="0"/>
    <x v="0"/>
    <x v="2"/>
    <x v="3"/>
    <n v="663.0625"/>
  </r>
  <r>
    <n v="31"/>
    <x v="1"/>
    <x v="1"/>
    <n v="1"/>
    <n v="4"/>
    <s v="Medical"/>
    <n v="3"/>
    <x v="1"/>
    <n v="1"/>
    <n v="2"/>
    <x v="3"/>
    <x v="2"/>
    <s v="Married"/>
    <n v="4345"/>
    <n v="0"/>
    <x v="1"/>
    <n v="12"/>
    <n v="4"/>
    <n v="1"/>
    <n v="6"/>
    <n v="2"/>
    <x v="1"/>
    <n v="5"/>
    <n v="4"/>
    <n v="1"/>
    <n v="4"/>
    <n v="0"/>
    <x v="2"/>
    <x v="0"/>
    <x v="2"/>
    <n v="869"/>
  </r>
  <r>
    <n v="59"/>
    <x v="1"/>
    <x v="1"/>
    <n v="3"/>
    <n v="3"/>
    <s v="Life Sciences"/>
    <n v="3"/>
    <x v="1"/>
    <n v="2"/>
    <n v="1"/>
    <x v="1"/>
    <x v="0"/>
    <s v="Married"/>
    <n v="2177"/>
    <n v="3"/>
    <x v="1"/>
    <n v="17"/>
    <n v="1"/>
    <n v="1"/>
    <n v="7"/>
    <n v="6"/>
    <x v="1"/>
    <n v="1"/>
    <n v="0"/>
    <n v="0"/>
    <n v="0"/>
    <n v="0"/>
    <x v="1"/>
    <x v="1"/>
    <x v="1"/>
    <n v="2177"/>
  </r>
  <r>
    <n v="37"/>
    <x v="1"/>
    <x v="0"/>
    <n v="4"/>
    <n v="4"/>
    <s v="Marketing"/>
    <n v="1"/>
    <x v="1"/>
    <n v="3"/>
    <n v="1"/>
    <x v="6"/>
    <x v="0"/>
    <s v="Divorced"/>
    <n v="2793"/>
    <n v="4"/>
    <x v="1"/>
    <n v="17"/>
    <n v="3"/>
    <n v="1"/>
    <n v="13"/>
    <n v="2"/>
    <x v="1"/>
    <n v="9"/>
    <n v="8"/>
    <n v="5"/>
    <n v="8"/>
    <n v="0"/>
    <x v="0"/>
    <x v="1"/>
    <x v="0"/>
    <n v="310.33333333333331"/>
  </r>
  <r>
    <n v="29"/>
    <x v="1"/>
    <x v="0"/>
    <n v="1"/>
    <n v="1"/>
    <s v="Medical"/>
    <n v="2"/>
    <x v="0"/>
    <n v="3"/>
    <n v="3"/>
    <x v="0"/>
    <x v="0"/>
    <s v="Married"/>
    <n v="7918"/>
    <n v="1"/>
    <x v="1"/>
    <n v="14"/>
    <n v="4"/>
    <n v="1"/>
    <n v="11"/>
    <n v="5"/>
    <x v="1"/>
    <n v="11"/>
    <n v="10"/>
    <n v="4"/>
    <n v="1"/>
    <n v="0"/>
    <x v="2"/>
    <x v="0"/>
    <x v="3"/>
    <n v="719.81818181818187"/>
  </r>
  <r>
    <n v="35"/>
    <x v="1"/>
    <x v="0"/>
    <n v="1"/>
    <n v="3"/>
    <s v="Marketing"/>
    <n v="3"/>
    <x v="0"/>
    <n v="3"/>
    <n v="3"/>
    <x v="0"/>
    <x v="2"/>
    <s v="Single"/>
    <n v="8789"/>
    <n v="1"/>
    <x v="1"/>
    <n v="14"/>
    <n v="1"/>
    <n v="0"/>
    <n v="10"/>
    <n v="3"/>
    <x v="3"/>
    <n v="10"/>
    <n v="7"/>
    <n v="0"/>
    <n v="8"/>
    <n v="0"/>
    <x v="2"/>
    <x v="0"/>
    <x v="0"/>
    <n v="878.9"/>
  </r>
  <r>
    <n v="29"/>
    <x v="0"/>
    <x v="1"/>
    <n v="18"/>
    <n v="1"/>
    <s v="Medical"/>
    <n v="3"/>
    <x v="1"/>
    <n v="2"/>
    <n v="1"/>
    <x v="1"/>
    <x v="0"/>
    <s v="Single"/>
    <n v="2389"/>
    <n v="1"/>
    <x v="0"/>
    <n v="13"/>
    <n v="3"/>
    <n v="0"/>
    <n v="4"/>
    <n v="3"/>
    <x v="2"/>
    <n v="4"/>
    <n v="3"/>
    <n v="0"/>
    <n v="1"/>
    <n v="1"/>
    <x v="2"/>
    <x v="1"/>
    <x v="2"/>
    <n v="597.25"/>
  </r>
  <r>
    <n v="52"/>
    <x v="1"/>
    <x v="1"/>
    <n v="2"/>
    <n v="3"/>
    <s v="Life Sciences"/>
    <n v="3"/>
    <x v="0"/>
    <n v="2"/>
    <n v="1"/>
    <x v="2"/>
    <x v="0"/>
    <s v="Single"/>
    <n v="3212"/>
    <n v="7"/>
    <x v="1"/>
    <n v="15"/>
    <n v="2"/>
    <n v="0"/>
    <n v="6"/>
    <n v="3"/>
    <x v="2"/>
    <n v="2"/>
    <n v="2"/>
    <n v="2"/>
    <n v="2"/>
    <n v="0"/>
    <x v="1"/>
    <x v="1"/>
    <x v="1"/>
    <n v="1606"/>
  </r>
  <r>
    <n v="42"/>
    <x v="1"/>
    <x v="1"/>
    <n v="4"/>
    <n v="2"/>
    <s v="Technical Degree"/>
    <n v="3"/>
    <x v="1"/>
    <n v="3"/>
    <n v="5"/>
    <x v="5"/>
    <x v="0"/>
    <s v="Married"/>
    <n v="19232"/>
    <n v="1"/>
    <x v="1"/>
    <n v="11"/>
    <n v="4"/>
    <n v="0"/>
    <n v="22"/>
    <n v="3"/>
    <x v="1"/>
    <n v="22"/>
    <n v="17"/>
    <n v="11"/>
    <n v="15"/>
    <n v="0"/>
    <x v="0"/>
    <x v="2"/>
    <x v="3"/>
    <n v="874.18181818181813"/>
  </r>
  <r>
    <n v="59"/>
    <x v="1"/>
    <x v="2"/>
    <n v="6"/>
    <n v="2"/>
    <s v="Medical"/>
    <n v="2"/>
    <x v="1"/>
    <n v="3"/>
    <n v="1"/>
    <x v="8"/>
    <x v="2"/>
    <s v="Married"/>
    <n v="2267"/>
    <n v="8"/>
    <x v="1"/>
    <n v="17"/>
    <n v="4"/>
    <n v="0"/>
    <n v="7"/>
    <n v="2"/>
    <x v="2"/>
    <n v="2"/>
    <n v="2"/>
    <n v="2"/>
    <n v="2"/>
    <n v="0"/>
    <x v="1"/>
    <x v="1"/>
    <x v="1"/>
    <n v="1133.5"/>
  </r>
  <r>
    <n v="50"/>
    <x v="1"/>
    <x v="0"/>
    <n v="1"/>
    <n v="4"/>
    <s v="Medical"/>
    <n v="4"/>
    <x v="0"/>
    <n v="3"/>
    <n v="5"/>
    <x v="5"/>
    <x v="0"/>
    <s v="Divorced"/>
    <n v="19517"/>
    <n v="3"/>
    <x v="1"/>
    <n v="11"/>
    <n v="3"/>
    <n v="1"/>
    <n v="32"/>
    <n v="3"/>
    <x v="2"/>
    <n v="7"/>
    <n v="0"/>
    <n v="0"/>
    <n v="6"/>
    <n v="0"/>
    <x v="1"/>
    <x v="2"/>
    <x v="0"/>
    <n v="2788.1428571428573"/>
  </r>
  <r>
    <n v="33"/>
    <x v="0"/>
    <x v="1"/>
    <n v="14"/>
    <n v="3"/>
    <s v="Medical"/>
    <n v="3"/>
    <x v="1"/>
    <n v="3"/>
    <n v="1"/>
    <x v="2"/>
    <x v="0"/>
    <s v="Married"/>
    <n v="2436"/>
    <n v="5"/>
    <x v="0"/>
    <n v="13"/>
    <n v="3"/>
    <n v="1"/>
    <n v="8"/>
    <n v="2"/>
    <x v="0"/>
    <n v="5"/>
    <n v="4"/>
    <n v="0"/>
    <n v="4"/>
    <n v="1"/>
    <x v="2"/>
    <x v="1"/>
    <x v="2"/>
    <n v="487.2"/>
  </r>
  <r>
    <n v="43"/>
    <x v="1"/>
    <x v="0"/>
    <n v="16"/>
    <n v="3"/>
    <s v="Marketing"/>
    <n v="4"/>
    <x v="0"/>
    <n v="3"/>
    <n v="4"/>
    <x v="5"/>
    <x v="0"/>
    <s v="Married"/>
    <n v="16064"/>
    <n v="5"/>
    <x v="0"/>
    <n v="22"/>
    <n v="3"/>
    <n v="1"/>
    <n v="22"/>
    <n v="3"/>
    <x v="1"/>
    <n v="17"/>
    <n v="13"/>
    <n v="1"/>
    <n v="9"/>
    <n v="0"/>
    <x v="0"/>
    <x v="2"/>
    <x v="3"/>
    <n v="944.94117647058829"/>
  </r>
  <r>
    <n v="33"/>
    <x v="0"/>
    <x v="1"/>
    <n v="2"/>
    <n v="2"/>
    <s v="Life Sciences"/>
    <n v="1"/>
    <x v="0"/>
    <n v="3"/>
    <n v="1"/>
    <x v="2"/>
    <x v="3"/>
    <s v="Married"/>
    <n v="2707"/>
    <n v="7"/>
    <x v="1"/>
    <n v="20"/>
    <n v="1"/>
    <n v="0"/>
    <n v="13"/>
    <n v="3"/>
    <x v="3"/>
    <n v="9"/>
    <n v="7"/>
    <n v="1"/>
    <n v="7"/>
    <n v="1"/>
    <x v="2"/>
    <x v="1"/>
    <x v="0"/>
    <n v="300.77777777777777"/>
  </r>
  <r>
    <n v="52"/>
    <x v="1"/>
    <x v="0"/>
    <n v="2"/>
    <n v="4"/>
    <s v="Life Sciences"/>
    <n v="1"/>
    <x v="1"/>
    <n v="2"/>
    <n v="5"/>
    <x v="5"/>
    <x v="2"/>
    <s v="Single"/>
    <n v="19068"/>
    <n v="1"/>
    <x v="0"/>
    <n v="18"/>
    <n v="4"/>
    <n v="0"/>
    <n v="33"/>
    <n v="2"/>
    <x v="3"/>
    <n v="33"/>
    <n v="7"/>
    <n v="15"/>
    <n v="12"/>
    <n v="0"/>
    <x v="1"/>
    <x v="2"/>
    <x v="3"/>
    <n v="577.81818181818187"/>
  </r>
  <r>
    <n v="32"/>
    <x v="1"/>
    <x v="0"/>
    <n v="4"/>
    <n v="2"/>
    <s v="Life Sciences"/>
    <n v="3"/>
    <x v="0"/>
    <n v="3"/>
    <n v="1"/>
    <x v="6"/>
    <x v="1"/>
    <s v="Married"/>
    <n v="3931"/>
    <n v="2"/>
    <x v="1"/>
    <n v="11"/>
    <n v="1"/>
    <n v="1"/>
    <n v="6"/>
    <n v="5"/>
    <x v="1"/>
    <n v="4"/>
    <n v="3"/>
    <n v="1"/>
    <n v="2"/>
    <n v="0"/>
    <x v="2"/>
    <x v="1"/>
    <x v="2"/>
    <n v="982.75"/>
  </r>
  <r>
    <n v="32"/>
    <x v="0"/>
    <x v="1"/>
    <n v="1"/>
    <n v="3"/>
    <s v="Life Sciences"/>
    <n v="4"/>
    <x v="1"/>
    <n v="2"/>
    <n v="1"/>
    <x v="2"/>
    <x v="2"/>
    <s v="Single"/>
    <n v="3730"/>
    <n v="0"/>
    <x v="0"/>
    <n v="14"/>
    <n v="4"/>
    <n v="0"/>
    <n v="4"/>
    <n v="2"/>
    <x v="0"/>
    <n v="3"/>
    <n v="2"/>
    <n v="1"/>
    <n v="2"/>
    <n v="1"/>
    <x v="2"/>
    <x v="1"/>
    <x v="2"/>
    <n v="1243.3333333333333"/>
  </r>
  <r>
    <n v="39"/>
    <x v="1"/>
    <x v="1"/>
    <n v="1"/>
    <n v="4"/>
    <s v="Medical"/>
    <n v="3"/>
    <x v="0"/>
    <n v="3"/>
    <n v="1"/>
    <x v="2"/>
    <x v="2"/>
    <s v="Divorced"/>
    <n v="2232"/>
    <n v="7"/>
    <x v="1"/>
    <n v="14"/>
    <n v="3"/>
    <n v="3"/>
    <n v="7"/>
    <n v="1"/>
    <x v="1"/>
    <n v="3"/>
    <n v="2"/>
    <n v="1"/>
    <n v="2"/>
    <n v="0"/>
    <x v="0"/>
    <x v="1"/>
    <x v="2"/>
    <n v="744"/>
  </r>
  <r>
    <n v="32"/>
    <x v="1"/>
    <x v="0"/>
    <n v="26"/>
    <n v="4"/>
    <s v="Marketing"/>
    <n v="3"/>
    <x v="1"/>
    <n v="3"/>
    <n v="2"/>
    <x v="0"/>
    <x v="0"/>
    <s v="Married"/>
    <n v="4465"/>
    <n v="0"/>
    <x v="1"/>
    <n v="18"/>
    <n v="1"/>
    <n v="0"/>
    <n v="4"/>
    <n v="2"/>
    <x v="1"/>
    <n v="3"/>
    <n v="2"/>
    <n v="2"/>
    <n v="2"/>
    <n v="0"/>
    <x v="2"/>
    <x v="0"/>
    <x v="2"/>
    <n v="1488.3333333333333"/>
  </r>
  <r>
    <n v="41"/>
    <x v="1"/>
    <x v="1"/>
    <n v="19"/>
    <n v="2"/>
    <s v="Life Sciences"/>
    <n v="3"/>
    <x v="1"/>
    <n v="3"/>
    <n v="2"/>
    <x v="1"/>
    <x v="3"/>
    <s v="Divorced"/>
    <n v="3072"/>
    <n v="2"/>
    <x v="1"/>
    <n v="16"/>
    <n v="1"/>
    <n v="2"/>
    <n v="17"/>
    <n v="2"/>
    <x v="2"/>
    <n v="1"/>
    <n v="0"/>
    <n v="0"/>
    <n v="0"/>
    <n v="0"/>
    <x v="0"/>
    <x v="1"/>
    <x v="1"/>
    <n v="3072"/>
  </r>
  <r>
    <n v="40"/>
    <x v="1"/>
    <x v="1"/>
    <n v="24"/>
    <n v="2"/>
    <s v="Technical Degree"/>
    <n v="1"/>
    <x v="1"/>
    <n v="3"/>
    <n v="2"/>
    <x v="1"/>
    <x v="0"/>
    <s v="Divorced"/>
    <n v="3319"/>
    <n v="1"/>
    <x v="1"/>
    <n v="17"/>
    <n v="1"/>
    <n v="2"/>
    <n v="9"/>
    <n v="3"/>
    <x v="1"/>
    <n v="9"/>
    <n v="8"/>
    <n v="4"/>
    <n v="7"/>
    <n v="0"/>
    <x v="0"/>
    <x v="1"/>
    <x v="0"/>
    <n v="368.77777777777777"/>
  </r>
  <r>
    <n v="45"/>
    <x v="1"/>
    <x v="1"/>
    <n v="1"/>
    <n v="3"/>
    <s v="Other"/>
    <n v="3"/>
    <x v="1"/>
    <n v="4"/>
    <n v="5"/>
    <x v="5"/>
    <x v="0"/>
    <s v="Married"/>
    <n v="19202"/>
    <n v="0"/>
    <x v="1"/>
    <n v="11"/>
    <n v="3"/>
    <n v="1"/>
    <n v="25"/>
    <n v="2"/>
    <x v="1"/>
    <n v="24"/>
    <n v="0"/>
    <n v="1"/>
    <n v="7"/>
    <n v="0"/>
    <x v="0"/>
    <x v="2"/>
    <x v="3"/>
    <n v="800.08333333333337"/>
  </r>
  <r>
    <n v="31"/>
    <x v="1"/>
    <x v="1"/>
    <n v="3"/>
    <n v="4"/>
    <s v="Medical"/>
    <n v="2"/>
    <x v="1"/>
    <n v="3"/>
    <n v="3"/>
    <x v="7"/>
    <x v="2"/>
    <s v="Divorced"/>
    <n v="13675"/>
    <n v="9"/>
    <x v="1"/>
    <n v="12"/>
    <n v="1"/>
    <n v="1"/>
    <n v="9"/>
    <n v="3"/>
    <x v="1"/>
    <n v="2"/>
    <n v="2"/>
    <n v="2"/>
    <n v="2"/>
    <n v="0"/>
    <x v="2"/>
    <x v="2"/>
    <x v="1"/>
    <n v="6837.5"/>
  </r>
  <r>
    <n v="33"/>
    <x v="1"/>
    <x v="1"/>
    <n v="5"/>
    <n v="4"/>
    <s v="Life Sciences"/>
    <n v="3"/>
    <x v="0"/>
    <n v="2"/>
    <n v="1"/>
    <x v="1"/>
    <x v="0"/>
    <s v="Married"/>
    <n v="2911"/>
    <n v="1"/>
    <x v="1"/>
    <n v="13"/>
    <n v="3"/>
    <n v="1"/>
    <n v="2"/>
    <n v="2"/>
    <x v="2"/>
    <n v="2"/>
    <n v="2"/>
    <n v="0"/>
    <n v="2"/>
    <n v="0"/>
    <x v="2"/>
    <x v="1"/>
    <x v="1"/>
    <n v="1455.5"/>
  </r>
  <r>
    <n v="34"/>
    <x v="1"/>
    <x v="1"/>
    <n v="2"/>
    <n v="4"/>
    <s v="Life Sciences"/>
    <n v="4"/>
    <x v="1"/>
    <n v="2"/>
    <n v="2"/>
    <x v="3"/>
    <x v="3"/>
    <s v="Married"/>
    <n v="5957"/>
    <n v="6"/>
    <x v="1"/>
    <n v="13"/>
    <n v="2"/>
    <n v="1"/>
    <n v="13"/>
    <n v="3"/>
    <x v="1"/>
    <n v="11"/>
    <n v="9"/>
    <n v="5"/>
    <n v="9"/>
    <n v="0"/>
    <x v="2"/>
    <x v="0"/>
    <x v="3"/>
    <n v="541.5454545454545"/>
  </r>
  <r>
    <n v="37"/>
    <x v="1"/>
    <x v="1"/>
    <n v="1"/>
    <n v="2"/>
    <s v="Medical"/>
    <n v="3"/>
    <x v="0"/>
    <n v="2"/>
    <n v="1"/>
    <x v="1"/>
    <x v="3"/>
    <s v="Married"/>
    <n v="3920"/>
    <n v="2"/>
    <x v="1"/>
    <n v="14"/>
    <n v="1"/>
    <n v="1"/>
    <n v="17"/>
    <n v="2"/>
    <x v="2"/>
    <n v="3"/>
    <n v="1"/>
    <n v="0"/>
    <n v="2"/>
    <n v="0"/>
    <x v="0"/>
    <x v="1"/>
    <x v="2"/>
    <n v="1306.6666666666667"/>
  </r>
  <r>
    <n v="45"/>
    <x v="1"/>
    <x v="1"/>
    <n v="7"/>
    <n v="4"/>
    <s v="Life Sciences"/>
    <n v="1"/>
    <x v="1"/>
    <n v="4"/>
    <n v="2"/>
    <x v="3"/>
    <x v="2"/>
    <s v="Married"/>
    <n v="6434"/>
    <n v="4"/>
    <x v="1"/>
    <n v="17"/>
    <n v="4"/>
    <n v="1"/>
    <n v="9"/>
    <n v="1"/>
    <x v="1"/>
    <n v="3"/>
    <n v="2"/>
    <n v="0"/>
    <n v="2"/>
    <n v="0"/>
    <x v="0"/>
    <x v="0"/>
    <x v="2"/>
    <n v="2144.6666666666665"/>
  </r>
  <r>
    <n v="37"/>
    <x v="0"/>
    <x v="1"/>
    <n v="10"/>
    <n v="3"/>
    <s v="Medical"/>
    <n v="1"/>
    <x v="1"/>
    <n v="3"/>
    <n v="3"/>
    <x v="3"/>
    <x v="2"/>
    <s v="Divorced"/>
    <n v="10048"/>
    <n v="6"/>
    <x v="1"/>
    <n v="11"/>
    <n v="2"/>
    <n v="2"/>
    <n v="17"/>
    <n v="5"/>
    <x v="1"/>
    <n v="1"/>
    <n v="0"/>
    <n v="0"/>
    <n v="0"/>
    <n v="1"/>
    <x v="0"/>
    <x v="2"/>
    <x v="1"/>
    <n v="10048"/>
  </r>
  <r>
    <n v="39"/>
    <x v="1"/>
    <x v="1"/>
    <n v="2"/>
    <n v="4"/>
    <s v="Technical Degree"/>
    <n v="3"/>
    <x v="0"/>
    <n v="3"/>
    <n v="3"/>
    <x v="4"/>
    <x v="2"/>
    <s v="Single"/>
    <n v="10938"/>
    <n v="0"/>
    <x v="1"/>
    <n v="25"/>
    <n v="4"/>
    <n v="0"/>
    <n v="20"/>
    <n v="1"/>
    <x v="1"/>
    <n v="19"/>
    <n v="6"/>
    <n v="11"/>
    <n v="8"/>
    <n v="0"/>
    <x v="0"/>
    <x v="2"/>
    <x v="3"/>
    <n v="575.68421052631584"/>
  </r>
  <r>
    <n v="29"/>
    <x v="1"/>
    <x v="1"/>
    <n v="15"/>
    <n v="3"/>
    <s v="Life Sciences"/>
    <n v="3"/>
    <x v="1"/>
    <n v="3"/>
    <n v="1"/>
    <x v="1"/>
    <x v="0"/>
    <s v="Single"/>
    <n v="2340"/>
    <n v="1"/>
    <x v="1"/>
    <n v="19"/>
    <n v="1"/>
    <n v="0"/>
    <n v="6"/>
    <n v="1"/>
    <x v="1"/>
    <n v="6"/>
    <n v="5"/>
    <n v="1"/>
    <n v="5"/>
    <n v="0"/>
    <x v="2"/>
    <x v="1"/>
    <x v="0"/>
    <n v="390"/>
  </r>
  <r>
    <n v="42"/>
    <x v="1"/>
    <x v="1"/>
    <n v="17"/>
    <n v="2"/>
    <s v="Life Sciences"/>
    <n v="4"/>
    <x v="0"/>
    <n v="4"/>
    <n v="2"/>
    <x v="1"/>
    <x v="3"/>
    <s v="Single"/>
    <n v="6545"/>
    <n v="3"/>
    <x v="0"/>
    <n v="13"/>
    <n v="3"/>
    <n v="0"/>
    <n v="10"/>
    <n v="1"/>
    <x v="1"/>
    <n v="3"/>
    <n v="2"/>
    <n v="0"/>
    <n v="2"/>
    <n v="0"/>
    <x v="0"/>
    <x v="0"/>
    <x v="2"/>
    <n v="2181.6666666666665"/>
  </r>
  <r>
    <n v="29"/>
    <x v="1"/>
    <x v="0"/>
    <n v="20"/>
    <n v="2"/>
    <s v="Marketing"/>
    <n v="4"/>
    <x v="1"/>
    <n v="3"/>
    <n v="2"/>
    <x v="0"/>
    <x v="0"/>
    <s v="Divorced"/>
    <n v="6931"/>
    <n v="2"/>
    <x v="1"/>
    <n v="14"/>
    <n v="4"/>
    <n v="1"/>
    <n v="10"/>
    <n v="2"/>
    <x v="1"/>
    <n v="3"/>
    <n v="2"/>
    <n v="0"/>
    <n v="2"/>
    <n v="0"/>
    <x v="2"/>
    <x v="0"/>
    <x v="2"/>
    <n v="2310.3333333333335"/>
  </r>
  <r>
    <n v="25"/>
    <x v="1"/>
    <x v="1"/>
    <n v="1"/>
    <n v="3"/>
    <s v="Life Sciences"/>
    <n v="1"/>
    <x v="0"/>
    <n v="3"/>
    <n v="2"/>
    <x v="3"/>
    <x v="2"/>
    <s v="Married"/>
    <n v="4898"/>
    <n v="0"/>
    <x v="1"/>
    <n v="12"/>
    <n v="4"/>
    <n v="2"/>
    <n v="5"/>
    <n v="3"/>
    <x v="1"/>
    <n v="4"/>
    <n v="2"/>
    <n v="1"/>
    <n v="2"/>
    <n v="0"/>
    <x v="3"/>
    <x v="0"/>
    <x v="2"/>
    <n v="1224.5"/>
  </r>
  <r>
    <n v="42"/>
    <x v="1"/>
    <x v="1"/>
    <n v="2"/>
    <n v="3"/>
    <s v="Medical"/>
    <n v="4"/>
    <x v="0"/>
    <n v="2"/>
    <n v="1"/>
    <x v="2"/>
    <x v="3"/>
    <s v="Divorced"/>
    <n v="2593"/>
    <n v="0"/>
    <x v="0"/>
    <n v="11"/>
    <n v="3"/>
    <n v="1"/>
    <n v="10"/>
    <n v="4"/>
    <x v="1"/>
    <n v="9"/>
    <n v="6"/>
    <n v="7"/>
    <n v="8"/>
    <n v="0"/>
    <x v="0"/>
    <x v="1"/>
    <x v="0"/>
    <n v="288.11111111111109"/>
  </r>
  <r>
    <n v="40"/>
    <x v="1"/>
    <x v="1"/>
    <n v="2"/>
    <n v="2"/>
    <s v="Medical"/>
    <n v="1"/>
    <x v="1"/>
    <n v="3"/>
    <n v="5"/>
    <x v="7"/>
    <x v="2"/>
    <s v="Divorced"/>
    <n v="19436"/>
    <n v="0"/>
    <x v="1"/>
    <n v="19"/>
    <n v="4"/>
    <n v="1"/>
    <n v="22"/>
    <n v="5"/>
    <x v="1"/>
    <n v="21"/>
    <n v="7"/>
    <n v="3"/>
    <n v="9"/>
    <n v="0"/>
    <x v="0"/>
    <x v="2"/>
    <x v="3"/>
    <n v="925.52380952380952"/>
  </r>
  <r>
    <n v="51"/>
    <x v="1"/>
    <x v="1"/>
    <n v="1"/>
    <n v="3"/>
    <s v="Life Sciences"/>
    <n v="3"/>
    <x v="1"/>
    <n v="3"/>
    <n v="1"/>
    <x v="1"/>
    <x v="0"/>
    <s v="Married"/>
    <n v="2723"/>
    <n v="1"/>
    <x v="1"/>
    <n v="11"/>
    <n v="2"/>
    <n v="0"/>
    <n v="1"/>
    <n v="0"/>
    <x v="2"/>
    <n v="1"/>
    <n v="0"/>
    <n v="0"/>
    <n v="0"/>
    <n v="0"/>
    <x v="1"/>
    <x v="1"/>
    <x v="1"/>
    <n v="2723"/>
  </r>
  <r>
    <n v="31"/>
    <x v="0"/>
    <x v="1"/>
    <n v="29"/>
    <n v="2"/>
    <s v="Medical"/>
    <n v="3"/>
    <x v="1"/>
    <n v="2"/>
    <n v="1"/>
    <x v="2"/>
    <x v="1"/>
    <s v="Single"/>
    <n v="3479"/>
    <n v="0"/>
    <x v="1"/>
    <n v="11"/>
    <n v="2"/>
    <n v="0"/>
    <n v="6"/>
    <n v="2"/>
    <x v="3"/>
    <n v="5"/>
    <n v="4"/>
    <n v="1"/>
    <n v="4"/>
    <n v="1"/>
    <x v="2"/>
    <x v="1"/>
    <x v="2"/>
    <n v="695.8"/>
  </r>
  <r>
    <n v="32"/>
    <x v="1"/>
    <x v="1"/>
    <n v="7"/>
    <n v="3"/>
    <s v="Life Sciences"/>
    <n v="2"/>
    <x v="1"/>
    <n v="4"/>
    <n v="1"/>
    <x v="2"/>
    <x v="1"/>
    <s v="Married"/>
    <n v="2794"/>
    <n v="1"/>
    <x v="1"/>
    <n v="20"/>
    <n v="3"/>
    <n v="0"/>
    <n v="5"/>
    <n v="3"/>
    <x v="0"/>
    <n v="5"/>
    <n v="1"/>
    <n v="0"/>
    <n v="3"/>
    <n v="0"/>
    <x v="2"/>
    <x v="1"/>
    <x v="2"/>
    <n v="558.79999999999995"/>
  </r>
  <r>
    <n v="38"/>
    <x v="1"/>
    <x v="0"/>
    <n v="2"/>
    <n v="2"/>
    <s v="Life Sciences"/>
    <n v="4"/>
    <x v="1"/>
    <n v="2"/>
    <n v="2"/>
    <x v="0"/>
    <x v="0"/>
    <s v="Married"/>
    <n v="5249"/>
    <n v="3"/>
    <x v="1"/>
    <n v="18"/>
    <n v="4"/>
    <n v="1"/>
    <n v="13"/>
    <n v="0"/>
    <x v="1"/>
    <n v="8"/>
    <n v="7"/>
    <n v="7"/>
    <n v="5"/>
    <n v="0"/>
    <x v="0"/>
    <x v="0"/>
    <x v="0"/>
    <n v="656.125"/>
  </r>
  <r>
    <n v="32"/>
    <x v="1"/>
    <x v="1"/>
    <n v="2"/>
    <n v="1"/>
    <s v="Technical Degree"/>
    <n v="4"/>
    <x v="1"/>
    <n v="2"/>
    <n v="2"/>
    <x v="2"/>
    <x v="3"/>
    <s v="Single"/>
    <n v="2176"/>
    <n v="4"/>
    <x v="1"/>
    <n v="13"/>
    <n v="4"/>
    <n v="0"/>
    <n v="9"/>
    <n v="5"/>
    <x v="1"/>
    <n v="6"/>
    <n v="2"/>
    <n v="0"/>
    <n v="4"/>
    <n v="0"/>
    <x v="2"/>
    <x v="1"/>
    <x v="0"/>
    <n v="362.66666666666669"/>
  </r>
  <r>
    <n v="46"/>
    <x v="1"/>
    <x v="0"/>
    <n v="2"/>
    <n v="3"/>
    <s v="Technical Degree"/>
    <n v="3"/>
    <x v="0"/>
    <n v="1"/>
    <n v="4"/>
    <x v="5"/>
    <x v="1"/>
    <s v="Married"/>
    <n v="16872"/>
    <n v="3"/>
    <x v="0"/>
    <n v="12"/>
    <n v="2"/>
    <n v="1"/>
    <n v="28"/>
    <n v="2"/>
    <x v="2"/>
    <n v="7"/>
    <n v="7"/>
    <n v="7"/>
    <n v="7"/>
    <n v="0"/>
    <x v="1"/>
    <x v="2"/>
    <x v="0"/>
    <n v="2410.2857142857142"/>
  </r>
  <r>
    <n v="28"/>
    <x v="0"/>
    <x v="1"/>
    <n v="2"/>
    <n v="4"/>
    <s v="Life Sciences"/>
    <n v="1"/>
    <x v="1"/>
    <n v="3"/>
    <n v="1"/>
    <x v="2"/>
    <x v="2"/>
    <s v="Single"/>
    <n v="3485"/>
    <n v="2"/>
    <x v="1"/>
    <n v="11"/>
    <n v="3"/>
    <n v="0"/>
    <n v="5"/>
    <n v="5"/>
    <x v="0"/>
    <n v="0"/>
    <n v="0"/>
    <n v="0"/>
    <n v="0"/>
    <n v="1"/>
    <x v="2"/>
    <x v="1"/>
    <x v="1"/>
    <n v="3485"/>
  </r>
  <r>
    <n v="29"/>
    <x v="1"/>
    <x v="0"/>
    <n v="2"/>
    <n v="3"/>
    <s v="Medical"/>
    <n v="1"/>
    <x v="1"/>
    <n v="2"/>
    <n v="2"/>
    <x v="0"/>
    <x v="1"/>
    <s v="Married"/>
    <n v="6644"/>
    <n v="2"/>
    <x v="1"/>
    <n v="19"/>
    <n v="2"/>
    <n v="2"/>
    <n v="10"/>
    <n v="2"/>
    <x v="1"/>
    <n v="0"/>
    <n v="0"/>
    <n v="0"/>
    <n v="0"/>
    <n v="0"/>
    <x v="2"/>
    <x v="0"/>
    <x v="1"/>
    <n v="6644"/>
  </r>
  <r>
    <n v="31"/>
    <x v="1"/>
    <x v="1"/>
    <n v="23"/>
    <n v="3"/>
    <s v="Medical"/>
    <n v="2"/>
    <x v="1"/>
    <n v="2"/>
    <n v="2"/>
    <x v="4"/>
    <x v="0"/>
    <s v="Married"/>
    <n v="5582"/>
    <n v="0"/>
    <x v="1"/>
    <n v="21"/>
    <n v="2"/>
    <n v="1"/>
    <n v="10"/>
    <n v="2"/>
    <x v="1"/>
    <n v="9"/>
    <n v="0"/>
    <n v="7"/>
    <n v="8"/>
    <n v="0"/>
    <x v="2"/>
    <x v="0"/>
    <x v="0"/>
    <n v="620.22222222222217"/>
  </r>
  <r>
    <n v="25"/>
    <x v="1"/>
    <x v="1"/>
    <n v="5"/>
    <n v="2"/>
    <s v="Life Sciences"/>
    <n v="2"/>
    <x v="1"/>
    <n v="4"/>
    <n v="2"/>
    <x v="4"/>
    <x v="3"/>
    <s v="Divorced"/>
    <n v="4000"/>
    <n v="1"/>
    <x v="1"/>
    <n v="12"/>
    <n v="4"/>
    <n v="2"/>
    <n v="6"/>
    <n v="2"/>
    <x v="1"/>
    <n v="6"/>
    <n v="3"/>
    <n v="1"/>
    <n v="5"/>
    <n v="0"/>
    <x v="3"/>
    <x v="1"/>
    <x v="0"/>
    <n v="666.66666666666663"/>
  </r>
  <r>
    <n v="45"/>
    <x v="1"/>
    <x v="1"/>
    <n v="20"/>
    <n v="2"/>
    <s v="Medical"/>
    <n v="3"/>
    <x v="1"/>
    <n v="3"/>
    <n v="4"/>
    <x v="4"/>
    <x v="0"/>
    <s v="Married"/>
    <n v="13496"/>
    <n v="0"/>
    <x v="0"/>
    <n v="14"/>
    <n v="2"/>
    <n v="0"/>
    <n v="21"/>
    <n v="2"/>
    <x v="1"/>
    <n v="20"/>
    <n v="7"/>
    <n v="4"/>
    <n v="10"/>
    <n v="0"/>
    <x v="0"/>
    <x v="2"/>
    <x v="3"/>
    <n v="674.8"/>
  </r>
  <r>
    <n v="36"/>
    <x v="1"/>
    <x v="1"/>
    <n v="6"/>
    <n v="3"/>
    <s v="Life Sciences"/>
    <n v="4"/>
    <x v="1"/>
    <n v="3"/>
    <n v="1"/>
    <x v="2"/>
    <x v="0"/>
    <s v="Married"/>
    <n v="3210"/>
    <n v="0"/>
    <x v="1"/>
    <n v="11"/>
    <n v="3"/>
    <n v="1"/>
    <n v="16"/>
    <n v="4"/>
    <x v="1"/>
    <n v="15"/>
    <n v="13"/>
    <n v="10"/>
    <n v="11"/>
    <n v="0"/>
    <x v="0"/>
    <x v="1"/>
    <x v="3"/>
    <n v="214"/>
  </r>
  <r>
    <n v="55"/>
    <x v="1"/>
    <x v="1"/>
    <n v="1"/>
    <n v="3"/>
    <s v="Medical"/>
    <n v="4"/>
    <x v="1"/>
    <n v="3"/>
    <n v="5"/>
    <x v="5"/>
    <x v="3"/>
    <s v="Single"/>
    <n v="19045"/>
    <n v="0"/>
    <x v="0"/>
    <n v="14"/>
    <n v="3"/>
    <n v="0"/>
    <n v="37"/>
    <n v="2"/>
    <x v="1"/>
    <n v="36"/>
    <n v="10"/>
    <n v="4"/>
    <n v="13"/>
    <n v="0"/>
    <x v="1"/>
    <x v="2"/>
    <x v="3"/>
    <n v="529.02777777777783"/>
  </r>
  <r>
    <n v="47"/>
    <x v="0"/>
    <x v="1"/>
    <n v="29"/>
    <n v="4"/>
    <s v="Life Sciences"/>
    <n v="1"/>
    <x v="1"/>
    <n v="3"/>
    <n v="3"/>
    <x v="5"/>
    <x v="1"/>
    <s v="Married"/>
    <n v="11849"/>
    <n v="1"/>
    <x v="0"/>
    <n v="12"/>
    <n v="4"/>
    <n v="1"/>
    <n v="10"/>
    <n v="2"/>
    <x v="2"/>
    <n v="10"/>
    <n v="7"/>
    <n v="9"/>
    <n v="9"/>
    <n v="1"/>
    <x v="1"/>
    <x v="2"/>
    <x v="0"/>
    <n v="1184.9000000000001"/>
  </r>
  <r>
    <n v="28"/>
    <x v="1"/>
    <x v="1"/>
    <n v="9"/>
    <n v="3"/>
    <s v="Medical"/>
    <n v="4"/>
    <x v="1"/>
    <n v="3"/>
    <n v="1"/>
    <x v="1"/>
    <x v="0"/>
    <s v="Married"/>
    <n v="2070"/>
    <n v="1"/>
    <x v="1"/>
    <n v="23"/>
    <n v="4"/>
    <n v="1"/>
    <n v="5"/>
    <n v="3"/>
    <x v="2"/>
    <n v="5"/>
    <n v="2"/>
    <n v="0"/>
    <n v="4"/>
    <n v="0"/>
    <x v="2"/>
    <x v="1"/>
    <x v="2"/>
    <n v="414"/>
  </r>
  <r>
    <n v="37"/>
    <x v="1"/>
    <x v="0"/>
    <n v="6"/>
    <n v="4"/>
    <s v="Medical"/>
    <n v="3"/>
    <x v="1"/>
    <n v="3"/>
    <n v="2"/>
    <x v="0"/>
    <x v="0"/>
    <s v="Married"/>
    <n v="6502"/>
    <n v="4"/>
    <x v="1"/>
    <n v="14"/>
    <n v="2"/>
    <n v="1"/>
    <n v="7"/>
    <n v="5"/>
    <x v="3"/>
    <n v="5"/>
    <n v="4"/>
    <n v="0"/>
    <n v="1"/>
    <n v="0"/>
    <x v="0"/>
    <x v="0"/>
    <x v="2"/>
    <n v="1300.4000000000001"/>
  </r>
  <r>
    <n v="21"/>
    <x v="1"/>
    <x v="1"/>
    <n v="3"/>
    <n v="2"/>
    <s v="Medical"/>
    <n v="4"/>
    <x v="1"/>
    <n v="2"/>
    <n v="1"/>
    <x v="1"/>
    <x v="2"/>
    <s v="Single"/>
    <n v="3230"/>
    <n v="1"/>
    <x v="1"/>
    <n v="17"/>
    <n v="1"/>
    <n v="0"/>
    <n v="3"/>
    <n v="4"/>
    <x v="3"/>
    <n v="3"/>
    <n v="2"/>
    <n v="1"/>
    <n v="0"/>
    <n v="0"/>
    <x v="3"/>
    <x v="1"/>
    <x v="2"/>
    <n v="1076.6666666666667"/>
  </r>
  <r>
    <n v="37"/>
    <x v="1"/>
    <x v="1"/>
    <n v="1"/>
    <n v="4"/>
    <s v="Medical"/>
    <n v="1"/>
    <x v="0"/>
    <n v="3"/>
    <n v="3"/>
    <x v="7"/>
    <x v="0"/>
    <s v="Divorced"/>
    <n v="13603"/>
    <n v="2"/>
    <x v="0"/>
    <n v="18"/>
    <n v="1"/>
    <n v="2"/>
    <n v="15"/>
    <n v="2"/>
    <x v="1"/>
    <n v="5"/>
    <n v="2"/>
    <n v="0"/>
    <n v="2"/>
    <n v="0"/>
    <x v="0"/>
    <x v="2"/>
    <x v="2"/>
    <n v="2720.6"/>
  </r>
  <r>
    <n v="35"/>
    <x v="1"/>
    <x v="1"/>
    <n v="22"/>
    <n v="3"/>
    <s v="Life Sciences"/>
    <n v="2"/>
    <x v="0"/>
    <n v="4"/>
    <n v="3"/>
    <x v="5"/>
    <x v="1"/>
    <s v="Divorced"/>
    <n v="11996"/>
    <n v="7"/>
    <x v="1"/>
    <n v="18"/>
    <n v="2"/>
    <n v="1"/>
    <n v="10"/>
    <n v="6"/>
    <x v="2"/>
    <n v="7"/>
    <n v="7"/>
    <n v="6"/>
    <n v="2"/>
    <n v="0"/>
    <x v="2"/>
    <x v="2"/>
    <x v="0"/>
    <n v="1713.7142857142858"/>
  </r>
  <r>
    <n v="38"/>
    <x v="1"/>
    <x v="0"/>
    <n v="7"/>
    <n v="2"/>
    <s v="Medical"/>
    <n v="1"/>
    <x v="0"/>
    <n v="4"/>
    <n v="2"/>
    <x v="0"/>
    <x v="3"/>
    <s v="Divorced"/>
    <n v="5605"/>
    <n v="1"/>
    <x v="0"/>
    <n v="24"/>
    <n v="3"/>
    <n v="1"/>
    <n v="8"/>
    <n v="3"/>
    <x v="1"/>
    <n v="8"/>
    <n v="0"/>
    <n v="7"/>
    <n v="7"/>
    <n v="0"/>
    <x v="0"/>
    <x v="0"/>
    <x v="0"/>
    <n v="700.625"/>
  </r>
  <r>
    <n v="26"/>
    <x v="1"/>
    <x v="1"/>
    <n v="1"/>
    <n v="3"/>
    <s v="Life Sciences"/>
    <n v="3"/>
    <x v="0"/>
    <n v="3"/>
    <n v="2"/>
    <x v="3"/>
    <x v="1"/>
    <s v="Divorced"/>
    <n v="6397"/>
    <n v="1"/>
    <x v="1"/>
    <n v="20"/>
    <n v="1"/>
    <n v="1"/>
    <n v="6"/>
    <n v="6"/>
    <x v="0"/>
    <n v="6"/>
    <n v="5"/>
    <n v="1"/>
    <n v="4"/>
    <n v="0"/>
    <x v="2"/>
    <x v="0"/>
    <x v="0"/>
    <n v="1066.1666666666667"/>
  </r>
  <r>
    <n v="50"/>
    <x v="1"/>
    <x v="1"/>
    <n v="4"/>
    <n v="1"/>
    <s v="Life Sciences"/>
    <n v="1"/>
    <x v="1"/>
    <n v="3"/>
    <n v="5"/>
    <x v="7"/>
    <x v="1"/>
    <s v="Divorced"/>
    <n v="19144"/>
    <n v="3"/>
    <x v="1"/>
    <n v="14"/>
    <n v="1"/>
    <n v="2"/>
    <n v="28"/>
    <n v="4"/>
    <x v="2"/>
    <n v="10"/>
    <n v="4"/>
    <n v="1"/>
    <n v="6"/>
    <n v="0"/>
    <x v="1"/>
    <x v="2"/>
    <x v="0"/>
    <n v="1914.4"/>
  </r>
  <r>
    <n v="53"/>
    <x v="1"/>
    <x v="1"/>
    <n v="3"/>
    <n v="4"/>
    <s v="Medical"/>
    <n v="3"/>
    <x v="1"/>
    <n v="3"/>
    <n v="4"/>
    <x v="7"/>
    <x v="2"/>
    <s v="Married"/>
    <n v="17584"/>
    <n v="3"/>
    <x v="0"/>
    <n v="16"/>
    <n v="4"/>
    <n v="3"/>
    <n v="21"/>
    <n v="5"/>
    <x v="2"/>
    <n v="5"/>
    <n v="3"/>
    <n v="1"/>
    <n v="3"/>
    <n v="0"/>
    <x v="1"/>
    <x v="2"/>
    <x v="2"/>
    <n v="3516.8"/>
  </r>
  <r>
    <n v="42"/>
    <x v="1"/>
    <x v="0"/>
    <n v="1"/>
    <n v="1"/>
    <s v="Life Sciences"/>
    <n v="2"/>
    <x v="1"/>
    <n v="3"/>
    <n v="2"/>
    <x v="0"/>
    <x v="2"/>
    <s v="Married"/>
    <n v="4907"/>
    <n v="1"/>
    <x v="1"/>
    <n v="25"/>
    <n v="3"/>
    <n v="0"/>
    <n v="20"/>
    <n v="3"/>
    <x v="1"/>
    <n v="20"/>
    <n v="16"/>
    <n v="11"/>
    <n v="6"/>
    <n v="0"/>
    <x v="0"/>
    <x v="0"/>
    <x v="3"/>
    <n v="245.35"/>
  </r>
  <r>
    <n v="29"/>
    <x v="1"/>
    <x v="0"/>
    <n v="2"/>
    <n v="2"/>
    <s v="Life Sciences"/>
    <n v="2"/>
    <x v="1"/>
    <n v="3"/>
    <n v="2"/>
    <x v="0"/>
    <x v="0"/>
    <s v="Single"/>
    <n v="4554"/>
    <n v="1"/>
    <x v="1"/>
    <n v="18"/>
    <n v="1"/>
    <n v="0"/>
    <n v="10"/>
    <n v="3"/>
    <x v="2"/>
    <n v="10"/>
    <n v="7"/>
    <n v="0"/>
    <n v="9"/>
    <n v="0"/>
    <x v="2"/>
    <x v="0"/>
    <x v="0"/>
    <n v="455.4"/>
  </r>
  <r>
    <n v="55"/>
    <x v="1"/>
    <x v="1"/>
    <n v="20"/>
    <n v="2"/>
    <s v="Technical Degree"/>
    <n v="2"/>
    <x v="1"/>
    <n v="3"/>
    <n v="2"/>
    <x v="2"/>
    <x v="0"/>
    <s v="Married"/>
    <n v="5415"/>
    <n v="3"/>
    <x v="0"/>
    <n v="19"/>
    <n v="4"/>
    <n v="1"/>
    <n v="12"/>
    <n v="4"/>
    <x v="1"/>
    <n v="10"/>
    <n v="7"/>
    <n v="0"/>
    <n v="8"/>
    <n v="0"/>
    <x v="1"/>
    <x v="0"/>
    <x v="0"/>
    <n v="541.5"/>
  </r>
  <r>
    <n v="26"/>
    <x v="1"/>
    <x v="1"/>
    <n v="11"/>
    <n v="2"/>
    <s v="Medical"/>
    <n v="1"/>
    <x v="1"/>
    <n v="3"/>
    <n v="2"/>
    <x v="4"/>
    <x v="3"/>
    <s v="Married"/>
    <n v="4741"/>
    <n v="1"/>
    <x v="0"/>
    <n v="13"/>
    <n v="3"/>
    <n v="1"/>
    <n v="5"/>
    <n v="3"/>
    <x v="1"/>
    <n v="5"/>
    <n v="3"/>
    <n v="3"/>
    <n v="3"/>
    <n v="0"/>
    <x v="2"/>
    <x v="0"/>
    <x v="2"/>
    <n v="948.2"/>
  </r>
  <r>
    <n v="37"/>
    <x v="1"/>
    <x v="1"/>
    <n v="1"/>
    <n v="3"/>
    <s v="Life Sciences"/>
    <n v="4"/>
    <x v="0"/>
    <n v="3"/>
    <n v="1"/>
    <x v="1"/>
    <x v="0"/>
    <s v="Single"/>
    <n v="2115"/>
    <n v="1"/>
    <x v="1"/>
    <n v="12"/>
    <n v="2"/>
    <n v="0"/>
    <n v="17"/>
    <n v="3"/>
    <x v="1"/>
    <n v="17"/>
    <n v="12"/>
    <n v="5"/>
    <n v="7"/>
    <n v="0"/>
    <x v="0"/>
    <x v="1"/>
    <x v="3"/>
    <n v="124.41176470588235"/>
  </r>
  <r>
    <n v="44"/>
    <x v="0"/>
    <x v="1"/>
    <n v="24"/>
    <n v="3"/>
    <s v="Life Sciences"/>
    <n v="4"/>
    <x v="1"/>
    <n v="3"/>
    <n v="1"/>
    <x v="2"/>
    <x v="2"/>
    <s v="Divorced"/>
    <n v="3161"/>
    <n v="3"/>
    <x v="0"/>
    <n v="22"/>
    <n v="4"/>
    <n v="1"/>
    <n v="19"/>
    <n v="0"/>
    <x v="0"/>
    <n v="1"/>
    <n v="0"/>
    <n v="0"/>
    <n v="0"/>
    <n v="1"/>
    <x v="0"/>
    <x v="1"/>
    <x v="1"/>
    <n v="3161"/>
  </r>
  <r>
    <n v="38"/>
    <x v="1"/>
    <x v="1"/>
    <n v="23"/>
    <n v="4"/>
    <s v="Life Sciences"/>
    <n v="4"/>
    <x v="1"/>
    <n v="3"/>
    <n v="2"/>
    <x v="4"/>
    <x v="0"/>
    <s v="Divorced"/>
    <n v="5745"/>
    <n v="9"/>
    <x v="1"/>
    <n v="14"/>
    <n v="2"/>
    <n v="1"/>
    <n v="10"/>
    <n v="2"/>
    <x v="1"/>
    <n v="2"/>
    <n v="2"/>
    <n v="1"/>
    <n v="2"/>
    <n v="0"/>
    <x v="0"/>
    <x v="0"/>
    <x v="1"/>
    <n v="2872.5"/>
  </r>
  <r>
    <n v="26"/>
    <x v="0"/>
    <x v="1"/>
    <n v="16"/>
    <n v="4"/>
    <s v="Medical"/>
    <n v="1"/>
    <x v="1"/>
    <n v="3"/>
    <n v="1"/>
    <x v="2"/>
    <x v="1"/>
    <s v="Divorced"/>
    <n v="2373"/>
    <n v="2"/>
    <x v="0"/>
    <n v="13"/>
    <n v="4"/>
    <n v="1"/>
    <n v="5"/>
    <n v="2"/>
    <x v="1"/>
    <n v="3"/>
    <n v="2"/>
    <n v="0"/>
    <n v="2"/>
    <n v="1"/>
    <x v="2"/>
    <x v="1"/>
    <x v="2"/>
    <n v="791"/>
  </r>
  <r>
    <n v="28"/>
    <x v="1"/>
    <x v="1"/>
    <n v="8"/>
    <n v="2"/>
    <s v="Life Sciences"/>
    <n v="4"/>
    <x v="0"/>
    <n v="3"/>
    <n v="1"/>
    <x v="1"/>
    <x v="0"/>
    <s v="Single"/>
    <n v="3310"/>
    <n v="1"/>
    <x v="1"/>
    <n v="21"/>
    <n v="4"/>
    <n v="0"/>
    <n v="5"/>
    <n v="3"/>
    <x v="1"/>
    <n v="5"/>
    <n v="3"/>
    <n v="0"/>
    <n v="2"/>
    <n v="0"/>
    <x v="2"/>
    <x v="1"/>
    <x v="2"/>
    <n v="662"/>
  </r>
  <r>
    <n v="49"/>
    <x v="1"/>
    <x v="1"/>
    <n v="10"/>
    <n v="4"/>
    <s v="Life Sciences"/>
    <n v="3"/>
    <x v="0"/>
    <n v="3"/>
    <n v="5"/>
    <x v="7"/>
    <x v="3"/>
    <s v="Single"/>
    <n v="18665"/>
    <n v="9"/>
    <x v="0"/>
    <n v="11"/>
    <n v="4"/>
    <n v="0"/>
    <n v="22"/>
    <n v="4"/>
    <x v="1"/>
    <n v="3"/>
    <n v="2"/>
    <n v="1"/>
    <n v="2"/>
    <n v="0"/>
    <x v="1"/>
    <x v="2"/>
    <x v="2"/>
    <n v="6221.666666666667"/>
  </r>
  <r>
    <n v="36"/>
    <x v="1"/>
    <x v="1"/>
    <n v="3"/>
    <n v="3"/>
    <s v="Technical Degree"/>
    <n v="3"/>
    <x v="1"/>
    <n v="3"/>
    <n v="2"/>
    <x v="1"/>
    <x v="1"/>
    <s v="Single"/>
    <n v="4485"/>
    <n v="4"/>
    <x v="1"/>
    <n v="12"/>
    <n v="4"/>
    <n v="0"/>
    <n v="10"/>
    <n v="2"/>
    <x v="1"/>
    <n v="8"/>
    <n v="0"/>
    <n v="7"/>
    <n v="7"/>
    <n v="0"/>
    <x v="0"/>
    <x v="0"/>
    <x v="0"/>
    <n v="560.625"/>
  </r>
  <r>
    <n v="31"/>
    <x v="1"/>
    <x v="0"/>
    <n v="5"/>
    <n v="3"/>
    <s v="Marketing"/>
    <n v="4"/>
    <x v="0"/>
    <n v="3"/>
    <n v="1"/>
    <x v="6"/>
    <x v="1"/>
    <s v="Divorced"/>
    <n v="2789"/>
    <n v="1"/>
    <x v="1"/>
    <n v="11"/>
    <n v="3"/>
    <n v="1"/>
    <n v="2"/>
    <n v="5"/>
    <x v="2"/>
    <n v="2"/>
    <n v="2"/>
    <n v="2"/>
    <n v="2"/>
    <n v="0"/>
    <x v="2"/>
    <x v="1"/>
    <x v="1"/>
    <n v="1394.5"/>
  </r>
  <r>
    <n v="26"/>
    <x v="0"/>
    <x v="0"/>
    <n v="4"/>
    <n v="4"/>
    <s v="Marketing"/>
    <n v="4"/>
    <x v="1"/>
    <n v="2"/>
    <n v="2"/>
    <x v="0"/>
    <x v="0"/>
    <s v="Single"/>
    <n v="5828"/>
    <n v="1"/>
    <x v="0"/>
    <n v="12"/>
    <n v="2"/>
    <n v="0"/>
    <n v="8"/>
    <n v="0"/>
    <x v="1"/>
    <n v="8"/>
    <n v="7"/>
    <n v="7"/>
    <n v="4"/>
    <n v="1"/>
    <x v="2"/>
    <x v="0"/>
    <x v="0"/>
    <n v="728.5"/>
  </r>
  <r>
    <n v="37"/>
    <x v="1"/>
    <x v="1"/>
    <n v="9"/>
    <n v="3"/>
    <s v="Medical"/>
    <n v="2"/>
    <x v="1"/>
    <n v="3"/>
    <n v="1"/>
    <x v="1"/>
    <x v="0"/>
    <s v="Married"/>
    <n v="2326"/>
    <n v="1"/>
    <x v="0"/>
    <n v="12"/>
    <n v="3"/>
    <n v="3"/>
    <n v="4"/>
    <n v="3"/>
    <x v="2"/>
    <n v="4"/>
    <n v="2"/>
    <n v="1"/>
    <n v="2"/>
    <n v="0"/>
    <x v="0"/>
    <x v="1"/>
    <x v="2"/>
    <n v="581.5"/>
  </r>
  <r>
    <n v="42"/>
    <x v="1"/>
    <x v="0"/>
    <n v="26"/>
    <n v="3"/>
    <s v="Marketing"/>
    <n v="3"/>
    <x v="0"/>
    <n v="3"/>
    <n v="4"/>
    <x v="0"/>
    <x v="1"/>
    <s v="Married"/>
    <n v="13525"/>
    <n v="5"/>
    <x v="1"/>
    <n v="14"/>
    <n v="4"/>
    <n v="1"/>
    <n v="23"/>
    <n v="2"/>
    <x v="3"/>
    <n v="20"/>
    <n v="4"/>
    <n v="4"/>
    <n v="8"/>
    <n v="0"/>
    <x v="0"/>
    <x v="2"/>
    <x v="3"/>
    <n v="676.25"/>
  </r>
  <r>
    <n v="18"/>
    <x v="0"/>
    <x v="1"/>
    <n v="3"/>
    <n v="3"/>
    <s v="Life Sciences"/>
    <n v="3"/>
    <x v="1"/>
    <n v="3"/>
    <n v="1"/>
    <x v="2"/>
    <x v="2"/>
    <s v="Single"/>
    <n v="1420"/>
    <n v="1"/>
    <x v="1"/>
    <n v="13"/>
    <n v="3"/>
    <n v="0"/>
    <n v="0"/>
    <n v="2"/>
    <x v="1"/>
    <n v="0"/>
    <n v="0"/>
    <n v="0"/>
    <n v="0"/>
    <n v="1"/>
    <x v="3"/>
    <x v="1"/>
    <x v="1"/>
    <n v="1420"/>
  </r>
  <r>
    <n v="35"/>
    <x v="1"/>
    <x v="0"/>
    <n v="16"/>
    <n v="3"/>
    <s v="Marketing"/>
    <n v="3"/>
    <x v="1"/>
    <n v="3"/>
    <n v="3"/>
    <x v="0"/>
    <x v="1"/>
    <s v="Married"/>
    <n v="8020"/>
    <n v="0"/>
    <x v="1"/>
    <n v="15"/>
    <n v="3"/>
    <n v="2"/>
    <n v="12"/>
    <n v="3"/>
    <x v="2"/>
    <n v="11"/>
    <n v="9"/>
    <n v="6"/>
    <n v="9"/>
    <n v="0"/>
    <x v="2"/>
    <x v="0"/>
    <x v="3"/>
    <n v="729.09090909090912"/>
  </r>
  <r>
    <n v="36"/>
    <x v="1"/>
    <x v="1"/>
    <n v="18"/>
    <n v="4"/>
    <s v="Life Sciences"/>
    <n v="3"/>
    <x v="1"/>
    <n v="4"/>
    <n v="1"/>
    <x v="2"/>
    <x v="0"/>
    <s v="Married"/>
    <n v="3688"/>
    <n v="4"/>
    <x v="1"/>
    <n v="18"/>
    <n v="4"/>
    <n v="2"/>
    <n v="4"/>
    <n v="2"/>
    <x v="1"/>
    <n v="1"/>
    <n v="0"/>
    <n v="0"/>
    <n v="0"/>
    <n v="0"/>
    <x v="0"/>
    <x v="1"/>
    <x v="1"/>
    <n v="3688"/>
  </r>
  <r>
    <n v="51"/>
    <x v="1"/>
    <x v="1"/>
    <n v="2"/>
    <n v="3"/>
    <s v="Medical"/>
    <n v="4"/>
    <x v="1"/>
    <n v="1"/>
    <n v="2"/>
    <x v="3"/>
    <x v="1"/>
    <s v="Divorced"/>
    <n v="5482"/>
    <n v="5"/>
    <x v="1"/>
    <n v="18"/>
    <n v="4"/>
    <n v="1"/>
    <n v="13"/>
    <n v="3"/>
    <x v="1"/>
    <n v="4"/>
    <n v="1"/>
    <n v="1"/>
    <n v="2"/>
    <n v="0"/>
    <x v="1"/>
    <x v="0"/>
    <x v="2"/>
    <n v="1370.5"/>
  </r>
  <r>
    <n v="41"/>
    <x v="1"/>
    <x v="0"/>
    <n v="2"/>
    <n v="4"/>
    <s v="Life Sciences"/>
    <n v="4"/>
    <x v="1"/>
    <n v="3"/>
    <n v="4"/>
    <x v="5"/>
    <x v="1"/>
    <s v="Single"/>
    <n v="16015"/>
    <n v="1"/>
    <x v="1"/>
    <n v="19"/>
    <n v="2"/>
    <n v="0"/>
    <n v="22"/>
    <n v="2"/>
    <x v="1"/>
    <n v="22"/>
    <n v="10"/>
    <n v="0"/>
    <n v="4"/>
    <n v="0"/>
    <x v="0"/>
    <x v="2"/>
    <x v="3"/>
    <n v="727.9545454545455"/>
  </r>
  <r>
    <n v="18"/>
    <x v="1"/>
    <x v="0"/>
    <n v="10"/>
    <n v="3"/>
    <s v="Medical"/>
    <n v="4"/>
    <x v="0"/>
    <n v="2"/>
    <n v="1"/>
    <x v="6"/>
    <x v="2"/>
    <s v="Single"/>
    <n v="1200"/>
    <n v="1"/>
    <x v="1"/>
    <n v="12"/>
    <n v="1"/>
    <n v="0"/>
    <n v="0"/>
    <n v="2"/>
    <x v="1"/>
    <n v="0"/>
    <n v="0"/>
    <n v="0"/>
    <n v="0"/>
    <n v="0"/>
    <x v="3"/>
    <x v="1"/>
    <x v="1"/>
    <n v="1200"/>
  </r>
  <r>
    <n v="28"/>
    <x v="1"/>
    <x v="1"/>
    <n v="16"/>
    <n v="2"/>
    <s v="Medical"/>
    <n v="2"/>
    <x v="1"/>
    <n v="4"/>
    <n v="2"/>
    <x v="4"/>
    <x v="3"/>
    <s v="Single"/>
    <n v="5661"/>
    <n v="0"/>
    <x v="1"/>
    <n v="19"/>
    <n v="3"/>
    <n v="0"/>
    <n v="9"/>
    <n v="2"/>
    <x v="1"/>
    <n v="8"/>
    <n v="3"/>
    <n v="0"/>
    <n v="7"/>
    <n v="0"/>
    <x v="2"/>
    <x v="0"/>
    <x v="0"/>
    <n v="707.625"/>
  </r>
  <r>
    <n v="31"/>
    <x v="1"/>
    <x v="0"/>
    <n v="7"/>
    <n v="3"/>
    <s v="Technical Degree"/>
    <n v="2"/>
    <x v="1"/>
    <n v="4"/>
    <n v="2"/>
    <x v="0"/>
    <x v="0"/>
    <s v="Married"/>
    <n v="6929"/>
    <n v="4"/>
    <x v="1"/>
    <n v="11"/>
    <n v="2"/>
    <n v="1"/>
    <n v="10"/>
    <n v="3"/>
    <x v="2"/>
    <n v="8"/>
    <n v="7"/>
    <n v="7"/>
    <n v="7"/>
    <n v="0"/>
    <x v="2"/>
    <x v="0"/>
    <x v="0"/>
    <n v="866.125"/>
  </r>
  <r>
    <n v="39"/>
    <x v="1"/>
    <x v="1"/>
    <n v="1"/>
    <n v="3"/>
    <s v="Medical"/>
    <n v="3"/>
    <x v="1"/>
    <n v="4"/>
    <n v="3"/>
    <x v="4"/>
    <x v="0"/>
    <s v="Divorced"/>
    <n v="9613"/>
    <n v="0"/>
    <x v="1"/>
    <n v="17"/>
    <n v="1"/>
    <n v="3"/>
    <n v="19"/>
    <n v="5"/>
    <x v="2"/>
    <n v="18"/>
    <n v="10"/>
    <n v="3"/>
    <n v="7"/>
    <n v="0"/>
    <x v="0"/>
    <x v="0"/>
    <x v="3"/>
    <n v="534.05555555555554"/>
  </r>
  <r>
    <n v="36"/>
    <x v="1"/>
    <x v="1"/>
    <n v="24"/>
    <n v="4"/>
    <s v="Life Sciences"/>
    <n v="2"/>
    <x v="0"/>
    <n v="3"/>
    <n v="2"/>
    <x v="2"/>
    <x v="1"/>
    <s v="Married"/>
    <n v="5674"/>
    <n v="7"/>
    <x v="1"/>
    <n v="15"/>
    <n v="3"/>
    <n v="1"/>
    <n v="11"/>
    <n v="3"/>
    <x v="1"/>
    <n v="9"/>
    <n v="8"/>
    <n v="0"/>
    <n v="8"/>
    <n v="0"/>
    <x v="0"/>
    <x v="0"/>
    <x v="0"/>
    <n v="630.44444444444446"/>
  </r>
  <r>
    <n v="32"/>
    <x v="1"/>
    <x v="0"/>
    <n v="7"/>
    <n v="3"/>
    <s v="Life Sciences"/>
    <n v="4"/>
    <x v="1"/>
    <n v="2"/>
    <n v="2"/>
    <x v="0"/>
    <x v="2"/>
    <s v="Married"/>
    <n v="5484"/>
    <n v="1"/>
    <x v="1"/>
    <n v="14"/>
    <n v="3"/>
    <n v="1"/>
    <n v="13"/>
    <n v="3"/>
    <x v="2"/>
    <n v="13"/>
    <n v="8"/>
    <n v="4"/>
    <n v="8"/>
    <n v="0"/>
    <x v="2"/>
    <x v="0"/>
    <x v="3"/>
    <n v="421.84615384615387"/>
  </r>
  <r>
    <n v="38"/>
    <x v="1"/>
    <x v="1"/>
    <n v="25"/>
    <n v="2"/>
    <s v="Life Sciences"/>
    <n v="1"/>
    <x v="0"/>
    <n v="2"/>
    <n v="3"/>
    <x v="7"/>
    <x v="1"/>
    <s v="Married"/>
    <n v="12061"/>
    <n v="3"/>
    <x v="1"/>
    <n v="17"/>
    <n v="3"/>
    <n v="1"/>
    <n v="19"/>
    <n v="2"/>
    <x v="1"/>
    <n v="10"/>
    <n v="8"/>
    <n v="0"/>
    <n v="1"/>
    <n v="0"/>
    <x v="0"/>
    <x v="2"/>
    <x v="0"/>
    <n v="1206.0999999999999"/>
  </r>
  <r>
    <n v="58"/>
    <x v="1"/>
    <x v="1"/>
    <n v="1"/>
    <n v="4"/>
    <s v="Life Sciences"/>
    <n v="4"/>
    <x v="1"/>
    <n v="1"/>
    <n v="2"/>
    <x v="4"/>
    <x v="2"/>
    <s v="Divorced"/>
    <n v="5660"/>
    <n v="2"/>
    <x v="0"/>
    <n v="13"/>
    <n v="4"/>
    <n v="1"/>
    <n v="12"/>
    <n v="2"/>
    <x v="1"/>
    <n v="5"/>
    <n v="3"/>
    <n v="1"/>
    <n v="2"/>
    <n v="0"/>
    <x v="1"/>
    <x v="0"/>
    <x v="2"/>
    <n v="1132"/>
  </r>
  <r>
    <n v="31"/>
    <x v="1"/>
    <x v="1"/>
    <n v="5"/>
    <n v="4"/>
    <s v="Technical Degree"/>
    <n v="3"/>
    <x v="1"/>
    <n v="3"/>
    <n v="1"/>
    <x v="1"/>
    <x v="0"/>
    <s v="Married"/>
    <n v="4821"/>
    <n v="0"/>
    <x v="0"/>
    <n v="12"/>
    <n v="3"/>
    <n v="1"/>
    <n v="6"/>
    <n v="4"/>
    <x v="1"/>
    <n v="5"/>
    <n v="2"/>
    <n v="0"/>
    <n v="3"/>
    <n v="0"/>
    <x v="2"/>
    <x v="0"/>
    <x v="2"/>
    <n v="964.2"/>
  </r>
  <r>
    <n v="31"/>
    <x v="1"/>
    <x v="2"/>
    <n v="2"/>
    <n v="3"/>
    <s v="Human Resources"/>
    <n v="1"/>
    <x v="1"/>
    <n v="2"/>
    <n v="2"/>
    <x v="8"/>
    <x v="3"/>
    <s v="Married"/>
    <n v="6410"/>
    <n v="3"/>
    <x v="1"/>
    <n v="12"/>
    <n v="4"/>
    <n v="0"/>
    <n v="9"/>
    <n v="1"/>
    <x v="1"/>
    <n v="2"/>
    <n v="2"/>
    <n v="1"/>
    <n v="0"/>
    <n v="0"/>
    <x v="2"/>
    <x v="0"/>
    <x v="1"/>
    <n v="3205"/>
  </r>
  <r>
    <n v="45"/>
    <x v="1"/>
    <x v="1"/>
    <n v="7"/>
    <n v="3"/>
    <s v="Life Sciences"/>
    <n v="1"/>
    <x v="1"/>
    <n v="3"/>
    <n v="3"/>
    <x v="2"/>
    <x v="3"/>
    <s v="Divorced"/>
    <n v="5210"/>
    <n v="1"/>
    <x v="1"/>
    <n v="18"/>
    <n v="1"/>
    <n v="1"/>
    <n v="24"/>
    <n v="2"/>
    <x v="1"/>
    <n v="24"/>
    <n v="9"/>
    <n v="9"/>
    <n v="11"/>
    <n v="0"/>
    <x v="0"/>
    <x v="0"/>
    <x v="3"/>
    <n v="217.08333333333334"/>
  </r>
  <r>
    <n v="31"/>
    <x v="1"/>
    <x v="1"/>
    <n v="2"/>
    <n v="4"/>
    <s v="Life Sciences"/>
    <n v="3"/>
    <x v="1"/>
    <n v="3"/>
    <n v="1"/>
    <x v="1"/>
    <x v="0"/>
    <s v="Divorced"/>
    <n v="2695"/>
    <n v="0"/>
    <x v="0"/>
    <n v="18"/>
    <n v="2"/>
    <n v="1"/>
    <n v="3"/>
    <n v="2"/>
    <x v="0"/>
    <n v="2"/>
    <n v="2"/>
    <n v="2"/>
    <n v="2"/>
    <n v="0"/>
    <x v="2"/>
    <x v="1"/>
    <x v="1"/>
    <n v="1347.5"/>
  </r>
  <r>
    <n v="33"/>
    <x v="1"/>
    <x v="1"/>
    <n v="5"/>
    <n v="4"/>
    <s v="Life Sciences"/>
    <n v="4"/>
    <x v="0"/>
    <n v="3"/>
    <n v="3"/>
    <x v="5"/>
    <x v="1"/>
    <s v="Married"/>
    <n v="11878"/>
    <n v="6"/>
    <x v="1"/>
    <n v="11"/>
    <n v="2"/>
    <n v="2"/>
    <n v="12"/>
    <n v="2"/>
    <x v="1"/>
    <n v="10"/>
    <n v="6"/>
    <n v="8"/>
    <n v="8"/>
    <n v="0"/>
    <x v="2"/>
    <x v="2"/>
    <x v="0"/>
    <n v="1187.8"/>
  </r>
  <r>
    <n v="39"/>
    <x v="1"/>
    <x v="1"/>
    <n v="10"/>
    <n v="1"/>
    <s v="Medical"/>
    <n v="3"/>
    <x v="1"/>
    <n v="3"/>
    <n v="4"/>
    <x v="5"/>
    <x v="3"/>
    <s v="Married"/>
    <n v="17068"/>
    <n v="1"/>
    <x v="0"/>
    <n v="14"/>
    <n v="4"/>
    <n v="0"/>
    <n v="21"/>
    <n v="3"/>
    <x v="1"/>
    <n v="21"/>
    <n v="9"/>
    <n v="11"/>
    <n v="10"/>
    <n v="0"/>
    <x v="0"/>
    <x v="2"/>
    <x v="3"/>
    <n v="812.76190476190482"/>
  </r>
  <r>
    <n v="43"/>
    <x v="1"/>
    <x v="1"/>
    <n v="10"/>
    <n v="4"/>
    <s v="Life Sciences"/>
    <n v="3"/>
    <x v="0"/>
    <n v="3"/>
    <n v="1"/>
    <x v="2"/>
    <x v="0"/>
    <s v="Single"/>
    <n v="2455"/>
    <n v="0"/>
    <x v="1"/>
    <n v="19"/>
    <n v="1"/>
    <n v="0"/>
    <n v="9"/>
    <n v="5"/>
    <x v="1"/>
    <n v="8"/>
    <n v="7"/>
    <n v="1"/>
    <n v="7"/>
    <n v="0"/>
    <x v="0"/>
    <x v="1"/>
    <x v="0"/>
    <n v="306.875"/>
  </r>
  <r>
    <n v="49"/>
    <x v="1"/>
    <x v="1"/>
    <n v="1"/>
    <n v="2"/>
    <s v="Technical Degree"/>
    <n v="3"/>
    <x v="0"/>
    <n v="2"/>
    <n v="4"/>
    <x v="4"/>
    <x v="2"/>
    <s v="Single"/>
    <n v="13964"/>
    <n v="7"/>
    <x v="0"/>
    <n v="12"/>
    <n v="4"/>
    <n v="0"/>
    <n v="25"/>
    <n v="2"/>
    <x v="1"/>
    <n v="7"/>
    <n v="1"/>
    <n v="0"/>
    <n v="7"/>
    <n v="0"/>
    <x v="1"/>
    <x v="2"/>
    <x v="0"/>
    <n v="1994.8571428571429"/>
  </r>
  <r>
    <n v="52"/>
    <x v="0"/>
    <x v="1"/>
    <n v="8"/>
    <n v="4"/>
    <s v="Medical"/>
    <n v="3"/>
    <x v="1"/>
    <n v="2"/>
    <n v="2"/>
    <x v="1"/>
    <x v="1"/>
    <s v="Married"/>
    <n v="4941"/>
    <n v="2"/>
    <x v="1"/>
    <n v="15"/>
    <n v="1"/>
    <n v="0"/>
    <n v="11"/>
    <n v="3"/>
    <x v="2"/>
    <n v="8"/>
    <n v="2"/>
    <n v="7"/>
    <n v="7"/>
    <n v="1"/>
    <x v="1"/>
    <x v="0"/>
    <x v="0"/>
    <n v="617.625"/>
  </r>
  <r>
    <n v="27"/>
    <x v="1"/>
    <x v="1"/>
    <n v="5"/>
    <n v="3"/>
    <s v="Life Sciences"/>
    <n v="3"/>
    <x v="0"/>
    <n v="3"/>
    <n v="1"/>
    <x v="1"/>
    <x v="1"/>
    <s v="Single"/>
    <n v="2478"/>
    <n v="1"/>
    <x v="0"/>
    <n v="12"/>
    <n v="2"/>
    <n v="0"/>
    <n v="4"/>
    <n v="2"/>
    <x v="2"/>
    <n v="4"/>
    <n v="3"/>
    <n v="1"/>
    <n v="2"/>
    <n v="0"/>
    <x v="2"/>
    <x v="1"/>
    <x v="2"/>
    <n v="619.5"/>
  </r>
  <r>
    <n v="32"/>
    <x v="1"/>
    <x v="0"/>
    <n v="8"/>
    <n v="2"/>
    <s v="Technical Degree"/>
    <n v="3"/>
    <x v="0"/>
    <n v="2"/>
    <n v="2"/>
    <x v="0"/>
    <x v="1"/>
    <s v="Married"/>
    <n v="5228"/>
    <n v="1"/>
    <x v="0"/>
    <n v="11"/>
    <n v="4"/>
    <n v="0"/>
    <n v="13"/>
    <n v="2"/>
    <x v="1"/>
    <n v="13"/>
    <n v="12"/>
    <n v="11"/>
    <n v="9"/>
    <n v="0"/>
    <x v="2"/>
    <x v="0"/>
    <x v="3"/>
    <n v="402.15384615384613"/>
  </r>
  <r>
    <n v="27"/>
    <x v="1"/>
    <x v="0"/>
    <n v="2"/>
    <n v="3"/>
    <s v="Life Sciences"/>
    <n v="4"/>
    <x v="1"/>
    <n v="3"/>
    <n v="2"/>
    <x v="0"/>
    <x v="2"/>
    <s v="Single"/>
    <n v="4478"/>
    <n v="1"/>
    <x v="0"/>
    <n v="11"/>
    <n v="1"/>
    <n v="0"/>
    <n v="5"/>
    <n v="3"/>
    <x v="1"/>
    <n v="5"/>
    <n v="4"/>
    <n v="0"/>
    <n v="4"/>
    <n v="0"/>
    <x v="2"/>
    <x v="0"/>
    <x v="2"/>
    <n v="895.6"/>
  </r>
  <r>
    <n v="31"/>
    <x v="1"/>
    <x v="0"/>
    <n v="7"/>
    <n v="3"/>
    <s v="Marketing"/>
    <n v="4"/>
    <x v="1"/>
    <n v="3"/>
    <n v="2"/>
    <x v="0"/>
    <x v="0"/>
    <s v="Divorced"/>
    <n v="7547"/>
    <n v="4"/>
    <x v="1"/>
    <n v="12"/>
    <n v="4"/>
    <n v="3"/>
    <n v="13"/>
    <n v="3"/>
    <x v="1"/>
    <n v="7"/>
    <n v="7"/>
    <n v="1"/>
    <n v="7"/>
    <n v="0"/>
    <x v="2"/>
    <x v="0"/>
    <x v="0"/>
    <n v="1078.1428571428571"/>
  </r>
  <r>
    <n v="32"/>
    <x v="1"/>
    <x v="1"/>
    <n v="2"/>
    <n v="4"/>
    <s v="Medical"/>
    <n v="1"/>
    <x v="0"/>
    <n v="4"/>
    <n v="2"/>
    <x v="1"/>
    <x v="0"/>
    <s v="Single"/>
    <n v="5055"/>
    <n v="7"/>
    <x v="1"/>
    <n v="16"/>
    <n v="3"/>
    <n v="0"/>
    <n v="10"/>
    <n v="0"/>
    <x v="2"/>
    <n v="7"/>
    <n v="7"/>
    <n v="0"/>
    <n v="7"/>
    <n v="0"/>
    <x v="2"/>
    <x v="0"/>
    <x v="0"/>
    <n v="722.14285714285711"/>
  </r>
  <r>
    <n v="28"/>
    <x v="0"/>
    <x v="1"/>
    <n v="2"/>
    <n v="4"/>
    <s v="Medical"/>
    <n v="1"/>
    <x v="1"/>
    <n v="1"/>
    <n v="1"/>
    <x v="1"/>
    <x v="0"/>
    <s v="Married"/>
    <n v="3464"/>
    <n v="5"/>
    <x v="0"/>
    <n v="13"/>
    <n v="4"/>
    <n v="0"/>
    <n v="5"/>
    <n v="4"/>
    <x v="2"/>
    <n v="3"/>
    <n v="2"/>
    <n v="2"/>
    <n v="2"/>
    <n v="1"/>
    <x v="2"/>
    <x v="1"/>
    <x v="2"/>
    <n v="1154.6666666666667"/>
  </r>
  <r>
    <n v="30"/>
    <x v="1"/>
    <x v="1"/>
    <n v="28"/>
    <n v="2"/>
    <s v="Medical"/>
    <n v="4"/>
    <x v="0"/>
    <n v="3"/>
    <n v="2"/>
    <x v="1"/>
    <x v="0"/>
    <s v="Married"/>
    <n v="5775"/>
    <n v="1"/>
    <x v="1"/>
    <n v="13"/>
    <n v="4"/>
    <n v="2"/>
    <n v="11"/>
    <n v="2"/>
    <x v="1"/>
    <n v="10"/>
    <n v="8"/>
    <n v="1"/>
    <n v="9"/>
    <n v="0"/>
    <x v="2"/>
    <x v="0"/>
    <x v="0"/>
    <n v="577.5"/>
  </r>
  <r>
    <n v="31"/>
    <x v="1"/>
    <x v="1"/>
    <n v="7"/>
    <n v="2"/>
    <s v="Life Sciences"/>
    <n v="3"/>
    <x v="0"/>
    <n v="2"/>
    <n v="3"/>
    <x v="3"/>
    <x v="2"/>
    <s v="Married"/>
    <n v="8943"/>
    <n v="1"/>
    <x v="1"/>
    <n v="24"/>
    <n v="1"/>
    <n v="1"/>
    <n v="10"/>
    <n v="2"/>
    <x v="1"/>
    <n v="10"/>
    <n v="9"/>
    <n v="8"/>
    <n v="9"/>
    <n v="0"/>
    <x v="2"/>
    <x v="0"/>
    <x v="0"/>
    <n v="894.3"/>
  </r>
  <r>
    <n v="39"/>
    <x v="1"/>
    <x v="1"/>
    <n v="7"/>
    <n v="2"/>
    <s v="Medical"/>
    <n v="3"/>
    <x v="1"/>
    <n v="2"/>
    <n v="5"/>
    <x v="5"/>
    <x v="0"/>
    <s v="Married"/>
    <n v="19272"/>
    <n v="1"/>
    <x v="1"/>
    <n v="15"/>
    <n v="1"/>
    <n v="1"/>
    <n v="21"/>
    <n v="2"/>
    <x v="1"/>
    <n v="21"/>
    <n v="9"/>
    <n v="13"/>
    <n v="3"/>
    <n v="0"/>
    <x v="0"/>
    <x v="2"/>
    <x v="3"/>
    <n v="917.71428571428567"/>
  </r>
  <r>
    <n v="39"/>
    <x v="0"/>
    <x v="0"/>
    <n v="3"/>
    <n v="2"/>
    <s v="Medical"/>
    <n v="4"/>
    <x v="0"/>
    <n v="3"/>
    <n v="2"/>
    <x v="0"/>
    <x v="2"/>
    <s v="Married"/>
    <n v="5238"/>
    <n v="4"/>
    <x v="0"/>
    <n v="18"/>
    <n v="1"/>
    <n v="0"/>
    <n v="12"/>
    <n v="3"/>
    <x v="2"/>
    <n v="1"/>
    <n v="0"/>
    <n v="0"/>
    <n v="0"/>
    <n v="1"/>
    <x v="0"/>
    <x v="0"/>
    <x v="1"/>
    <n v="5238"/>
  </r>
  <r>
    <n v="33"/>
    <x v="1"/>
    <x v="0"/>
    <n v="10"/>
    <n v="3"/>
    <s v="Marketing"/>
    <n v="2"/>
    <x v="1"/>
    <n v="2"/>
    <n v="2"/>
    <x v="0"/>
    <x v="0"/>
    <s v="Single"/>
    <n v="4682"/>
    <n v="3"/>
    <x v="1"/>
    <n v="14"/>
    <n v="3"/>
    <n v="0"/>
    <n v="9"/>
    <n v="6"/>
    <x v="2"/>
    <n v="7"/>
    <n v="7"/>
    <n v="0"/>
    <n v="1"/>
    <n v="0"/>
    <x v="2"/>
    <x v="0"/>
    <x v="0"/>
    <n v="668.85714285714289"/>
  </r>
  <r>
    <n v="47"/>
    <x v="1"/>
    <x v="1"/>
    <n v="5"/>
    <n v="5"/>
    <s v="Life Sciences"/>
    <n v="4"/>
    <x v="1"/>
    <n v="3"/>
    <n v="5"/>
    <x v="7"/>
    <x v="2"/>
    <s v="Married"/>
    <n v="18300"/>
    <n v="4"/>
    <x v="1"/>
    <n v="11"/>
    <n v="2"/>
    <n v="1"/>
    <n v="21"/>
    <n v="2"/>
    <x v="1"/>
    <n v="3"/>
    <n v="2"/>
    <n v="1"/>
    <n v="1"/>
    <n v="0"/>
    <x v="1"/>
    <x v="2"/>
    <x v="2"/>
    <n v="6100"/>
  </r>
  <r>
    <n v="43"/>
    <x v="1"/>
    <x v="1"/>
    <n v="10"/>
    <n v="4"/>
    <s v="Life Sciences"/>
    <n v="3"/>
    <x v="0"/>
    <n v="2"/>
    <n v="2"/>
    <x v="2"/>
    <x v="2"/>
    <s v="Divorced"/>
    <n v="5257"/>
    <n v="1"/>
    <x v="1"/>
    <n v="11"/>
    <n v="2"/>
    <n v="1"/>
    <n v="9"/>
    <n v="3"/>
    <x v="3"/>
    <n v="9"/>
    <n v="7"/>
    <n v="0"/>
    <n v="0"/>
    <n v="0"/>
    <x v="0"/>
    <x v="0"/>
    <x v="0"/>
    <n v="584.11111111111109"/>
  </r>
  <r>
    <n v="27"/>
    <x v="1"/>
    <x v="0"/>
    <n v="1"/>
    <n v="1"/>
    <s v="Marketing"/>
    <n v="3"/>
    <x v="1"/>
    <n v="3"/>
    <n v="2"/>
    <x v="0"/>
    <x v="1"/>
    <s v="Married"/>
    <n v="6349"/>
    <n v="0"/>
    <x v="0"/>
    <n v="13"/>
    <n v="4"/>
    <n v="1"/>
    <n v="6"/>
    <n v="0"/>
    <x v="1"/>
    <n v="5"/>
    <n v="4"/>
    <n v="1"/>
    <n v="4"/>
    <n v="0"/>
    <x v="2"/>
    <x v="0"/>
    <x v="2"/>
    <n v="1269.8"/>
  </r>
  <r>
    <n v="54"/>
    <x v="1"/>
    <x v="1"/>
    <n v="20"/>
    <n v="4"/>
    <s v="Life Sciences"/>
    <n v="4"/>
    <x v="0"/>
    <n v="3"/>
    <n v="2"/>
    <x v="1"/>
    <x v="2"/>
    <s v="Single"/>
    <n v="4869"/>
    <n v="3"/>
    <x v="1"/>
    <n v="12"/>
    <n v="4"/>
    <n v="0"/>
    <n v="20"/>
    <n v="4"/>
    <x v="2"/>
    <n v="4"/>
    <n v="3"/>
    <n v="0"/>
    <n v="3"/>
    <n v="0"/>
    <x v="1"/>
    <x v="0"/>
    <x v="2"/>
    <n v="1217.25"/>
  </r>
  <r>
    <n v="43"/>
    <x v="1"/>
    <x v="1"/>
    <n v="7"/>
    <n v="3"/>
    <s v="Life Sciences"/>
    <n v="3"/>
    <x v="0"/>
    <n v="3"/>
    <n v="3"/>
    <x v="4"/>
    <x v="3"/>
    <s v="Married"/>
    <n v="9985"/>
    <n v="8"/>
    <x v="1"/>
    <n v="16"/>
    <n v="1"/>
    <n v="1"/>
    <n v="10"/>
    <n v="1"/>
    <x v="2"/>
    <n v="1"/>
    <n v="0"/>
    <n v="0"/>
    <n v="0"/>
    <n v="0"/>
    <x v="0"/>
    <x v="0"/>
    <x v="1"/>
    <n v="9985"/>
  </r>
  <r>
    <n v="45"/>
    <x v="1"/>
    <x v="1"/>
    <n v="8"/>
    <n v="4"/>
    <s v="Other"/>
    <n v="4"/>
    <x v="1"/>
    <n v="3"/>
    <n v="2"/>
    <x v="1"/>
    <x v="0"/>
    <s v="Married"/>
    <n v="3697"/>
    <n v="9"/>
    <x v="1"/>
    <n v="14"/>
    <n v="1"/>
    <n v="2"/>
    <n v="12"/>
    <n v="3"/>
    <x v="1"/>
    <n v="10"/>
    <n v="9"/>
    <n v="9"/>
    <n v="8"/>
    <n v="0"/>
    <x v="0"/>
    <x v="1"/>
    <x v="0"/>
    <n v="369.7"/>
  </r>
  <r>
    <n v="40"/>
    <x v="1"/>
    <x v="0"/>
    <n v="1"/>
    <n v="2"/>
    <s v="Medical"/>
    <n v="2"/>
    <x v="1"/>
    <n v="1"/>
    <n v="2"/>
    <x v="0"/>
    <x v="0"/>
    <s v="Married"/>
    <n v="7457"/>
    <n v="2"/>
    <x v="0"/>
    <n v="22"/>
    <n v="3"/>
    <n v="3"/>
    <n v="6"/>
    <n v="2"/>
    <x v="2"/>
    <n v="4"/>
    <n v="3"/>
    <n v="0"/>
    <n v="2"/>
    <n v="0"/>
    <x v="0"/>
    <x v="0"/>
    <x v="2"/>
    <n v="1864.25"/>
  </r>
  <r>
    <n v="29"/>
    <x v="0"/>
    <x v="1"/>
    <n v="8"/>
    <n v="4"/>
    <s v="Other"/>
    <n v="2"/>
    <x v="1"/>
    <n v="1"/>
    <n v="1"/>
    <x v="2"/>
    <x v="3"/>
    <s v="Married"/>
    <n v="2119"/>
    <n v="1"/>
    <x v="0"/>
    <n v="11"/>
    <n v="4"/>
    <n v="0"/>
    <n v="7"/>
    <n v="4"/>
    <x v="2"/>
    <n v="7"/>
    <n v="7"/>
    <n v="0"/>
    <n v="7"/>
    <n v="1"/>
    <x v="2"/>
    <x v="1"/>
    <x v="0"/>
    <n v="302.71428571428572"/>
  </r>
  <r>
    <n v="29"/>
    <x v="1"/>
    <x v="1"/>
    <n v="9"/>
    <n v="5"/>
    <s v="Other"/>
    <n v="2"/>
    <x v="1"/>
    <n v="2"/>
    <n v="1"/>
    <x v="2"/>
    <x v="0"/>
    <s v="Single"/>
    <n v="3983"/>
    <n v="0"/>
    <x v="1"/>
    <n v="17"/>
    <n v="3"/>
    <n v="0"/>
    <n v="4"/>
    <n v="2"/>
    <x v="1"/>
    <n v="3"/>
    <n v="2"/>
    <n v="2"/>
    <n v="2"/>
    <n v="0"/>
    <x v="2"/>
    <x v="1"/>
    <x v="2"/>
    <n v="1327.6666666666667"/>
  </r>
  <r>
    <n v="30"/>
    <x v="1"/>
    <x v="0"/>
    <n v="5"/>
    <n v="3"/>
    <s v="Marketing"/>
    <n v="4"/>
    <x v="0"/>
    <n v="2"/>
    <n v="2"/>
    <x v="0"/>
    <x v="2"/>
    <s v="Divorced"/>
    <n v="6118"/>
    <n v="1"/>
    <x v="1"/>
    <n v="13"/>
    <n v="3"/>
    <n v="3"/>
    <n v="10"/>
    <n v="2"/>
    <x v="1"/>
    <n v="10"/>
    <n v="9"/>
    <n v="1"/>
    <n v="2"/>
    <n v="0"/>
    <x v="2"/>
    <x v="0"/>
    <x v="0"/>
    <n v="611.79999999999995"/>
  </r>
  <r>
    <n v="27"/>
    <x v="1"/>
    <x v="0"/>
    <n v="8"/>
    <n v="4"/>
    <s v="Marketing"/>
    <n v="2"/>
    <x v="0"/>
    <n v="3"/>
    <n v="2"/>
    <x v="0"/>
    <x v="1"/>
    <s v="Married"/>
    <n v="6214"/>
    <n v="1"/>
    <x v="1"/>
    <n v="18"/>
    <n v="1"/>
    <n v="1"/>
    <n v="8"/>
    <n v="3"/>
    <x v="1"/>
    <n v="8"/>
    <n v="7"/>
    <n v="0"/>
    <n v="7"/>
    <n v="0"/>
    <x v="2"/>
    <x v="0"/>
    <x v="0"/>
    <n v="776.75"/>
  </r>
  <r>
    <n v="37"/>
    <x v="1"/>
    <x v="1"/>
    <n v="5"/>
    <n v="2"/>
    <s v="Medical"/>
    <n v="4"/>
    <x v="1"/>
    <n v="3"/>
    <n v="2"/>
    <x v="3"/>
    <x v="0"/>
    <s v="Divorced"/>
    <n v="6347"/>
    <n v="7"/>
    <x v="1"/>
    <n v="16"/>
    <n v="3"/>
    <n v="2"/>
    <n v="8"/>
    <n v="2"/>
    <x v="2"/>
    <n v="6"/>
    <n v="2"/>
    <n v="0"/>
    <n v="4"/>
    <n v="0"/>
    <x v="0"/>
    <x v="0"/>
    <x v="0"/>
    <n v="1057.8333333333333"/>
  </r>
  <r>
    <n v="38"/>
    <x v="1"/>
    <x v="1"/>
    <n v="15"/>
    <n v="2"/>
    <s v="Life Sciences"/>
    <n v="3"/>
    <x v="1"/>
    <n v="2"/>
    <n v="3"/>
    <x v="7"/>
    <x v="0"/>
    <s v="Divorced"/>
    <n v="11510"/>
    <n v="0"/>
    <x v="0"/>
    <n v="14"/>
    <n v="2"/>
    <n v="1"/>
    <n v="12"/>
    <n v="3"/>
    <x v="1"/>
    <n v="11"/>
    <n v="10"/>
    <n v="2"/>
    <n v="9"/>
    <n v="0"/>
    <x v="0"/>
    <x v="2"/>
    <x v="3"/>
    <n v="1046.3636363636363"/>
  </r>
  <r>
    <n v="31"/>
    <x v="1"/>
    <x v="1"/>
    <n v="7"/>
    <n v="4"/>
    <s v="Medical"/>
    <n v="3"/>
    <x v="0"/>
    <n v="3"/>
    <n v="3"/>
    <x v="3"/>
    <x v="0"/>
    <s v="Single"/>
    <n v="7143"/>
    <n v="1"/>
    <x v="0"/>
    <n v="14"/>
    <n v="3"/>
    <n v="0"/>
    <n v="11"/>
    <n v="2"/>
    <x v="2"/>
    <n v="11"/>
    <n v="9"/>
    <n v="4"/>
    <n v="10"/>
    <n v="0"/>
    <x v="2"/>
    <x v="0"/>
    <x v="3"/>
    <n v="649.36363636363637"/>
  </r>
  <r>
    <n v="29"/>
    <x v="1"/>
    <x v="0"/>
    <n v="10"/>
    <n v="1"/>
    <s v="Marketing"/>
    <n v="4"/>
    <x v="0"/>
    <n v="2"/>
    <n v="2"/>
    <x v="0"/>
    <x v="1"/>
    <s v="Divorced"/>
    <n v="8268"/>
    <n v="1"/>
    <x v="0"/>
    <n v="14"/>
    <n v="1"/>
    <n v="2"/>
    <n v="7"/>
    <n v="2"/>
    <x v="1"/>
    <n v="7"/>
    <n v="7"/>
    <n v="1"/>
    <n v="7"/>
    <n v="0"/>
    <x v="2"/>
    <x v="0"/>
    <x v="0"/>
    <n v="1181.1428571428571"/>
  </r>
  <r>
    <n v="35"/>
    <x v="1"/>
    <x v="1"/>
    <n v="5"/>
    <n v="4"/>
    <s v="Technical Degree"/>
    <n v="3"/>
    <x v="1"/>
    <n v="3"/>
    <n v="3"/>
    <x v="3"/>
    <x v="1"/>
    <s v="Single"/>
    <n v="8095"/>
    <n v="0"/>
    <x v="1"/>
    <n v="13"/>
    <n v="4"/>
    <n v="0"/>
    <n v="17"/>
    <n v="5"/>
    <x v="1"/>
    <n v="16"/>
    <n v="6"/>
    <n v="0"/>
    <n v="13"/>
    <n v="0"/>
    <x v="2"/>
    <x v="0"/>
    <x v="3"/>
    <n v="505.9375"/>
  </r>
  <r>
    <n v="23"/>
    <x v="1"/>
    <x v="1"/>
    <n v="26"/>
    <n v="1"/>
    <s v="Life Sciences"/>
    <n v="3"/>
    <x v="1"/>
    <n v="3"/>
    <n v="1"/>
    <x v="1"/>
    <x v="0"/>
    <s v="Divorced"/>
    <n v="2904"/>
    <n v="1"/>
    <x v="1"/>
    <n v="12"/>
    <n v="3"/>
    <n v="2"/>
    <n v="4"/>
    <n v="2"/>
    <x v="2"/>
    <n v="4"/>
    <n v="2"/>
    <n v="0"/>
    <n v="2"/>
    <n v="0"/>
    <x v="3"/>
    <x v="1"/>
    <x v="2"/>
    <n v="726"/>
  </r>
  <r>
    <n v="41"/>
    <x v="1"/>
    <x v="1"/>
    <n v="6"/>
    <n v="3"/>
    <s v="Medical"/>
    <n v="4"/>
    <x v="1"/>
    <n v="2"/>
    <n v="2"/>
    <x v="3"/>
    <x v="1"/>
    <s v="Single"/>
    <n v="6032"/>
    <n v="6"/>
    <x v="0"/>
    <n v="15"/>
    <n v="4"/>
    <n v="0"/>
    <n v="8"/>
    <n v="3"/>
    <x v="1"/>
    <n v="5"/>
    <n v="4"/>
    <n v="1"/>
    <n v="2"/>
    <n v="0"/>
    <x v="0"/>
    <x v="0"/>
    <x v="2"/>
    <n v="1206.4000000000001"/>
  </r>
  <r>
    <n v="47"/>
    <x v="1"/>
    <x v="0"/>
    <n v="4"/>
    <n v="1"/>
    <s v="Medical"/>
    <n v="2"/>
    <x v="1"/>
    <n v="3"/>
    <n v="2"/>
    <x v="6"/>
    <x v="2"/>
    <s v="Single"/>
    <n v="2976"/>
    <n v="3"/>
    <x v="1"/>
    <n v="19"/>
    <n v="1"/>
    <n v="0"/>
    <n v="5"/>
    <n v="3"/>
    <x v="1"/>
    <n v="0"/>
    <n v="0"/>
    <n v="0"/>
    <n v="0"/>
    <n v="0"/>
    <x v="1"/>
    <x v="1"/>
    <x v="1"/>
    <n v="2976"/>
  </r>
  <r>
    <n v="42"/>
    <x v="1"/>
    <x v="1"/>
    <n v="23"/>
    <n v="5"/>
    <s v="Life Sciences"/>
    <n v="1"/>
    <x v="0"/>
    <n v="3"/>
    <n v="4"/>
    <x v="7"/>
    <x v="0"/>
    <s v="Single"/>
    <n v="15992"/>
    <n v="2"/>
    <x v="1"/>
    <n v="14"/>
    <n v="2"/>
    <n v="0"/>
    <n v="16"/>
    <n v="2"/>
    <x v="1"/>
    <n v="1"/>
    <n v="0"/>
    <n v="0"/>
    <n v="0"/>
    <n v="0"/>
    <x v="0"/>
    <x v="2"/>
    <x v="1"/>
    <n v="15992"/>
  </r>
  <r>
    <n v="29"/>
    <x v="1"/>
    <x v="0"/>
    <n v="2"/>
    <n v="3"/>
    <s v="Life Sciences"/>
    <n v="4"/>
    <x v="1"/>
    <n v="3"/>
    <n v="2"/>
    <x v="0"/>
    <x v="2"/>
    <s v="Married"/>
    <n v="4649"/>
    <n v="1"/>
    <x v="1"/>
    <n v="14"/>
    <n v="1"/>
    <n v="1"/>
    <n v="4"/>
    <n v="3"/>
    <x v="2"/>
    <n v="4"/>
    <n v="3"/>
    <n v="0"/>
    <n v="2"/>
    <n v="0"/>
    <x v="2"/>
    <x v="0"/>
    <x v="2"/>
    <n v="1162.25"/>
  </r>
  <r>
    <n v="42"/>
    <x v="1"/>
    <x v="2"/>
    <n v="2"/>
    <n v="1"/>
    <s v="Technical Degree"/>
    <n v="3"/>
    <x v="1"/>
    <n v="3"/>
    <n v="1"/>
    <x v="8"/>
    <x v="2"/>
    <s v="Divorced"/>
    <n v="2696"/>
    <n v="0"/>
    <x v="0"/>
    <n v="11"/>
    <n v="3"/>
    <n v="1"/>
    <n v="4"/>
    <n v="5"/>
    <x v="1"/>
    <n v="3"/>
    <n v="2"/>
    <n v="1"/>
    <n v="0"/>
    <n v="0"/>
    <x v="0"/>
    <x v="1"/>
    <x v="2"/>
    <n v="898.66666666666663"/>
  </r>
  <r>
    <n v="32"/>
    <x v="1"/>
    <x v="1"/>
    <n v="2"/>
    <n v="3"/>
    <s v="Medical"/>
    <n v="3"/>
    <x v="0"/>
    <n v="3"/>
    <n v="1"/>
    <x v="2"/>
    <x v="1"/>
    <s v="Married"/>
    <n v="2370"/>
    <n v="1"/>
    <x v="1"/>
    <n v="13"/>
    <n v="3"/>
    <n v="1"/>
    <n v="8"/>
    <n v="4"/>
    <x v="1"/>
    <n v="8"/>
    <n v="0"/>
    <n v="0"/>
    <n v="7"/>
    <n v="0"/>
    <x v="2"/>
    <x v="1"/>
    <x v="0"/>
    <n v="296.25"/>
  </r>
  <r>
    <n v="48"/>
    <x v="1"/>
    <x v="0"/>
    <n v="29"/>
    <n v="1"/>
    <s v="Medical"/>
    <n v="1"/>
    <x v="0"/>
    <n v="3"/>
    <n v="3"/>
    <x v="5"/>
    <x v="2"/>
    <s v="Married"/>
    <n v="12504"/>
    <n v="3"/>
    <x v="1"/>
    <n v="21"/>
    <n v="2"/>
    <n v="1"/>
    <n v="15"/>
    <n v="3"/>
    <x v="0"/>
    <n v="0"/>
    <n v="0"/>
    <n v="0"/>
    <n v="0"/>
    <n v="0"/>
    <x v="1"/>
    <x v="2"/>
    <x v="1"/>
    <n v="12504"/>
  </r>
  <r>
    <n v="37"/>
    <x v="1"/>
    <x v="1"/>
    <n v="6"/>
    <n v="3"/>
    <s v="Medical"/>
    <n v="3"/>
    <x v="1"/>
    <n v="4"/>
    <n v="2"/>
    <x v="1"/>
    <x v="3"/>
    <s v="Divorced"/>
    <n v="5974"/>
    <n v="4"/>
    <x v="0"/>
    <n v="13"/>
    <n v="1"/>
    <n v="2"/>
    <n v="13"/>
    <n v="2"/>
    <x v="1"/>
    <n v="7"/>
    <n v="7"/>
    <n v="6"/>
    <n v="7"/>
    <n v="0"/>
    <x v="0"/>
    <x v="0"/>
    <x v="0"/>
    <n v="853.42857142857144"/>
  </r>
  <r>
    <n v="30"/>
    <x v="1"/>
    <x v="0"/>
    <n v="25"/>
    <n v="2"/>
    <s v="Technical Degree"/>
    <n v="4"/>
    <x v="0"/>
    <n v="3"/>
    <n v="2"/>
    <x v="0"/>
    <x v="2"/>
    <s v="Married"/>
    <n v="4736"/>
    <n v="7"/>
    <x v="0"/>
    <n v="12"/>
    <n v="2"/>
    <n v="1"/>
    <n v="4"/>
    <n v="2"/>
    <x v="3"/>
    <n v="2"/>
    <n v="2"/>
    <n v="2"/>
    <n v="2"/>
    <n v="0"/>
    <x v="2"/>
    <x v="0"/>
    <x v="1"/>
    <n v="2368"/>
  </r>
  <r>
    <n v="26"/>
    <x v="1"/>
    <x v="0"/>
    <n v="1"/>
    <n v="3"/>
    <s v="Life Sciences"/>
    <n v="3"/>
    <x v="1"/>
    <n v="3"/>
    <n v="2"/>
    <x v="0"/>
    <x v="2"/>
    <s v="Married"/>
    <n v="5296"/>
    <n v="1"/>
    <x v="1"/>
    <n v="17"/>
    <n v="2"/>
    <n v="1"/>
    <n v="8"/>
    <n v="3"/>
    <x v="1"/>
    <n v="8"/>
    <n v="7"/>
    <n v="7"/>
    <n v="7"/>
    <n v="0"/>
    <x v="2"/>
    <x v="0"/>
    <x v="0"/>
    <n v="662"/>
  </r>
  <r>
    <n v="42"/>
    <x v="1"/>
    <x v="1"/>
    <n v="2"/>
    <n v="4"/>
    <s v="Other"/>
    <n v="1"/>
    <x v="1"/>
    <n v="2"/>
    <n v="2"/>
    <x v="4"/>
    <x v="0"/>
    <s v="Single"/>
    <n v="6781"/>
    <n v="3"/>
    <x v="1"/>
    <n v="23"/>
    <n v="2"/>
    <n v="0"/>
    <n v="14"/>
    <n v="6"/>
    <x v="1"/>
    <n v="1"/>
    <n v="0"/>
    <n v="0"/>
    <n v="0"/>
    <n v="0"/>
    <x v="0"/>
    <x v="0"/>
    <x v="1"/>
    <n v="6781"/>
  </r>
  <r>
    <n v="21"/>
    <x v="0"/>
    <x v="0"/>
    <n v="1"/>
    <n v="1"/>
    <s v="Technical Degree"/>
    <n v="1"/>
    <x v="0"/>
    <n v="2"/>
    <n v="1"/>
    <x v="6"/>
    <x v="1"/>
    <s v="Single"/>
    <n v="2174"/>
    <n v="1"/>
    <x v="0"/>
    <n v="11"/>
    <n v="3"/>
    <n v="0"/>
    <n v="3"/>
    <n v="3"/>
    <x v="1"/>
    <n v="3"/>
    <n v="2"/>
    <n v="1"/>
    <n v="2"/>
    <n v="1"/>
    <x v="3"/>
    <x v="1"/>
    <x v="2"/>
    <n v="724.66666666666663"/>
  </r>
  <r>
    <n v="36"/>
    <x v="1"/>
    <x v="0"/>
    <n v="1"/>
    <n v="5"/>
    <s v="Medical"/>
    <n v="4"/>
    <x v="0"/>
    <n v="3"/>
    <n v="2"/>
    <x v="0"/>
    <x v="0"/>
    <s v="Single"/>
    <n v="6653"/>
    <n v="4"/>
    <x v="1"/>
    <n v="15"/>
    <n v="2"/>
    <n v="0"/>
    <n v="7"/>
    <n v="6"/>
    <x v="1"/>
    <n v="1"/>
    <n v="0"/>
    <n v="0"/>
    <n v="0"/>
    <n v="0"/>
    <x v="0"/>
    <x v="0"/>
    <x v="1"/>
    <n v="6653"/>
  </r>
  <r>
    <n v="36"/>
    <x v="1"/>
    <x v="0"/>
    <n v="3"/>
    <n v="4"/>
    <s v="Medical"/>
    <n v="1"/>
    <x v="1"/>
    <n v="2"/>
    <n v="3"/>
    <x v="0"/>
    <x v="0"/>
    <s v="Married"/>
    <n v="9699"/>
    <n v="4"/>
    <x v="1"/>
    <n v="11"/>
    <n v="1"/>
    <n v="1"/>
    <n v="16"/>
    <n v="2"/>
    <x v="1"/>
    <n v="13"/>
    <n v="9"/>
    <n v="1"/>
    <n v="12"/>
    <n v="0"/>
    <x v="0"/>
    <x v="0"/>
    <x v="3"/>
    <n v="746.07692307692309"/>
  </r>
  <r>
    <n v="57"/>
    <x v="1"/>
    <x v="1"/>
    <n v="1"/>
    <n v="4"/>
    <s v="Medical"/>
    <n v="4"/>
    <x v="1"/>
    <n v="3"/>
    <n v="2"/>
    <x v="4"/>
    <x v="2"/>
    <s v="Married"/>
    <n v="6755"/>
    <n v="2"/>
    <x v="1"/>
    <n v="11"/>
    <n v="3"/>
    <n v="0"/>
    <n v="15"/>
    <n v="2"/>
    <x v="1"/>
    <n v="3"/>
    <n v="2"/>
    <n v="1"/>
    <n v="2"/>
    <n v="0"/>
    <x v="1"/>
    <x v="0"/>
    <x v="2"/>
    <n v="2251.6666666666665"/>
  </r>
  <r>
    <n v="40"/>
    <x v="1"/>
    <x v="1"/>
    <n v="10"/>
    <n v="4"/>
    <s v="Life Sciences"/>
    <n v="4"/>
    <x v="0"/>
    <n v="4"/>
    <n v="1"/>
    <x v="2"/>
    <x v="2"/>
    <s v="Married"/>
    <n v="2213"/>
    <n v="3"/>
    <x v="0"/>
    <n v="13"/>
    <n v="3"/>
    <n v="1"/>
    <n v="10"/>
    <n v="3"/>
    <x v="1"/>
    <n v="7"/>
    <n v="7"/>
    <n v="1"/>
    <n v="7"/>
    <n v="0"/>
    <x v="0"/>
    <x v="1"/>
    <x v="0"/>
    <n v="316.14285714285717"/>
  </r>
  <r>
    <n v="21"/>
    <x v="1"/>
    <x v="0"/>
    <n v="9"/>
    <n v="2"/>
    <s v="Medical"/>
    <n v="1"/>
    <x v="1"/>
    <n v="3"/>
    <n v="1"/>
    <x v="6"/>
    <x v="0"/>
    <s v="Single"/>
    <n v="2610"/>
    <n v="1"/>
    <x v="1"/>
    <n v="24"/>
    <n v="3"/>
    <n v="0"/>
    <n v="3"/>
    <n v="3"/>
    <x v="2"/>
    <n v="3"/>
    <n v="2"/>
    <n v="2"/>
    <n v="2"/>
    <n v="0"/>
    <x v="3"/>
    <x v="1"/>
    <x v="2"/>
    <n v="870"/>
  </r>
  <r>
    <n v="33"/>
    <x v="0"/>
    <x v="0"/>
    <n v="5"/>
    <n v="3"/>
    <s v="Marketing"/>
    <n v="4"/>
    <x v="0"/>
    <n v="3"/>
    <n v="1"/>
    <x v="6"/>
    <x v="2"/>
    <s v="Single"/>
    <n v="2851"/>
    <n v="1"/>
    <x v="0"/>
    <n v="13"/>
    <n v="2"/>
    <n v="0"/>
    <n v="1"/>
    <n v="2"/>
    <x v="1"/>
    <n v="1"/>
    <n v="0"/>
    <n v="0"/>
    <n v="0"/>
    <n v="1"/>
    <x v="2"/>
    <x v="1"/>
    <x v="1"/>
    <n v="2851"/>
  </r>
  <r>
    <n v="37"/>
    <x v="1"/>
    <x v="1"/>
    <n v="10"/>
    <n v="3"/>
    <s v="Medical"/>
    <n v="3"/>
    <x v="0"/>
    <n v="3"/>
    <n v="1"/>
    <x v="2"/>
    <x v="3"/>
    <s v="Married"/>
    <n v="3452"/>
    <n v="6"/>
    <x v="1"/>
    <n v="20"/>
    <n v="2"/>
    <n v="1"/>
    <n v="17"/>
    <n v="3"/>
    <x v="1"/>
    <n v="5"/>
    <n v="4"/>
    <n v="0"/>
    <n v="3"/>
    <n v="0"/>
    <x v="0"/>
    <x v="1"/>
    <x v="2"/>
    <n v="690.4"/>
  </r>
  <r>
    <n v="46"/>
    <x v="1"/>
    <x v="1"/>
    <n v="7"/>
    <n v="4"/>
    <s v="Medical"/>
    <n v="3"/>
    <x v="0"/>
    <n v="3"/>
    <n v="2"/>
    <x v="3"/>
    <x v="2"/>
    <s v="Married"/>
    <n v="5258"/>
    <n v="2"/>
    <x v="1"/>
    <n v="14"/>
    <n v="3"/>
    <n v="0"/>
    <n v="7"/>
    <n v="2"/>
    <x v="3"/>
    <n v="1"/>
    <n v="0"/>
    <n v="0"/>
    <n v="0"/>
    <n v="0"/>
    <x v="1"/>
    <x v="0"/>
    <x v="1"/>
    <n v="5258"/>
  </r>
  <r>
    <n v="41"/>
    <x v="0"/>
    <x v="0"/>
    <n v="4"/>
    <n v="3"/>
    <s v="Marketing"/>
    <n v="1"/>
    <x v="1"/>
    <n v="3"/>
    <n v="2"/>
    <x v="0"/>
    <x v="1"/>
    <s v="Single"/>
    <n v="9355"/>
    <n v="1"/>
    <x v="1"/>
    <n v="18"/>
    <n v="3"/>
    <n v="0"/>
    <n v="8"/>
    <n v="5"/>
    <x v="1"/>
    <n v="8"/>
    <n v="7"/>
    <n v="7"/>
    <n v="7"/>
    <n v="1"/>
    <x v="0"/>
    <x v="0"/>
    <x v="0"/>
    <n v="1169.375"/>
  </r>
  <r>
    <n v="50"/>
    <x v="1"/>
    <x v="1"/>
    <n v="10"/>
    <n v="3"/>
    <s v="Technical Degree"/>
    <n v="4"/>
    <x v="1"/>
    <n v="2"/>
    <n v="3"/>
    <x v="4"/>
    <x v="0"/>
    <s v="Single"/>
    <n v="10496"/>
    <n v="6"/>
    <x v="1"/>
    <n v="15"/>
    <n v="4"/>
    <n v="0"/>
    <n v="20"/>
    <n v="2"/>
    <x v="1"/>
    <n v="4"/>
    <n v="3"/>
    <n v="1"/>
    <n v="3"/>
    <n v="0"/>
    <x v="1"/>
    <x v="2"/>
    <x v="2"/>
    <n v="2624"/>
  </r>
  <r>
    <n v="40"/>
    <x v="0"/>
    <x v="0"/>
    <n v="22"/>
    <n v="2"/>
    <s v="Marketing"/>
    <n v="3"/>
    <x v="1"/>
    <n v="2"/>
    <n v="2"/>
    <x v="0"/>
    <x v="2"/>
    <s v="Married"/>
    <n v="6380"/>
    <n v="2"/>
    <x v="0"/>
    <n v="12"/>
    <n v="1"/>
    <n v="2"/>
    <n v="8"/>
    <n v="6"/>
    <x v="1"/>
    <n v="6"/>
    <n v="4"/>
    <n v="1"/>
    <n v="0"/>
    <n v="1"/>
    <x v="0"/>
    <x v="0"/>
    <x v="0"/>
    <n v="1063.3333333333333"/>
  </r>
  <r>
    <n v="31"/>
    <x v="1"/>
    <x v="1"/>
    <n v="9"/>
    <n v="4"/>
    <s v="Life Sciences"/>
    <n v="3"/>
    <x v="1"/>
    <n v="2"/>
    <n v="1"/>
    <x v="1"/>
    <x v="1"/>
    <s v="Single"/>
    <n v="2657"/>
    <n v="0"/>
    <x v="0"/>
    <n v="16"/>
    <n v="4"/>
    <n v="0"/>
    <n v="3"/>
    <n v="5"/>
    <x v="1"/>
    <n v="2"/>
    <n v="2"/>
    <n v="2"/>
    <n v="2"/>
    <n v="0"/>
    <x v="2"/>
    <x v="1"/>
    <x v="1"/>
    <n v="1328.5"/>
  </r>
  <r>
    <n v="21"/>
    <x v="0"/>
    <x v="0"/>
    <n v="12"/>
    <n v="3"/>
    <s v="Life Sciences"/>
    <n v="3"/>
    <x v="0"/>
    <n v="4"/>
    <n v="1"/>
    <x v="6"/>
    <x v="1"/>
    <s v="Single"/>
    <n v="2716"/>
    <n v="1"/>
    <x v="1"/>
    <n v="15"/>
    <n v="4"/>
    <n v="0"/>
    <n v="1"/>
    <n v="0"/>
    <x v="1"/>
    <n v="1"/>
    <n v="0"/>
    <n v="0"/>
    <n v="0"/>
    <n v="1"/>
    <x v="3"/>
    <x v="1"/>
    <x v="1"/>
    <n v="2716"/>
  </r>
  <r>
    <n v="29"/>
    <x v="1"/>
    <x v="1"/>
    <n v="23"/>
    <n v="3"/>
    <s v="Life Sciences"/>
    <n v="4"/>
    <x v="1"/>
    <n v="3"/>
    <n v="1"/>
    <x v="1"/>
    <x v="0"/>
    <s v="Single"/>
    <n v="2201"/>
    <n v="9"/>
    <x v="1"/>
    <n v="16"/>
    <n v="4"/>
    <n v="0"/>
    <n v="6"/>
    <n v="4"/>
    <x v="1"/>
    <n v="3"/>
    <n v="2"/>
    <n v="1"/>
    <n v="2"/>
    <n v="0"/>
    <x v="2"/>
    <x v="1"/>
    <x v="2"/>
    <n v="733.66666666666663"/>
  </r>
  <r>
    <n v="35"/>
    <x v="1"/>
    <x v="1"/>
    <n v="9"/>
    <n v="4"/>
    <s v="Life Sciences"/>
    <n v="3"/>
    <x v="1"/>
    <n v="2"/>
    <n v="2"/>
    <x v="4"/>
    <x v="1"/>
    <s v="Single"/>
    <n v="6540"/>
    <n v="9"/>
    <x v="1"/>
    <n v="19"/>
    <n v="3"/>
    <n v="0"/>
    <n v="10"/>
    <n v="5"/>
    <x v="1"/>
    <n v="1"/>
    <n v="1"/>
    <n v="0"/>
    <n v="0"/>
    <n v="0"/>
    <x v="2"/>
    <x v="0"/>
    <x v="1"/>
    <n v="6540"/>
  </r>
  <r>
    <n v="27"/>
    <x v="1"/>
    <x v="1"/>
    <n v="1"/>
    <n v="2"/>
    <s v="Medical"/>
    <n v="4"/>
    <x v="1"/>
    <n v="3"/>
    <n v="1"/>
    <x v="2"/>
    <x v="1"/>
    <s v="Divorced"/>
    <n v="3816"/>
    <n v="1"/>
    <x v="1"/>
    <n v="11"/>
    <n v="2"/>
    <n v="1"/>
    <n v="5"/>
    <n v="2"/>
    <x v="1"/>
    <n v="5"/>
    <n v="2"/>
    <n v="0"/>
    <n v="4"/>
    <n v="0"/>
    <x v="2"/>
    <x v="1"/>
    <x v="2"/>
    <n v="763.2"/>
  </r>
  <r>
    <n v="28"/>
    <x v="1"/>
    <x v="0"/>
    <n v="9"/>
    <n v="4"/>
    <s v="Life Sciences"/>
    <n v="2"/>
    <x v="1"/>
    <n v="3"/>
    <n v="2"/>
    <x v="0"/>
    <x v="0"/>
    <s v="Single"/>
    <n v="5253"/>
    <n v="1"/>
    <x v="1"/>
    <n v="16"/>
    <n v="4"/>
    <n v="0"/>
    <n v="7"/>
    <n v="1"/>
    <x v="1"/>
    <n v="7"/>
    <n v="5"/>
    <n v="0"/>
    <n v="7"/>
    <n v="0"/>
    <x v="2"/>
    <x v="0"/>
    <x v="0"/>
    <n v="750.42857142857144"/>
  </r>
  <r>
    <n v="49"/>
    <x v="1"/>
    <x v="1"/>
    <n v="7"/>
    <n v="3"/>
    <s v="Other"/>
    <n v="2"/>
    <x v="1"/>
    <n v="2"/>
    <n v="3"/>
    <x v="4"/>
    <x v="2"/>
    <s v="Single"/>
    <n v="10965"/>
    <n v="8"/>
    <x v="1"/>
    <n v="24"/>
    <n v="3"/>
    <n v="0"/>
    <n v="26"/>
    <n v="2"/>
    <x v="1"/>
    <n v="5"/>
    <n v="2"/>
    <n v="0"/>
    <n v="0"/>
    <n v="0"/>
    <x v="1"/>
    <x v="2"/>
    <x v="2"/>
    <n v="2193"/>
  </r>
  <r>
    <n v="51"/>
    <x v="1"/>
    <x v="0"/>
    <n v="14"/>
    <n v="2"/>
    <s v="Life Sciences"/>
    <n v="3"/>
    <x v="0"/>
    <n v="3"/>
    <n v="2"/>
    <x v="0"/>
    <x v="0"/>
    <s v="Married"/>
    <n v="4936"/>
    <n v="4"/>
    <x v="1"/>
    <n v="11"/>
    <n v="3"/>
    <n v="1"/>
    <n v="18"/>
    <n v="2"/>
    <x v="2"/>
    <n v="7"/>
    <n v="7"/>
    <n v="0"/>
    <n v="7"/>
    <n v="0"/>
    <x v="1"/>
    <x v="0"/>
    <x v="0"/>
    <n v="705.14285714285711"/>
  </r>
  <r>
    <n v="36"/>
    <x v="1"/>
    <x v="1"/>
    <n v="2"/>
    <n v="3"/>
    <s v="Life Sciences"/>
    <n v="4"/>
    <x v="0"/>
    <n v="3"/>
    <n v="1"/>
    <x v="1"/>
    <x v="2"/>
    <s v="Married"/>
    <n v="2543"/>
    <n v="4"/>
    <x v="1"/>
    <n v="13"/>
    <n v="2"/>
    <n v="1"/>
    <n v="6"/>
    <n v="3"/>
    <x v="1"/>
    <n v="2"/>
    <n v="2"/>
    <n v="2"/>
    <n v="2"/>
    <n v="0"/>
    <x v="0"/>
    <x v="1"/>
    <x v="1"/>
    <n v="1271.5"/>
  </r>
  <r>
    <n v="34"/>
    <x v="0"/>
    <x v="0"/>
    <n v="19"/>
    <n v="3"/>
    <s v="Marketing"/>
    <n v="1"/>
    <x v="1"/>
    <n v="4"/>
    <n v="2"/>
    <x v="0"/>
    <x v="0"/>
    <s v="Single"/>
    <n v="5304"/>
    <n v="8"/>
    <x v="0"/>
    <n v="13"/>
    <n v="2"/>
    <n v="0"/>
    <n v="9"/>
    <n v="3"/>
    <x v="2"/>
    <n v="5"/>
    <n v="2"/>
    <n v="0"/>
    <n v="4"/>
    <n v="1"/>
    <x v="2"/>
    <x v="0"/>
    <x v="2"/>
    <n v="1060.8"/>
  </r>
  <r>
    <n v="55"/>
    <x v="1"/>
    <x v="1"/>
    <n v="2"/>
    <n v="3"/>
    <s v="Life Sciences"/>
    <n v="3"/>
    <x v="0"/>
    <n v="3"/>
    <n v="4"/>
    <x v="5"/>
    <x v="0"/>
    <s v="Single"/>
    <n v="16659"/>
    <n v="2"/>
    <x v="0"/>
    <n v="13"/>
    <n v="3"/>
    <n v="0"/>
    <n v="30"/>
    <n v="2"/>
    <x v="1"/>
    <n v="5"/>
    <n v="4"/>
    <n v="1"/>
    <n v="2"/>
    <n v="0"/>
    <x v="1"/>
    <x v="2"/>
    <x v="2"/>
    <n v="3331.8"/>
  </r>
  <r>
    <n v="24"/>
    <x v="1"/>
    <x v="0"/>
    <n v="10"/>
    <n v="4"/>
    <s v="Marketing"/>
    <n v="4"/>
    <x v="0"/>
    <n v="3"/>
    <n v="2"/>
    <x v="0"/>
    <x v="2"/>
    <s v="Divorced"/>
    <n v="4260"/>
    <n v="1"/>
    <x v="0"/>
    <n v="12"/>
    <n v="4"/>
    <n v="1"/>
    <n v="5"/>
    <n v="2"/>
    <x v="3"/>
    <n v="5"/>
    <n v="2"/>
    <n v="0"/>
    <n v="3"/>
    <n v="0"/>
    <x v="3"/>
    <x v="0"/>
    <x v="2"/>
    <n v="852"/>
  </r>
  <r>
    <n v="30"/>
    <x v="1"/>
    <x v="0"/>
    <n v="2"/>
    <n v="1"/>
    <s v="Technical Degree"/>
    <n v="3"/>
    <x v="1"/>
    <n v="3"/>
    <n v="1"/>
    <x v="6"/>
    <x v="1"/>
    <s v="Married"/>
    <n v="2476"/>
    <n v="1"/>
    <x v="1"/>
    <n v="18"/>
    <n v="1"/>
    <n v="1"/>
    <n v="1"/>
    <n v="3"/>
    <x v="1"/>
    <n v="1"/>
    <n v="0"/>
    <n v="0"/>
    <n v="0"/>
    <n v="0"/>
    <x v="2"/>
    <x v="1"/>
    <x v="1"/>
    <n v="2476"/>
  </r>
  <r>
    <n v="26"/>
    <x v="0"/>
    <x v="1"/>
    <n v="3"/>
    <n v="1"/>
    <s v="Technical Degree"/>
    <n v="3"/>
    <x v="1"/>
    <n v="3"/>
    <n v="1"/>
    <x v="1"/>
    <x v="3"/>
    <s v="Single"/>
    <n v="3102"/>
    <n v="0"/>
    <x v="1"/>
    <n v="22"/>
    <n v="3"/>
    <n v="0"/>
    <n v="7"/>
    <n v="2"/>
    <x v="1"/>
    <n v="6"/>
    <n v="4"/>
    <n v="0"/>
    <n v="4"/>
    <n v="1"/>
    <x v="2"/>
    <x v="1"/>
    <x v="0"/>
    <n v="517"/>
  </r>
  <r>
    <n v="22"/>
    <x v="1"/>
    <x v="1"/>
    <n v="11"/>
    <n v="3"/>
    <s v="Medical"/>
    <n v="1"/>
    <x v="0"/>
    <n v="3"/>
    <n v="1"/>
    <x v="1"/>
    <x v="1"/>
    <s v="Married"/>
    <n v="2244"/>
    <n v="1"/>
    <x v="1"/>
    <n v="13"/>
    <n v="4"/>
    <n v="1"/>
    <n v="2"/>
    <n v="1"/>
    <x v="1"/>
    <n v="2"/>
    <n v="1"/>
    <n v="1"/>
    <n v="2"/>
    <n v="0"/>
    <x v="3"/>
    <x v="1"/>
    <x v="1"/>
    <n v="1122"/>
  </r>
  <r>
    <n v="36"/>
    <x v="1"/>
    <x v="0"/>
    <n v="2"/>
    <n v="2"/>
    <s v="Medical"/>
    <n v="2"/>
    <x v="1"/>
    <n v="2"/>
    <n v="3"/>
    <x v="0"/>
    <x v="2"/>
    <s v="Married"/>
    <n v="7596"/>
    <n v="1"/>
    <x v="1"/>
    <n v="13"/>
    <n v="2"/>
    <n v="2"/>
    <n v="10"/>
    <n v="2"/>
    <x v="1"/>
    <n v="10"/>
    <n v="9"/>
    <n v="9"/>
    <n v="0"/>
    <n v="0"/>
    <x v="0"/>
    <x v="0"/>
    <x v="0"/>
    <n v="759.6"/>
  </r>
  <r>
    <n v="30"/>
    <x v="0"/>
    <x v="1"/>
    <n v="4"/>
    <n v="3"/>
    <s v="Technical Degree"/>
    <n v="3"/>
    <x v="1"/>
    <n v="3"/>
    <n v="1"/>
    <x v="1"/>
    <x v="0"/>
    <s v="Single"/>
    <n v="2285"/>
    <n v="9"/>
    <x v="0"/>
    <n v="23"/>
    <n v="3"/>
    <n v="0"/>
    <n v="3"/>
    <n v="4"/>
    <x v="1"/>
    <n v="1"/>
    <n v="0"/>
    <n v="0"/>
    <n v="0"/>
    <n v="1"/>
    <x v="2"/>
    <x v="1"/>
    <x v="1"/>
    <n v="2285"/>
  </r>
  <r>
    <n v="37"/>
    <x v="1"/>
    <x v="1"/>
    <n v="14"/>
    <n v="3"/>
    <s v="Life Sciences"/>
    <n v="4"/>
    <x v="0"/>
    <n v="3"/>
    <n v="1"/>
    <x v="2"/>
    <x v="3"/>
    <s v="Divorced"/>
    <n v="3034"/>
    <n v="1"/>
    <x v="1"/>
    <n v="12"/>
    <n v="3"/>
    <n v="1"/>
    <n v="18"/>
    <n v="2"/>
    <x v="2"/>
    <n v="18"/>
    <n v="7"/>
    <n v="12"/>
    <n v="17"/>
    <n v="0"/>
    <x v="0"/>
    <x v="1"/>
    <x v="3"/>
    <n v="168.55555555555554"/>
  </r>
  <r>
    <n v="40"/>
    <x v="1"/>
    <x v="0"/>
    <n v="2"/>
    <n v="2"/>
    <s v="Marketing"/>
    <n v="4"/>
    <x v="0"/>
    <n v="3"/>
    <n v="2"/>
    <x v="0"/>
    <x v="1"/>
    <s v="Divorced"/>
    <n v="5715"/>
    <n v="7"/>
    <x v="1"/>
    <n v="12"/>
    <n v="3"/>
    <n v="2"/>
    <n v="8"/>
    <n v="5"/>
    <x v="1"/>
    <n v="5"/>
    <n v="4"/>
    <n v="1"/>
    <n v="3"/>
    <n v="0"/>
    <x v="0"/>
    <x v="0"/>
    <x v="2"/>
    <n v="1143"/>
  </r>
  <r>
    <n v="42"/>
    <x v="1"/>
    <x v="1"/>
    <n v="1"/>
    <n v="4"/>
    <s v="Life Sciences"/>
    <n v="2"/>
    <x v="0"/>
    <n v="3"/>
    <n v="1"/>
    <x v="2"/>
    <x v="3"/>
    <s v="Divorced"/>
    <n v="2576"/>
    <n v="3"/>
    <x v="1"/>
    <n v="16"/>
    <n v="2"/>
    <n v="1"/>
    <n v="8"/>
    <n v="5"/>
    <x v="1"/>
    <n v="5"/>
    <n v="2"/>
    <n v="1"/>
    <n v="2"/>
    <n v="0"/>
    <x v="0"/>
    <x v="1"/>
    <x v="2"/>
    <n v="515.20000000000005"/>
  </r>
  <r>
    <n v="37"/>
    <x v="1"/>
    <x v="1"/>
    <n v="10"/>
    <n v="4"/>
    <s v="Life Sciences"/>
    <n v="3"/>
    <x v="1"/>
    <n v="3"/>
    <n v="2"/>
    <x v="3"/>
    <x v="1"/>
    <s v="Single"/>
    <n v="4197"/>
    <n v="2"/>
    <x v="0"/>
    <n v="12"/>
    <n v="4"/>
    <n v="0"/>
    <n v="18"/>
    <n v="2"/>
    <x v="2"/>
    <n v="1"/>
    <n v="0"/>
    <n v="0"/>
    <n v="1"/>
    <n v="0"/>
    <x v="0"/>
    <x v="0"/>
    <x v="1"/>
    <n v="4197"/>
  </r>
  <r>
    <n v="43"/>
    <x v="1"/>
    <x v="1"/>
    <n v="12"/>
    <n v="3"/>
    <s v="Life Sciences"/>
    <n v="1"/>
    <x v="1"/>
    <n v="2"/>
    <n v="4"/>
    <x v="7"/>
    <x v="1"/>
    <s v="Divorced"/>
    <n v="14336"/>
    <n v="1"/>
    <x v="1"/>
    <n v="11"/>
    <n v="3"/>
    <n v="1"/>
    <n v="25"/>
    <n v="3"/>
    <x v="1"/>
    <n v="25"/>
    <n v="10"/>
    <n v="3"/>
    <n v="9"/>
    <n v="0"/>
    <x v="0"/>
    <x v="2"/>
    <x v="3"/>
    <n v="573.44000000000005"/>
  </r>
  <r>
    <n v="40"/>
    <x v="1"/>
    <x v="1"/>
    <n v="2"/>
    <n v="3"/>
    <s v="Medical"/>
    <n v="2"/>
    <x v="0"/>
    <n v="2"/>
    <n v="2"/>
    <x v="2"/>
    <x v="2"/>
    <s v="Married"/>
    <n v="3448"/>
    <n v="6"/>
    <x v="1"/>
    <n v="22"/>
    <n v="2"/>
    <n v="1"/>
    <n v="20"/>
    <n v="3"/>
    <x v="1"/>
    <n v="1"/>
    <n v="0"/>
    <n v="0"/>
    <n v="0"/>
    <n v="0"/>
    <x v="0"/>
    <x v="1"/>
    <x v="1"/>
    <n v="3448"/>
  </r>
  <r>
    <n v="54"/>
    <x v="1"/>
    <x v="1"/>
    <n v="5"/>
    <n v="2"/>
    <s v="Medical"/>
    <n v="1"/>
    <x v="1"/>
    <n v="3"/>
    <n v="5"/>
    <x v="7"/>
    <x v="3"/>
    <s v="Married"/>
    <n v="19406"/>
    <n v="4"/>
    <x v="1"/>
    <n v="11"/>
    <n v="3"/>
    <n v="1"/>
    <n v="24"/>
    <n v="4"/>
    <x v="2"/>
    <n v="4"/>
    <n v="2"/>
    <n v="1"/>
    <n v="2"/>
    <n v="0"/>
    <x v="1"/>
    <x v="2"/>
    <x v="2"/>
    <n v="4851.5"/>
  </r>
  <r>
    <n v="34"/>
    <x v="1"/>
    <x v="0"/>
    <n v="4"/>
    <n v="4"/>
    <s v="Marketing"/>
    <n v="3"/>
    <x v="0"/>
    <n v="3"/>
    <n v="2"/>
    <x v="0"/>
    <x v="2"/>
    <s v="Married"/>
    <n v="6538"/>
    <n v="9"/>
    <x v="1"/>
    <n v="15"/>
    <n v="1"/>
    <n v="1"/>
    <n v="6"/>
    <n v="3"/>
    <x v="1"/>
    <n v="3"/>
    <n v="2"/>
    <n v="1"/>
    <n v="2"/>
    <n v="0"/>
    <x v="2"/>
    <x v="0"/>
    <x v="2"/>
    <n v="2179.3333333333335"/>
  </r>
  <r>
    <n v="31"/>
    <x v="1"/>
    <x v="1"/>
    <n v="7"/>
    <n v="2"/>
    <s v="Medical"/>
    <n v="2"/>
    <x v="0"/>
    <n v="3"/>
    <n v="2"/>
    <x v="3"/>
    <x v="3"/>
    <s v="Married"/>
    <n v="4306"/>
    <n v="1"/>
    <x v="1"/>
    <n v="12"/>
    <n v="2"/>
    <n v="1"/>
    <n v="13"/>
    <n v="5"/>
    <x v="0"/>
    <n v="13"/>
    <n v="10"/>
    <n v="3"/>
    <n v="12"/>
    <n v="0"/>
    <x v="2"/>
    <x v="0"/>
    <x v="3"/>
    <n v="331.23076923076923"/>
  </r>
  <r>
    <n v="43"/>
    <x v="1"/>
    <x v="1"/>
    <n v="21"/>
    <n v="3"/>
    <s v="Medical"/>
    <n v="4"/>
    <x v="1"/>
    <n v="3"/>
    <n v="1"/>
    <x v="2"/>
    <x v="0"/>
    <s v="Married"/>
    <n v="2258"/>
    <n v="7"/>
    <x v="1"/>
    <n v="20"/>
    <n v="1"/>
    <n v="1"/>
    <n v="8"/>
    <n v="1"/>
    <x v="1"/>
    <n v="3"/>
    <n v="2"/>
    <n v="1"/>
    <n v="2"/>
    <n v="0"/>
    <x v="0"/>
    <x v="1"/>
    <x v="2"/>
    <n v="752.66666666666663"/>
  </r>
  <r>
    <n v="43"/>
    <x v="1"/>
    <x v="1"/>
    <n v="8"/>
    <n v="4"/>
    <s v="Other"/>
    <n v="3"/>
    <x v="0"/>
    <n v="3"/>
    <n v="2"/>
    <x v="4"/>
    <x v="2"/>
    <s v="Divorced"/>
    <n v="4522"/>
    <n v="4"/>
    <x v="0"/>
    <n v="14"/>
    <n v="4"/>
    <n v="0"/>
    <n v="8"/>
    <n v="3"/>
    <x v="1"/>
    <n v="5"/>
    <n v="2"/>
    <n v="0"/>
    <n v="2"/>
    <n v="0"/>
    <x v="0"/>
    <x v="0"/>
    <x v="2"/>
    <n v="904.4"/>
  </r>
  <r>
    <n v="25"/>
    <x v="1"/>
    <x v="0"/>
    <n v="4"/>
    <n v="2"/>
    <s v="Life Sciences"/>
    <n v="2"/>
    <x v="0"/>
    <n v="2"/>
    <n v="2"/>
    <x v="0"/>
    <x v="0"/>
    <s v="Single"/>
    <n v="4487"/>
    <n v="1"/>
    <x v="0"/>
    <n v="11"/>
    <n v="2"/>
    <n v="0"/>
    <n v="5"/>
    <n v="3"/>
    <x v="1"/>
    <n v="5"/>
    <n v="4"/>
    <n v="1"/>
    <n v="3"/>
    <n v="0"/>
    <x v="3"/>
    <x v="0"/>
    <x v="2"/>
    <n v="897.4"/>
  </r>
  <r>
    <n v="37"/>
    <x v="1"/>
    <x v="1"/>
    <n v="25"/>
    <n v="5"/>
    <s v="Medical"/>
    <n v="2"/>
    <x v="0"/>
    <n v="3"/>
    <n v="2"/>
    <x v="1"/>
    <x v="2"/>
    <s v="Married"/>
    <n v="4449"/>
    <n v="3"/>
    <x v="0"/>
    <n v="15"/>
    <n v="1"/>
    <n v="2"/>
    <n v="15"/>
    <n v="2"/>
    <x v="1"/>
    <n v="13"/>
    <n v="11"/>
    <n v="10"/>
    <n v="7"/>
    <n v="0"/>
    <x v="0"/>
    <x v="0"/>
    <x v="3"/>
    <n v="342.23076923076923"/>
  </r>
  <r>
    <n v="31"/>
    <x v="1"/>
    <x v="1"/>
    <n v="1"/>
    <n v="2"/>
    <s v="Life Sciences"/>
    <n v="4"/>
    <x v="1"/>
    <n v="2"/>
    <n v="1"/>
    <x v="2"/>
    <x v="3"/>
    <s v="Married"/>
    <n v="2218"/>
    <n v="1"/>
    <x v="1"/>
    <n v="12"/>
    <n v="3"/>
    <n v="1"/>
    <n v="4"/>
    <n v="3"/>
    <x v="1"/>
    <n v="4"/>
    <n v="2"/>
    <n v="3"/>
    <n v="2"/>
    <n v="0"/>
    <x v="2"/>
    <x v="1"/>
    <x v="2"/>
    <n v="554.5"/>
  </r>
  <r>
    <n v="39"/>
    <x v="1"/>
    <x v="1"/>
    <n v="1"/>
    <n v="1"/>
    <s v="Life Sciences"/>
    <n v="2"/>
    <x v="1"/>
    <n v="3"/>
    <n v="5"/>
    <x v="5"/>
    <x v="2"/>
    <s v="Divorced"/>
    <n v="19197"/>
    <n v="1"/>
    <x v="0"/>
    <n v="14"/>
    <n v="3"/>
    <n v="1"/>
    <n v="21"/>
    <n v="3"/>
    <x v="1"/>
    <n v="21"/>
    <n v="8"/>
    <n v="1"/>
    <n v="6"/>
    <n v="0"/>
    <x v="0"/>
    <x v="2"/>
    <x v="3"/>
    <n v="914.14285714285711"/>
  </r>
  <r>
    <n v="56"/>
    <x v="1"/>
    <x v="0"/>
    <n v="6"/>
    <n v="3"/>
    <s v="Life Sciences"/>
    <n v="3"/>
    <x v="0"/>
    <n v="4"/>
    <n v="4"/>
    <x v="0"/>
    <x v="3"/>
    <s v="Married"/>
    <n v="13212"/>
    <n v="9"/>
    <x v="1"/>
    <n v="11"/>
    <n v="4"/>
    <n v="3"/>
    <n v="36"/>
    <n v="0"/>
    <x v="2"/>
    <n v="7"/>
    <n v="7"/>
    <n v="7"/>
    <n v="7"/>
    <n v="0"/>
    <x v="1"/>
    <x v="2"/>
    <x v="0"/>
    <n v="1887.4285714285713"/>
  </r>
  <r>
    <n v="30"/>
    <x v="1"/>
    <x v="0"/>
    <n v="12"/>
    <n v="3"/>
    <s v="Technical Degree"/>
    <n v="2"/>
    <x v="0"/>
    <n v="3"/>
    <n v="2"/>
    <x v="0"/>
    <x v="2"/>
    <s v="Single"/>
    <n v="6577"/>
    <n v="0"/>
    <x v="1"/>
    <n v="11"/>
    <n v="2"/>
    <n v="0"/>
    <n v="6"/>
    <n v="6"/>
    <x v="1"/>
    <n v="5"/>
    <n v="4"/>
    <n v="4"/>
    <n v="4"/>
    <n v="0"/>
    <x v="2"/>
    <x v="0"/>
    <x v="2"/>
    <n v="1315.4"/>
  </r>
  <r>
    <n v="41"/>
    <x v="1"/>
    <x v="0"/>
    <n v="1"/>
    <n v="3"/>
    <s v="Marketing"/>
    <n v="2"/>
    <x v="1"/>
    <n v="4"/>
    <n v="3"/>
    <x v="0"/>
    <x v="3"/>
    <s v="Married"/>
    <n v="8392"/>
    <n v="1"/>
    <x v="1"/>
    <n v="16"/>
    <n v="3"/>
    <n v="1"/>
    <n v="10"/>
    <n v="2"/>
    <x v="1"/>
    <n v="10"/>
    <n v="7"/>
    <n v="0"/>
    <n v="7"/>
    <n v="0"/>
    <x v="0"/>
    <x v="0"/>
    <x v="0"/>
    <n v="839.2"/>
  </r>
  <r>
    <n v="28"/>
    <x v="1"/>
    <x v="1"/>
    <n v="17"/>
    <n v="2"/>
    <s v="Medical"/>
    <n v="3"/>
    <x v="1"/>
    <n v="3"/>
    <n v="2"/>
    <x v="2"/>
    <x v="3"/>
    <s v="Divorced"/>
    <n v="4558"/>
    <n v="1"/>
    <x v="1"/>
    <n v="12"/>
    <n v="4"/>
    <n v="1"/>
    <n v="10"/>
    <n v="2"/>
    <x v="1"/>
    <n v="10"/>
    <n v="0"/>
    <n v="1"/>
    <n v="8"/>
    <n v="0"/>
    <x v="2"/>
    <x v="0"/>
    <x v="0"/>
    <n v="455.8"/>
  </r>
  <r>
    <n v="25"/>
    <x v="0"/>
    <x v="1"/>
    <n v="3"/>
    <n v="3"/>
    <s v="Medical"/>
    <n v="1"/>
    <x v="1"/>
    <n v="3"/>
    <n v="1"/>
    <x v="2"/>
    <x v="3"/>
    <s v="Married"/>
    <n v="4031"/>
    <n v="5"/>
    <x v="1"/>
    <n v="13"/>
    <n v="3"/>
    <n v="1"/>
    <n v="6"/>
    <n v="5"/>
    <x v="1"/>
    <n v="2"/>
    <n v="2"/>
    <n v="0"/>
    <n v="2"/>
    <n v="1"/>
    <x v="3"/>
    <x v="0"/>
    <x v="1"/>
    <n v="2015.5"/>
  </r>
  <r>
    <n v="52"/>
    <x v="1"/>
    <x v="1"/>
    <n v="3"/>
    <n v="3"/>
    <s v="Medical"/>
    <n v="4"/>
    <x v="1"/>
    <n v="2"/>
    <n v="3"/>
    <x v="3"/>
    <x v="2"/>
    <s v="Married"/>
    <n v="7969"/>
    <n v="2"/>
    <x v="0"/>
    <n v="14"/>
    <n v="3"/>
    <n v="0"/>
    <n v="28"/>
    <n v="4"/>
    <x v="1"/>
    <n v="5"/>
    <n v="4"/>
    <n v="0"/>
    <n v="4"/>
    <n v="0"/>
    <x v="1"/>
    <x v="0"/>
    <x v="2"/>
    <n v="1593.8"/>
  </r>
  <r>
    <n v="45"/>
    <x v="1"/>
    <x v="1"/>
    <n v="10"/>
    <n v="2"/>
    <s v="Life Sciences"/>
    <n v="1"/>
    <x v="1"/>
    <n v="3"/>
    <n v="1"/>
    <x v="1"/>
    <x v="0"/>
    <s v="Married"/>
    <n v="2654"/>
    <n v="3"/>
    <x v="1"/>
    <n v="21"/>
    <n v="4"/>
    <n v="2"/>
    <n v="8"/>
    <n v="3"/>
    <x v="2"/>
    <n v="2"/>
    <n v="2"/>
    <n v="0"/>
    <n v="2"/>
    <n v="0"/>
    <x v="0"/>
    <x v="1"/>
    <x v="1"/>
    <n v="1327"/>
  </r>
  <r>
    <n v="52"/>
    <x v="1"/>
    <x v="1"/>
    <n v="4"/>
    <n v="2"/>
    <s v="Life Sciences"/>
    <n v="4"/>
    <x v="0"/>
    <n v="3"/>
    <n v="4"/>
    <x v="5"/>
    <x v="0"/>
    <s v="Married"/>
    <n v="16555"/>
    <n v="2"/>
    <x v="1"/>
    <n v="13"/>
    <n v="4"/>
    <n v="0"/>
    <n v="31"/>
    <n v="2"/>
    <x v="0"/>
    <n v="5"/>
    <n v="2"/>
    <n v="1"/>
    <n v="4"/>
    <n v="0"/>
    <x v="1"/>
    <x v="2"/>
    <x v="2"/>
    <n v="3311"/>
  </r>
  <r>
    <n v="42"/>
    <x v="1"/>
    <x v="1"/>
    <n v="29"/>
    <n v="2"/>
    <s v="Life Sciences"/>
    <n v="1"/>
    <x v="0"/>
    <n v="3"/>
    <n v="2"/>
    <x v="1"/>
    <x v="2"/>
    <s v="Divorced"/>
    <n v="4556"/>
    <n v="2"/>
    <x v="1"/>
    <n v="11"/>
    <n v="2"/>
    <n v="1"/>
    <n v="19"/>
    <n v="3"/>
    <x v="1"/>
    <n v="5"/>
    <n v="4"/>
    <n v="0"/>
    <n v="2"/>
    <n v="0"/>
    <x v="0"/>
    <x v="0"/>
    <x v="2"/>
    <n v="911.2"/>
  </r>
  <r>
    <n v="30"/>
    <x v="1"/>
    <x v="1"/>
    <n v="2"/>
    <n v="3"/>
    <s v="Life Sciences"/>
    <n v="3"/>
    <x v="0"/>
    <n v="1"/>
    <n v="2"/>
    <x v="3"/>
    <x v="0"/>
    <s v="Single"/>
    <n v="6091"/>
    <n v="2"/>
    <x v="1"/>
    <n v="20"/>
    <n v="3"/>
    <n v="0"/>
    <n v="11"/>
    <n v="2"/>
    <x v="1"/>
    <n v="5"/>
    <n v="4"/>
    <n v="0"/>
    <n v="2"/>
    <n v="0"/>
    <x v="2"/>
    <x v="0"/>
    <x v="2"/>
    <n v="1218.2"/>
  </r>
  <r>
    <n v="60"/>
    <x v="1"/>
    <x v="1"/>
    <n v="7"/>
    <n v="3"/>
    <s v="Life Sciences"/>
    <n v="1"/>
    <x v="0"/>
    <n v="3"/>
    <n v="5"/>
    <x v="5"/>
    <x v="3"/>
    <s v="Married"/>
    <n v="19566"/>
    <n v="5"/>
    <x v="1"/>
    <n v="11"/>
    <n v="4"/>
    <n v="0"/>
    <n v="33"/>
    <n v="5"/>
    <x v="0"/>
    <n v="29"/>
    <n v="8"/>
    <n v="11"/>
    <n v="10"/>
    <n v="0"/>
    <x v="1"/>
    <x v="2"/>
    <x v="3"/>
    <n v="674.68965517241384"/>
  </r>
  <r>
    <n v="46"/>
    <x v="1"/>
    <x v="1"/>
    <n v="18"/>
    <n v="3"/>
    <s v="Medical"/>
    <n v="3"/>
    <x v="0"/>
    <n v="3"/>
    <n v="2"/>
    <x v="3"/>
    <x v="2"/>
    <s v="Divorced"/>
    <n v="4810"/>
    <n v="2"/>
    <x v="1"/>
    <n v="14"/>
    <n v="3"/>
    <n v="1"/>
    <n v="19"/>
    <n v="5"/>
    <x v="2"/>
    <n v="10"/>
    <n v="7"/>
    <n v="0"/>
    <n v="8"/>
    <n v="0"/>
    <x v="1"/>
    <x v="0"/>
    <x v="0"/>
    <n v="481"/>
  </r>
  <r>
    <n v="42"/>
    <x v="1"/>
    <x v="1"/>
    <n v="28"/>
    <n v="4"/>
    <s v="Technical Degree"/>
    <n v="4"/>
    <x v="0"/>
    <n v="2"/>
    <n v="2"/>
    <x v="4"/>
    <x v="0"/>
    <s v="Married"/>
    <n v="4523"/>
    <n v="0"/>
    <x v="1"/>
    <n v="11"/>
    <n v="4"/>
    <n v="3"/>
    <n v="7"/>
    <n v="4"/>
    <x v="3"/>
    <n v="6"/>
    <n v="5"/>
    <n v="0"/>
    <n v="4"/>
    <n v="0"/>
    <x v="0"/>
    <x v="0"/>
    <x v="0"/>
    <n v="753.83333333333337"/>
  </r>
  <r>
    <n v="24"/>
    <x v="0"/>
    <x v="0"/>
    <n v="1"/>
    <n v="1"/>
    <s v="Technical Degree"/>
    <n v="1"/>
    <x v="0"/>
    <n v="3"/>
    <n v="1"/>
    <x v="6"/>
    <x v="1"/>
    <s v="Single"/>
    <n v="3202"/>
    <n v="1"/>
    <x v="0"/>
    <n v="16"/>
    <n v="2"/>
    <n v="0"/>
    <n v="6"/>
    <n v="4"/>
    <x v="1"/>
    <n v="5"/>
    <n v="3"/>
    <n v="1"/>
    <n v="4"/>
    <n v="1"/>
    <x v="3"/>
    <x v="1"/>
    <x v="2"/>
    <n v="640.4"/>
  </r>
  <r>
    <n v="34"/>
    <x v="0"/>
    <x v="0"/>
    <n v="6"/>
    <n v="2"/>
    <s v="Marketing"/>
    <n v="4"/>
    <x v="0"/>
    <n v="1"/>
    <n v="1"/>
    <x v="6"/>
    <x v="2"/>
    <s v="Divorced"/>
    <n v="2351"/>
    <n v="0"/>
    <x v="1"/>
    <n v="16"/>
    <n v="4"/>
    <n v="1"/>
    <n v="3"/>
    <n v="3"/>
    <x v="2"/>
    <n v="2"/>
    <n v="2"/>
    <n v="1"/>
    <n v="0"/>
    <n v="1"/>
    <x v="2"/>
    <x v="1"/>
    <x v="1"/>
    <n v="1175.5"/>
  </r>
  <r>
    <n v="38"/>
    <x v="1"/>
    <x v="1"/>
    <n v="2"/>
    <n v="2"/>
    <s v="Life Sciences"/>
    <n v="4"/>
    <x v="1"/>
    <n v="3"/>
    <n v="1"/>
    <x v="2"/>
    <x v="0"/>
    <s v="Married"/>
    <n v="1702"/>
    <n v="1"/>
    <x v="0"/>
    <n v="23"/>
    <n v="3"/>
    <n v="1"/>
    <n v="1"/>
    <n v="3"/>
    <x v="1"/>
    <n v="1"/>
    <n v="0"/>
    <n v="0"/>
    <n v="0"/>
    <n v="0"/>
    <x v="0"/>
    <x v="1"/>
    <x v="1"/>
    <n v="1702"/>
  </r>
  <r>
    <n v="40"/>
    <x v="1"/>
    <x v="0"/>
    <n v="2"/>
    <n v="4"/>
    <s v="Life Sciences"/>
    <n v="3"/>
    <x v="0"/>
    <n v="3"/>
    <n v="5"/>
    <x v="5"/>
    <x v="2"/>
    <s v="Married"/>
    <n v="18041"/>
    <n v="0"/>
    <x v="1"/>
    <n v="14"/>
    <n v="4"/>
    <n v="0"/>
    <n v="21"/>
    <n v="2"/>
    <x v="1"/>
    <n v="20"/>
    <n v="15"/>
    <n v="1"/>
    <n v="12"/>
    <n v="0"/>
    <x v="0"/>
    <x v="2"/>
    <x v="3"/>
    <n v="902.05"/>
  </r>
  <r>
    <n v="26"/>
    <x v="1"/>
    <x v="1"/>
    <n v="23"/>
    <n v="3"/>
    <s v="Life Sciences"/>
    <n v="1"/>
    <x v="0"/>
    <n v="3"/>
    <n v="1"/>
    <x v="1"/>
    <x v="0"/>
    <s v="Divorced"/>
    <n v="2886"/>
    <n v="1"/>
    <x v="1"/>
    <n v="22"/>
    <n v="2"/>
    <n v="2"/>
    <n v="3"/>
    <n v="3"/>
    <x v="0"/>
    <n v="3"/>
    <n v="2"/>
    <n v="0"/>
    <n v="2"/>
    <n v="0"/>
    <x v="2"/>
    <x v="1"/>
    <x v="2"/>
    <n v="962"/>
  </r>
  <r>
    <n v="30"/>
    <x v="1"/>
    <x v="1"/>
    <n v="3"/>
    <n v="3"/>
    <s v="Life Sciences"/>
    <n v="3"/>
    <x v="1"/>
    <n v="3"/>
    <n v="1"/>
    <x v="2"/>
    <x v="0"/>
    <s v="Married"/>
    <n v="2097"/>
    <n v="4"/>
    <x v="1"/>
    <n v="15"/>
    <n v="3"/>
    <n v="1"/>
    <n v="9"/>
    <n v="3"/>
    <x v="0"/>
    <n v="5"/>
    <n v="3"/>
    <n v="1"/>
    <n v="4"/>
    <n v="0"/>
    <x v="2"/>
    <x v="1"/>
    <x v="2"/>
    <n v="419.4"/>
  </r>
  <r>
    <n v="29"/>
    <x v="1"/>
    <x v="1"/>
    <n v="3"/>
    <n v="4"/>
    <s v="Medical"/>
    <n v="2"/>
    <x v="1"/>
    <n v="2"/>
    <n v="3"/>
    <x v="7"/>
    <x v="2"/>
    <s v="Married"/>
    <n v="11935"/>
    <n v="1"/>
    <x v="1"/>
    <n v="18"/>
    <n v="3"/>
    <n v="0"/>
    <n v="10"/>
    <n v="2"/>
    <x v="1"/>
    <n v="10"/>
    <n v="2"/>
    <n v="0"/>
    <n v="7"/>
    <n v="0"/>
    <x v="2"/>
    <x v="2"/>
    <x v="0"/>
    <n v="1193.5"/>
  </r>
  <r>
    <n v="29"/>
    <x v="0"/>
    <x v="1"/>
    <n v="25"/>
    <n v="5"/>
    <s v="Technical Degree"/>
    <n v="3"/>
    <x v="0"/>
    <n v="2"/>
    <n v="1"/>
    <x v="1"/>
    <x v="1"/>
    <s v="Married"/>
    <n v="2546"/>
    <n v="5"/>
    <x v="1"/>
    <n v="16"/>
    <n v="2"/>
    <n v="0"/>
    <n v="6"/>
    <n v="2"/>
    <x v="3"/>
    <n v="2"/>
    <n v="2"/>
    <n v="1"/>
    <n v="1"/>
    <n v="1"/>
    <x v="2"/>
    <x v="1"/>
    <x v="1"/>
    <n v="1273"/>
  </r>
  <r>
    <n v="19"/>
    <x v="0"/>
    <x v="2"/>
    <n v="2"/>
    <n v="2"/>
    <s v="Technical Degree"/>
    <n v="1"/>
    <x v="1"/>
    <n v="2"/>
    <n v="1"/>
    <x v="8"/>
    <x v="0"/>
    <s v="Single"/>
    <n v="2564"/>
    <n v="1"/>
    <x v="1"/>
    <n v="12"/>
    <n v="3"/>
    <n v="0"/>
    <n v="1"/>
    <n v="3"/>
    <x v="3"/>
    <n v="1"/>
    <n v="0"/>
    <n v="0"/>
    <n v="0"/>
    <n v="1"/>
    <x v="3"/>
    <x v="1"/>
    <x v="1"/>
    <n v="2564"/>
  </r>
  <r>
    <n v="30"/>
    <x v="1"/>
    <x v="0"/>
    <n v="22"/>
    <n v="4"/>
    <s v="Other"/>
    <n v="3"/>
    <x v="0"/>
    <n v="3"/>
    <n v="3"/>
    <x v="0"/>
    <x v="3"/>
    <s v="Married"/>
    <n v="8412"/>
    <n v="0"/>
    <x v="1"/>
    <n v="11"/>
    <n v="3"/>
    <n v="0"/>
    <n v="10"/>
    <n v="3"/>
    <x v="1"/>
    <n v="9"/>
    <n v="8"/>
    <n v="7"/>
    <n v="8"/>
    <n v="0"/>
    <x v="2"/>
    <x v="0"/>
    <x v="0"/>
    <n v="934.66666666666663"/>
  </r>
  <r>
    <n v="57"/>
    <x v="1"/>
    <x v="0"/>
    <n v="29"/>
    <n v="3"/>
    <s v="Marketing"/>
    <n v="1"/>
    <x v="1"/>
    <n v="2"/>
    <n v="4"/>
    <x v="5"/>
    <x v="0"/>
    <s v="Divorced"/>
    <n v="14118"/>
    <n v="3"/>
    <x v="1"/>
    <n v="12"/>
    <n v="3"/>
    <n v="1"/>
    <n v="32"/>
    <n v="3"/>
    <x v="2"/>
    <n v="1"/>
    <n v="0"/>
    <n v="0"/>
    <n v="0"/>
    <n v="0"/>
    <x v="1"/>
    <x v="2"/>
    <x v="1"/>
    <n v="14118"/>
  </r>
  <r>
    <n v="50"/>
    <x v="1"/>
    <x v="1"/>
    <n v="29"/>
    <n v="4"/>
    <s v="Life Sciences"/>
    <n v="2"/>
    <x v="1"/>
    <n v="2"/>
    <n v="4"/>
    <x v="5"/>
    <x v="2"/>
    <s v="Married"/>
    <n v="17046"/>
    <n v="0"/>
    <x v="1"/>
    <n v="15"/>
    <n v="2"/>
    <n v="1"/>
    <n v="28"/>
    <n v="2"/>
    <x v="1"/>
    <n v="27"/>
    <n v="10"/>
    <n v="15"/>
    <n v="7"/>
    <n v="0"/>
    <x v="1"/>
    <x v="2"/>
    <x v="3"/>
    <n v="631.33333333333337"/>
  </r>
  <r>
    <n v="30"/>
    <x v="1"/>
    <x v="1"/>
    <n v="2"/>
    <n v="3"/>
    <s v="Medical"/>
    <n v="3"/>
    <x v="0"/>
    <n v="3"/>
    <n v="1"/>
    <x v="2"/>
    <x v="0"/>
    <s v="Single"/>
    <n v="2564"/>
    <n v="0"/>
    <x v="1"/>
    <n v="14"/>
    <n v="3"/>
    <n v="0"/>
    <n v="12"/>
    <n v="2"/>
    <x v="2"/>
    <n v="11"/>
    <n v="7"/>
    <n v="6"/>
    <n v="7"/>
    <n v="0"/>
    <x v="2"/>
    <x v="1"/>
    <x v="3"/>
    <n v="233.09090909090909"/>
  </r>
  <r>
    <n v="60"/>
    <x v="1"/>
    <x v="0"/>
    <n v="28"/>
    <n v="3"/>
    <s v="Marketing"/>
    <n v="3"/>
    <x v="0"/>
    <n v="2"/>
    <n v="3"/>
    <x v="0"/>
    <x v="3"/>
    <s v="Married"/>
    <n v="10266"/>
    <n v="4"/>
    <x v="1"/>
    <n v="19"/>
    <n v="4"/>
    <n v="0"/>
    <n v="22"/>
    <n v="5"/>
    <x v="3"/>
    <n v="18"/>
    <n v="13"/>
    <n v="13"/>
    <n v="11"/>
    <n v="0"/>
    <x v="1"/>
    <x v="2"/>
    <x v="3"/>
    <n v="570.33333333333337"/>
  </r>
  <r>
    <n v="47"/>
    <x v="1"/>
    <x v="1"/>
    <n v="2"/>
    <n v="2"/>
    <s v="Medical"/>
    <n v="1"/>
    <x v="0"/>
    <n v="3"/>
    <n v="2"/>
    <x v="3"/>
    <x v="0"/>
    <s v="Divorced"/>
    <n v="5070"/>
    <n v="5"/>
    <x v="1"/>
    <n v="13"/>
    <n v="3"/>
    <n v="3"/>
    <n v="20"/>
    <n v="2"/>
    <x v="1"/>
    <n v="5"/>
    <n v="0"/>
    <n v="0"/>
    <n v="4"/>
    <n v="0"/>
    <x v="1"/>
    <x v="0"/>
    <x v="2"/>
    <n v="1014"/>
  </r>
  <r>
    <n v="46"/>
    <x v="1"/>
    <x v="1"/>
    <n v="2"/>
    <n v="3"/>
    <s v="Life Sciences"/>
    <n v="1"/>
    <x v="1"/>
    <n v="3"/>
    <n v="4"/>
    <x v="7"/>
    <x v="2"/>
    <s v="Married"/>
    <n v="17861"/>
    <n v="6"/>
    <x v="1"/>
    <n v="13"/>
    <n v="3"/>
    <n v="0"/>
    <n v="26"/>
    <n v="2"/>
    <x v="0"/>
    <n v="3"/>
    <n v="2"/>
    <n v="0"/>
    <n v="1"/>
    <n v="0"/>
    <x v="1"/>
    <x v="2"/>
    <x v="2"/>
    <n v="5953.666666666667"/>
  </r>
  <r>
    <n v="35"/>
    <x v="1"/>
    <x v="1"/>
    <n v="22"/>
    <n v="3"/>
    <s v="Life Sciences"/>
    <n v="4"/>
    <x v="1"/>
    <n v="1"/>
    <n v="1"/>
    <x v="2"/>
    <x v="2"/>
    <s v="Single"/>
    <n v="4230"/>
    <n v="0"/>
    <x v="1"/>
    <n v="15"/>
    <n v="3"/>
    <n v="0"/>
    <n v="6"/>
    <n v="2"/>
    <x v="1"/>
    <n v="5"/>
    <n v="4"/>
    <n v="4"/>
    <n v="3"/>
    <n v="0"/>
    <x v="2"/>
    <x v="0"/>
    <x v="2"/>
    <n v="846"/>
  </r>
  <r>
    <n v="54"/>
    <x v="1"/>
    <x v="1"/>
    <n v="8"/>
    <n v="4"/>
    <s v="Life Sciences"/>
    <n v="3"/>
    <x v="0"/>
    <n v="3"/>
    <n v="2"/>
    <x v="2"/>
    <x v="2"/>
    <s v="Single"/>
    <n v="3780"/>
    <n v="7"/>
    <x v="1"/>
    <n v="11"/>
    <n v="3"/>
    <n v="0"/>
    <n v="19"/>
    <n v="3"/>
    <x v="1"/>
    <n v="1"/>
    <n v="0"/>
    <n v="0"/>
    <n v="0"/>
    <n v="0"/>
    <x v="1"/>
    <x v="1"/>
    <x v="1"/>
    <n v="3780"/>
  </r>
  <r>
    <n v="34"/>
    <x v="1"/>
    <x v="1"/>
    <n v="2"/>
    <n v="4"/>
    <s v="Life Sciences"/>
    <n v="4"/>
    <x v="1"/>
    <n v="2"/>
    <n v="1"/>
    <x v="1"/>
    <x v="2"/>
    <s v="Divorced"/>
    <n v="2768"/>
    <n v="3"/>
    <x v="1"/>
    <n v="12"/>
    <n v="3"/>
    <n v="1"/>
    <n v="14"/>
    <n v="3"/>
    <x v="1"/>
    <n v="7"/>
    <n v="3"/>
    <n v="5"/>
    <n v="7"/>
    <n v="0"/>
    <x v="2"/>
    <x v="1"/>
    <x v="0"/>
    <n v="395.42857142857144"/>
  </r>
  <r>
    <n v="46"/>
    <x v="1"/>
    <x v="0"/>
    <n v="10"/>
    <n v="3"/>
    <s v="Marketing"/>
    <n v="3"/>
    <x v="0"/>
    <n v="2"/>
    <n v="3"/>
    <x v="0"/>
    <x v="0"/>
    <s v="Married"/>
    <n v="9071"/>
    <n v="2"/>
    <x v="0"/>
    <n v="19"/>
    <n v="3"/>
    <n v="1"/>
    <n v="15"/>
    <n v="3"/>
    <x v="1"/>
    <n v="3"/>
    <n v="2"/>
    <n v="1"/>
    <n v="2"/>
    <n v="0"/>
    <x v="1"/>
    <x v="0"/>
    <x v="2"/>
    <n v="3023.6666666666665"/>
  </r>
  <r>
    <n v="31"/>
    <x v="1"/>
    <x v="1"/>
    <n v="9"/>
    <n v="1"/>
    <s v="Life Sciences"/>
    <n v="3"/>
    <x v="1"/>
    <n v="3"/>
    <n v="3"/>
    <x v="3"/>
    <x v="1"/>
    <s v="Divorced"/>
    <n v="10648"/>
    <n v="1"/>
    <x v="1"/>
    <n v="25"/>
    <n v="4"/>
    <n v="1"/>
    <n v="13"/>
    <n v="6"/>
    <x v="3"/>
    <n v="13"/>
    <n v="8"/>
    <n v="0"/>
    <n v="8"/>
    <n v="0"/>
    <x v="2"/>
    <x v="2"/>
    <x v="3"/>
    <n v="819.07692307692309"/>
  </r>
  <r>
    <n v="33"/>
    <x v="0"/>
    <x v="1"/>
    <n v="15"/>
    <n v="1"/>
    <s v="Medical"/>
    <n v="2"/>
    <x v="1"/>
    <n v="3"/>
    <n v="3"/>
    <x v="5"/>
    <x v="2"/>
    <s v="Married"/>
    <n v="13610"/>
    <n v="7"/>
    <x v="0"/>
    <n v="12"/>
    <n v="4"/>
    <n v="0"/>
    <n v="15"/>
    <n v="2"/>
    <x v="3"/>
    <n v="7"/>
    <n v="6"/>
    <n v="7"/>
    <n v="7"/>
    <n v="1"/>
    <x v="2"/>
    <x v="2"/>
    <x v="0"/>
    <n v="1944.2857142857142"/>
  </r>
  <r>
    <n v="33"/>
    <x v="0"/>
    <x v="1"/>
    <n v="10"/>
    <n v="1"/>
    <s v="Medical"/>
    <n v="1"/>
    <x v="1"/>
    <n v="1"/>
    <n v="1"/>
    <x v="2"/>
    <x v="0"/>
    <s v="Divorced"/>
    <n v="3408"/>
    <n v="7"/>
    <x v="1"/>
    <n v="13"/>
    <n v="1"/>
    <n v="3"/>
    <n v="8"/>
    <n v="2"/>
    <x v="1"/>
    <n v="4"/>
    <n v="3"/>
    <n v="1"/>
    <n v="3"/>
    <n v="1"/>
    <x v="2"/>
    <x v="1"/>
    <x v="2"/>
    <n v="852"/>
  </r>
  <r>
    <n v="30"/>
    <x v="1"/>
    <x v="0"/>
    <n v="7"/>
    <n v="1"/>
    <s v="Marketing"/>
    <n v="4"/>
    <x v="1"/>
    <n v="3"/>
    <n v="1"/>
    <x v="6"/>
    <x v="1"/>
    <s v="Single"/>
    <n v="2983"/>
    <n v="0"/>
    <x v="1"/>
    <n v="14"/>
    <n v="1"/>
    <n v="0"/>
    <n v="4"/>
    <n v="3"/>
    <x v="1"/>
    <n v="3"/>
    <n v="2"/>
    <n v="1"/>
    <n v="2"/>
    <n v="0"/>
    <x v="2"/>
    <x v="1"/>
    <x v="2"/>
    <n v="994.33333333333337"/>
  </r>
  <r>
    <n v="35"/>
    <x v="1"/>
    <x v="1"/>
    <n v="16"/>
    <n v="3"/>
    <s v="Life Sciences"/>
    <n v="4"/>
    <x v="1"/>
    <n v="3"/>
    <n v="3"/>
    <x v="4"/>
    <x v="2"/>
    <s v="Married"/>
    <n v="7632"/>
    <n v="4"/>
    <x v="0"/>
    <n v="12"/>
    <n v="3"/>
    <n v="0"/>
    <n v="10"/>
    <n v="2"/>
    <x v="1"/>
    <n v="8"/>
    <n v="7"/>
    <n v="0"/>
    <n v="0"/>
    <n v="0"/>
    <x v="2"/>
    <x v="0"/>
    <x v="0"/>
    <n v="954"/>
  </r>
  <r>
    <n v="31"/>
    <x v="0"/>
    <x v="1"/>
    <n v="20"/>
    <n v="3"/>
    <s v="Life Sciences"/>
    <n v="1"/>
    <x v="1"/>
    <n v="3"/>
    <n v="3"/>
    <x v="4"/>
    <x v="2"/>
    <s v="Married"/>
    <n v="9824"/>
    <n v="3"/>
    <x v="1"/>
    <n v="12"/>
    <n v="1"/>
    <n v="0"/>
    <n v="12"/>
    <n v="2"/>
    <x v="1"/>
    <n v="1"/>
    <n v="0"/>
    <n v="0"/>
    <n v="0"/>
    <n v="1"/>
    <x v="2"/>
    <x v="0"/>
    <x v="1"/>
    <n v="9824"/>
  </r>
  <r>
    <n v="34"/>
    <x v="0"/>
    <x v="2"/>
    <n v="23"/>
    <n v="3"/>
    <s v="Human Resources"/>
    <n v="2"/>
    <x v="0"/>
    <n v="3"/>
    <n v="3"/>
    <x v="8"/>
    <x v="3"/>
    <s v="Divorced"/>
    <n v="9950"/>
    <n v="9"/>
    <x v="0"/>
    <n v="15"/>
    <n v="3"/>
    <n v="3"/>
    <n v="11"/>
    <n v="2"/>
    <x v="1"/>
    <n v="3"/>
    <n v="2"/>
    <n v="0"/>
    <n v="2"/>
    <n v="1"/>
    <x v="2"/>
    <x v="0"/>
    <x v="2"/>
    <n v="3316.6666666666665"/>
  </r>
  <r>
    <n v="42"/>
    <x v="1"/>
    <x v="1"/>
    <n v="5"/>
    <n v="2"/>
    <s v="Other"/>
    <n v="2"/>
    <x v="1"/>
    <n v="3"/>
    <n v="1"/>
    <x v="2"/>
    <x v="2"/>
    <s v="Married"/>
    <n v="2093"/>
    <n v="4"/>
    <x v="1"/>
    <n v="17"/>
    <n v="4"/>
    <n v="1"/>
    <n v="8"/>
    <n v="4"/>
    <x v="1"/>
    <n v="2"/>
    <n v="2"/>
    <n v="2"/>
    <n v="0"/>
    <n v="0"/>
    <x v="0"/>
    <x v="1"/>
    <x v="1"/>
    <n v="1046.5"/>
  </r>
  <r>
    <n v="36"/>
    <x v="1"/>
    <x v="0"/>
    <n v="10"/>
    <n v="4"/>
    <s v="Medical"/>
    <n v="2"/>
    <x v="1"/>
    <n v="3"/>
    <n v="3"/>
    <x v="0"/>
    <x v="0"/>
    <s v="Single"/>
    <n v="9980"/>
    <n v="1"/>
    <x v="1"/>
    <n v="14"/>
    <n v="4"/>
    <n v="0"/>
    <n v="10"/>
    <n v="3"/>
    <x v="2"/>
    <n v="10"/>
    <n v="3"/>
    <n v="9"/>
    <n v="7"/>
    <n v="0"/>
    <x v="0"/>
    <x v="0"/>
    <x v="0"/>
    <n v="998"/>
  </r>
  <r>
    <n v="22"/>
    <x v="0"/>
    <x v="1"/>
    <n v="4"/>
    <n v="1"/>
    <s v="Technical Degree"/>
    <n v="3"/>
    <x v="1"/>
    <n v="2"/>
    <n v="1"/>
    <x v="2"/>
    <x v="2"/>
    <s v="Single"/>
    <n v="3894"/>
    <n v="5"/>
    <x v="1"/>
    <n v="16"/>
    <n v="3"/>
    <n v="0"/>
    <n v="4"/>
    <n v="3"/>
    <x v="1"/>
    <n v="2"/>
    <n v="2"/>
    <n v="1"/>
    <n v="2"/>
    <n v="1"/>
    <x v="3"/>
    <x v="1"/>
    <x v="1"/>
    <n v="1947"/>
  </r>
  <r>
    <n v="48"/>
    <x v="1"/>
    <x v="0"/>
    <n v="2"/>
    <n v="5"/>
    <s v="Marketing"/>
    <n v="2"/>
    <x v="0"/>
    <n v="3"/>
    <n v="2"/>
    <x v="0"/>
    <x v="0"/>
    <s v="Married"/>
    <n v="4051"/>
    <n v="2"/>
    <x v="1"/>
    <n v="14"/>
    <n v="1"/>
    <n v="1"/>
    <n v="14"/>
    <n v="2"/>
    <x v="1"/>
    <n v="9"/>
    <n v="7"/>
    <n v="6"/>
    <n v="7"/>
    <n v="0"/>
    <x v="1"/>
    <x v="0"/>
    <x v="0"/>
    <n v="450.11111111111109"/>
  </r>
  <r>
    <n v="55"/>
    <x v="1"/>
    <x v="0"/>
    <n v="18"/>
    <n v="5"/>
    <s v="Life Sciences"/>
    <n v="1"/>
    <x v="0"/>
    <n v="3"/>
    <n v="4"/>
    <x v="5"/>
    <x v="1"/>
    <s v="Single"/>
    <n v="16835"/>
    <n v="3"/>
    <x v="1"/>
    <n v="23"/>
    <n v="4"/>
    <n v="0"/>
    <n v="37"/>
    <n v="2"/>
    <x v="1"/>
    <n v="10"/>
    <n v="9"/>
    <n v="7"/>
    <n v="7"/>
    <n v="0"/>
    <x v="1"/>
    <x v="2"/>
    <x v="0"/>
    <n v="1683.5"/>
  </r>
  <r>
    <n v="41"/>
    <x v="1"/>
    <x v="0"/>
    <n v="10"/>
    <n v="2"/>
    <s v="Life Sciences"/>
    <n v="4"/>
    <x v="1"/>
    <n v="3"/>
    <n v="2"/>
    <x v="0"/>
    <x v="0"/>
    <s v="Single"/>
    <n v="6230"/>
    <n v="7"/>
    <x v="1"/>
    <n v="14"/>
    <n v="4"/>
    <n v="0"/>
    <n v="16"/>
    <n v="3"/>
    <x v="1"/>
    <n v="14"/>
    <n v="3"/>
    <n v="1"/>
    <n v="10"/>
    <n v="0"/>
    <x v="0"/>
    <x v="0"/>
    <x v="3"/>
    <n v="445"/>
  </r>
  <r>
    <n v="35"/>
    <x v="1"/>
    <x v="0"/>
    <n v="1"/>
    <n v="3"/>
    <s v="Marketing"/>
    <n v="2"/>
    <x v="1"/>
    <n v="3"/>
    <n v="2"/>
    <x v="0"/>
    <x v="2"/>
    <s v="Married"/>
    <n v="4717"/>
    <n v="9"/>
    <x v="1"/>
    <n v="11"/>
    <n v="3"/>
    <n v="0"/>
    <n v="15"/>
    <n v="2"/>
    <x v="1"/>
    <n v="11"/>
    <n v="9"/>
    <n v="6"/>
    <n v="9"/>
    <n v="0"/>
    <x v="2"/>
    <x v="0"/>
    <x v="3"/>
    <n v="428.81818181818181"/>
  </r>
  <r>
    <n v="40"/>
    <x v="1"/>
    <x v="1"/>
    <n v="6"/>
    <n v="3"/>
    <s v="Life Sciences"/>
    <n v="2"/>
    <x v="0"/>
    <n v="3"/>
    <n v="4"/>
    <x v="3"/>
    <x v="2"/>
    <s v="Single"/>
    <n v="13237"/>
    <n v="7"/>
    <x v="1"/>
    <n v="15"/>
    <n v="3"/>
    <n v="0"/>
    <n v="22"/>
    <n v="3"/>
    <x v="1"/>
    <n v="20"/>
    <n v="6"/>
    <n v="5"/>
    <n v="13"/>
    <n v="0"/>
    <x v="0"/>
    <x v="2"/>
    <x v="3"/>
    <n v="661.85"/>
  </r>
  <r>
    <n v="39"/>
    <x v="1"/>
    <x v="1"/>
    <n v="8"/>
    <n v="1"/>
    <s v="Life Sciences"/>
    <n v="3"/>
    <x v="0"/>
    <n v="3"/>
    <n v="1"/>
    <x v="2"/>
    <x v="2"/>
    <s v="Married"/>
    <n v="3755"/>
    <n v="1"/>
    <x v="1"/>
    <n v="11"/>
    <n v="1"/>
    <n v="1"/>
    <n v="8"/>
    <n v="3"/>
    <x v="1"/>
    <n v="8"/>
    <n v="3"/>
    <n v="0"/>
    <n v="7"/>
    <n v="0"/>
    <x v="0"/>
    <x v="1"/>
    <x v="0"/>
    <n v="469.375"/>
  </r>
  <r>
    <n v="31"/>
    <x v="1"/>
    <x v="0"/>
    <n v="2"/>
    <n v="1"/>
    <s v="Life Sciences"/>
    <n v="2"/>
    <x v="1"/>
    <n v="3"/>
    <n v="2"/>
    <x v="0"/>
    <x v="0"/>
    <s v="Single"/>
    <n v="6582"/>
    <n v="4"/>
    <x v="0"/>
    <n v="13"/>
    <n v="3"/>
    <n v="0"/>
    <n v="10"/>
    <n v="2"/>
    <x v="3"/>
    <n v="6"/>
    <n v="5"/>
    <n v="0"/>
    <n v="5"/>
    <n v="0"/>
    <x v="2"/>
    <x v="0"/>
    <x v="0"/>
    <n v="1097"/>
  </r>
  <r>
    <n v="42"/>
    <x v="1"/>
    <x v="1"/>
    <n v="24"/>
    <n v="3"/>
    <s v="Medical"/>
    <n v="4"/>
    <x v="1"/>
    <n v="3"/>
    <n v="3"/>
    <x v="3"/>
    <x v="3"/>
    <s v="Married"/>
    <n v="7406"/>
    <n v="1"/>
    <x v="0"/>
    <n v="21"/>
    <n v="4"/>
    <n v="1"/>
    <n v="10"/>
    <n v="5"/>
    <x v="2"/>
    <n v="10"/>
    <n v="9"/>
    <n v="5"/>
    <n v="8"/>
    <n v="0"/>
    <x v="0"/>
    <x v="0"/>
    <x v="0"/>
    <n v="740.6"/>
  </r>
  <r>
    <n v="45"/>
    <x v="1"/>
    <x v="0"/>
    <n v="2"/>
    <n v="3"/>
    <s v="Other"/>
    <n v="4"/>
    <x v="1"/>
    <n v="3"/>
    <n v="2"/>
    <x v="0"/>
    <x v="1"/>
    <s v="Married"/>
    <n v="4805"/>
    <n v="0"/>
    <x v="1"/>
    <n v="19"/>
    <n v="2"/>
    <n v="1"/>
    <n v="9"/>
    <n v="3"/>
    <x v="3"/>
    <n v="8"/>
    <n v="7"/>
    <n v="3"/>
    <n v="7"/>
    <n v="0"/>
    <x v="0"/>
    <x v="0"/>
    <x v="0"/>
    <n v="600.625"/>
  </r>
  <r>
    <n v="26"/>
    <x v="0"/>
    <x v="2"/>
    <n v="17"/>
    <n v="4"/>
    <s v="Life Sciences"/>
    <n v="2"/>
    <x v="0"/>
    <n v="3"/>
    <n v="1"/>
    <x v="8"/>
    <x v="2"/>
    <s v="Divorced"/>
    <n v="2741"/>
    <n v="0"/>
    <x v="0"/>
    <n v="11"/>
    <n v="2"/>
    <n v="1"/>
    <n v="8"/>
    <n v="2"/>
    <x v="2"/>
    <n v="7"/>
    <n v="7"/>
    <n v="1"/>
    <n v="0"/>
    <n v="1"/>
    <x v="2"/>
    <x v="1"/>
    <x v="0"/>
    <n v="391.57142857142856"/>
  </r>
  <r>
    <n v="29"/>
    <x v="1"/>
    <x v="1"/>
    <n v="19"/>
    <n v="3"/>
    <s v="Technical Degree"/>
    <n v="4"/>
    <x v="1"/>
    <n v="3"/>
    <n v="2"/>
    <x v="3"/>
    <x v="0"/>
    <s v="Divorced"/>
    <n v="4262"/>
    <n v="4"/>
    <x v="1"/>
    <n v="12"/>
    <n v="2"/>
    <n v="2"/>
    <n v="8"/>
    <n v="2"/>
    <x v="3"/>
    <n v="3"/>
    <n v="2"/>
    <n v="1"/>
    <n v="2"/>
    <n v="0"/>
    <x v="2"/>
    <x v="0"/>
    <x v="2"/>
    <n v="1420.6666666666667"/>
  </r>
  <r>
    <n v="33"/>
    <x v="1"/>
    <x v="1"/>
    <n v="1"/>
    <n v="5"/>
    <s v="Medical"/>
    <n v="1"/>
    <x v="0"/>
    <n v="4"/>
    <n v="4"/>
    <x v="7"/>
    <x v="2"/>
    <s v="Divorced"/>
    <n v="16184"/>
    <n v="4"/>
    <x v="1"/>
    <n v="19"/>
    <n v="3"/>
    <n v="1"/>
    <n v="10"/>
    <n v="2"/>
    <x v="1"/>
    <n v="6"/>
    <n v="1"/>
    <n v="0"/>
    <n v="5"/>
    <n v="0"/>
    <x v="2"/>
    <x v="2"/>
    <x v="0"/>
    <n v="2697.3333333333335"/>
  </r>
  <r>
    <n v="31"/>
    <x v="1"/>
    <x v="0"/>
    <n v="7"/>
    <n v="3"/>
    <s v="Life Sciences"/>
    <n v="3"/>
    <x v="1"/>
    <n v="2"/>
    <n v="3"/>
    <x v="5"/>
    <x v="0"/>
    <s v="Divorced"/>
    <n v="11557"/>
    <n v="9"/>
    <x v="1"/>
    <n v="21"/>
    <n v="3"/>
    <n v="1"/>
    <n v="10"/>
    <n v="3"/>
    <x v="2"/>
    <n v="5"/>
    <n v="4"/>
    <n v="0"/>
    <n v="1"/>
    <n v="0"/>
    <x v="2"/>
    <x v="2"/>
    <x v="2"/>
    <n v="2311.4"/>
  </r>
  <r>
    <n v="18"/>
    <x v="0"/>
    <x v="0"/>
    <n v="5"/>
    <n v="3"/>
    <s v="Marketing"/>
    <n v="2"/>
    <x v="1"/>
    <n v="3"/>
    <n v="1"/>
    <x v="6"/>
    <x v="1"/>
    <s v="Single"/>
    <n v="1878"/>
    <n v="1"/>
    <x v="0"/>
    <n v="14"/>
    <n v="4"/>
    <n v="0"/>
    <n v="0"/>
    <n v="3"/>
    <x v="1"/>
    <n v="0"/>
    <n v="0"/>
    <n v="0"/>
    <n v="0"/>
    <n v="1"/>
    <x v="3"/>
    <x v="1"/>
    <x v="1"/>
    <n v="1878"/>
  </r>
  <r>
    <n v="40"/>
    <x v="1"/>
    <x v="0"/>
    <n v="28"/>
    <n v="3"/>
    <s v="Other"/>
    <n v="3"/>
    <x v="1"/>
    <n v="1"/>
    <n v="3"/>
    <x v="0"/>
    <x v="3"/>
    <s v="Divorced"/>
    <n v="10932"/>
    <n v="3"/>
    <x v="1"/>
    <n v="15"/>
    <n v="3"/>
    <n v="1"/>
    <n v="20"/>
    <n v="2"/>
    <x v="1"/>
    <n v="1"/>
    <n v="0"/>
    <n v="0"/>
    <n v="1"/>
    <n v="0"/>
    <x v="0"/>
    <x v="2"/>
    <x v="1"/>
    <n v="10932"/>
  </r>
  <r>
    <n v="41"/>
    <x v="1"/>
    <x v="1"/>
    <n v="2"/>
    <n v="4"/>
    <s v="Other"/>
    <n v="1"/>
    <x v="0"/>
    <n v="2"/>
    <n v="2"/>
    <x v="4"/>
    <x v="2"/>
    <s v="Single"/>
    <n v="6811"/>
    <n v="2"/>
    <x v="0"/>
    <n v="17"/>
    <n v="1"/>
    <n v="0"/>
    <n v="10"/>
    <n v="3"/>
    <x v="1"/>
    <n v="8"/>
    <n v="7"/>
    <n v="0"/>
    <n v="7"/>
    <n v="0"/>
    <x v="0"/>
    <x v="0"/>
    <x v="0"/>
    <n v="851.375"/>
  </r>
  <r>
    <n v="26"/>
    <x v="1"/>
    <x v="0"/>
    <n v="29"/>
    <n v="2"/>
    <s v="Medical"/>
    <n v="1"/>
    <x v="1"/>
    <n v="3"/>
    <n v="2"/>
    <x v="0"/>
    <x v="2"/>
    <s v="Divorced"/>
    <n v="4306"/>
    <n v="5"/>
    <x v="1"/>
    <n v="12"/>
    <n v="1"/>
    <n v="2"/>
    <n v="8"/>
    <n v="5"/>
    <x v="1"/>
    <n v="0"/>
    <n v="0"/>
    <n v="0"/>
    <n v="0"/>
    <n v="0"/>
    <x v="2"/>
    <x v="0"/>
    <x v="1"/>
    <n v="4306"/>
  </r>
  <r>
    <n v="35"/>
    <x v="1"/>
    <x v="0"/>
    <n v="1"/>
    <n v="3"/>
    <s v="Medical"/>
    <n v="1"/>
    <x v="0"/>
    <n v="3"/>
    <n v="2"/>
    <x v="0"/>
    <x v="2"/>
    <s v="Single"/>
    <n v="4859"/>
    <n v="1"/>
    <x v="1"/>
    <n v="16"/>
    <n v="4"/>
    <n v="0"/>
    <n v="5"/>
    <n v="3"/>
    <x v="1"/>
    <n v="5"/>
    <n v="4"/>
    <n v="0"/>
    <n v="3"/>
    <n v="0"/>
    <x v="2"/>
    <x v="0"/>
    <x v="2"/>
    <n v="971.8"/>
  </r>
  <r>
    <n v="34"/>
    <x v="1"/>
    <x v="0"/>
    <n v="21"/>
    <n v="4"/>
    <s v="Life Sciences"/>
    <n v="4"/>
    <x v="1"/>
    <n v="4"/>
    <n v="2"/>
    <x v="0"/>
    <x v="0"/>
    <s v="Single"/>
    <n v="5337"/>
    <n v="1"/>
    <x v="1"/>
    <n v="12"/>
    <n v="4"/>
    <n v="0"/>
    <n v="10"/>
    <n v="3"/>
    <x v="1"/>
    <n v="10"/>
    <n v="7"/>
    <n v="5"/>
    <n v="7"/>
    <n v="0"/>
    <x v="2"/>
    <x v="0"/>
    <x v="0"/>
    <n v="533.70000000000005"/>
  </r>
  <r>
    <n v="26"/>
    <x v="0"/>
    <x v="1"/>
    <n v="24"/>
    <n v="3"/>
    <s v="Technical Degree"/>
    <n v="3"/>
    <x v="1"/>
    <n v="1"/>
    <n v="1"/>
    <x v="2"/>
    <x v="0"/>
    <s v="Single"/>
    <n v="2340"/>
    <n v="1"/>
    <x v="0"/>
    <n v="18"/>
    <n v="2"/>
    <n v="0"/>
    <n v="1"/>
    <n v="3"/>
    <x v="0"/>
    <n v="1"/>
    <n v="0"/>
    <n v="0"/>
    <n v="0"/>
    <n v="1"/>
    <x v="2"/>
    <x v="1"/>
    <x v="1"/>
    <n v="2340"/>
  </r>
  <r>
    <n v="37"/>
    <x v="1"/>
    <x v="1"/>
    <n v="1"/>
    <n v="3"/>
    <s v="Technical Degree"/>
    <n v="2"/>
    <x v="0"/>
    <n v="3"/>
    <n v="3"/>
    <x v="3"/>
    <x v="0"/>
    <s v="Single"/>
    <n v="7491"/>
    <n v="4"/>
    <x v="1"/>
    <n v="17"/>
    <n v="4"/>
    <n v="0"/>
    <n v="12"/>
    <n v="3"/>
    <x v="3"/>
    <n v="6"/>
    <n v="5"/>
    <n v="1"/>
    <n v="2"/>
    <n v="0"/>
    <x v="0"/>
    <x v="0"/>
    <x v="0"/>
    <n v="1248.5"/>
  </r>
  <r>
    <n v="46"/>
    <x v="1"/>
    <x v="1"/>
    <n v="18"/>
    <n v="1"/>
    <s v="Medical"/>
    <n v="1"/>
    <x v="0"/>
    <n v="3"/>
    <n v="3"/>
    <x v="4"/>
    <x v="2"/>
    <s v="Married"/>
    <n v="10527"/>
    <n v="5"/>
    <x v="1"/>
    <n v="11"/>
    <n v="4"/>
    <n v="0"/>
    <n v="28"/>
    <n v="3"/>
    <x v="2"/>
    <n v="2"/>
    <n v="2"/>
    <n v="1"/>
    <n v="2"/>
    <n v="0"/>
    <x v="1"/>
    <x v="2"/>
    <x v="1"/>
    <n v="5263.5"/>
  </r>
  <r>
    <n v="41"/>
    <x v="1"/>
    <x v="0"/>
    <n v="2"/>
    <n v="5"/>
    <s v="Life Sciences"/>
    <n v="2"/>
    <x v="0"/>
    <n v="3"/>
    <n v="4"/>
    <x v="5"/>
    <x v="3"/>
    <s v="Married"/>
    <n v="16595"/>
    <n v="7"/>
    <x v="1"/>
    <n v="16"/>
    <n v="2"/>
    <n v="1"/>
    <n v="22"/>
    <n v="2"/>
    <x v="1"/>
    <n v="18"/>
    <n v="16"/>
    <n v="11"/>
    <n v="8"/>
    <n v="0"/>
    <x v="0"/>
    <x v="2"/>
    <x v="3"/>
    <n v="921.94444444444446"/>
  </r>
  <r>
    <n v="37"/>
    <x v="1"/>
    <x v="0"/>
    <n v="9"/>
    <n v="4"/>
    <s v="Medical"/>
    <n v="1"/>
    <x v="1"/>
    <n v="3"/>
    <n v="3"/>
    <x v="0"/>
    <x v="1"/>
    <s v="Divorced"/>
    <n v="8834"/>
    <n v="1"/>
    <x v="1"/>
    <n v="13"/>
    <n v="4"/>
    <n v="1"/>
    <n v="9"/>
    <n v="6"/>
    <x v="1"/>
    <n v="9"/>
    <n v="5"/>
    <n v="7"/>
    <n v="7"/>
    <n v="0"/>
    <x v="0"/>
    <x v="0"/>
    <x v="0"/>
    <n v="981.55555555555554"/>
  </r>
  <r>
    <n v="52"/>
    <x v="1"/>
    <x v="1"/>
    <n v="6"/>
    <n v="2"/>
    <s v="Technical Degree"/>
    <n v="4"/>
    <x v="1"/>
    <n v="3"/>
    <n v="2"/>
    <x v="1"/>
    <x v="3"/>
    <s v="Divorced"/>
    <n v="5577"/>
    <n v="3"/>
    <x v="0"/>
    <n v="12"/>
    <n v="2"/>
    <n v="2"/>
    <n v="18"/>
    <n v="3"/>
    <x v="1"/>
    <n v="10"/>
    <n v="9"/>
    <n v="6"/>
    <n v="9"/>
    <n v="0"/>
    <x v="1"/>
    <x v="0"/>
    <x v="0"/>
    <n v="557.70000000000005"/>
  </r>
  <r>
    <n v="32"/>
    <x v="0"/>
    <x v="0"/>
    <n v="11"/>
    <n v="4"/>
    <s v="Other"/>
    <n v="4"/>
    <x v="1"/>
    <n v="4"/>
    <n v="2"/>
    <x v="0"/>
    <x v="2"/>
    <s v="Married"/>
    <n v="4707"/>
    <n v="8"/>
    <x v="1"/>
    <n v="12"/>
    <n v="4"/>
    <n v="0"/>
    <n v="6"/>
    <n v="2"/>
    <x v="1"/>
    <n v="4"/>
    <n v="2"/>
    <n v="1"/>
    <n v="2"/>
    <n v="1"/>
    <x v="2"/>
    <x v="0"/>
    <x v="2"/>
    <n v="1176.75"/>
  </r>
  <r>
    <n v="24"/>
    <x v="1"/>
    <x v="0"/>
    <n v="24"/>
    <n v="3"/>
    <s v="Medical"/>
    <n v="4"/>
    <x v="1"/>
    <n v="3"/>
    <n v="1"/>
    <x v="6"/>
    <x v="0"/>
    <s v="Married"/>
    <n v="2400"/>
    <n v="0"/>
    <x v="1"/>
    <n v="13"/>
    <n v="3"/>
    <n v="2"/>
    <n v="3"/>
    <n v="3"/>
    <x v="1"/>
    <n v="2"/>
    <n v="2"/>
    <n v="2"/>
    <n v="1"/>
    <n v="0"/>
    <x v="3"/>
    <x v="1"/>
    <x v="1"/>
    <n v="1200"/>
  </r>
  <r>
    <n v="38"/>
    <x v="1"/>
    <x v="1"/>
    <n v="10"/>
    <n v="3"/>
    <s v="Medical"/>
    <n v="3"/>
    <x v="0"/>
    <n v="3"/>
    <n v="2"/>
    <x v="4"/>
    <x v="2"/>
    <s v="Married"/>
    <n v="9824"/>
    <n v="3"/>
    <x v="1"/>
    <n v="19"/>
    <n v="3"/>
    <n v="1"/>
    <n v="18"/>
    <n v="4"/>
    <x v="1"/>
    <n v="1"/>
    <n v="0"/>
    <n v="0"/>
    <n v="0"/>
    <n v="0"/>
    <x v="0"/>
    <x v="0"/>
    <x v="1"/>
    <n v="9824"/>
  </r>
  <r>
    <n v="37"/>
    <x v="1"/>
    <x v="1"/>
    <n v="1"/>
    <n v="4"/>
    <s v="Life Sciences"/>
    <n v="2"/>
    <x v="0"/>
    <n v="3"/>
    <n v="2"/>
    <x v="3"/>
    <x v="1"/>
    <s v="Married"/>
    <n v="6447"/>
    <n v="6"/>
    <x v="1"/>
    <n v="12"/>
    <n v="2"/>
    <n v="1"/>
    <n v="8"/>
    <n v="2"/>
    <x v="2"/>
    <n v="6"/>
    <n v="5"/>
    <n v="4"/>
    <n v="3"/>
    <n v="0"/>
    <x v="0"/>
    <x v="0"/>
    <x v="0"/>
    <n v="1074.5"/>
  </r>
  <r>
    <n v="49"/>
    <x v="1"/>
    <x v="1"/>
    <n v="18"/>
    <n v="4"/>
    <s v="Life Sciences"/>
    <n v="4"/>
    <x v="1"/>
    <n v="2"/>
    <n v="5"/>
    <x v="7"/>
    <x v="2"/>
    <s v="Divorced"/>
    <n v="19502"/>
    <n v="1"/>
    <x v="0"/>
    <n v="17"/>
    <n v="3"/>
    <n v="1"/>
    <n v="31"/>
    <n v="5"/>
    <x v="1"/>
    <n v="31"/>
    <n v="9"/>
    <n v="0"/>
    <n v="9"/>
    <n v="0"/>
    <x v="1"/>
    <x v="2"/>
    <x v="3"/>
    <n v="629.09677419354841"/>
  </r>
  <r>
    <n v="24"/>
    <x v="1"/>
    <x v="1"/>
    <n v="23"/>
    <n v="3"/>
    <s v="Medical"/>
    <n v="2"/>
    <x v="1"/>
    <n v="4"/>
    <n v="1"/>
    <x v="1"/>
    <x v="0"/>
    <s v="Married"/>
    <n v="2725"/>
    <n v="1"/>
    <x v="0"/>
    <n v="11"/>
    <n v="2"/>
    <n v="2"/>
    <n v="6"/>
    <n v="3"/>
    <x v="1"/>
    <n v="6"/>
    <n v="5"/>
    <n v="1"/>
    <n v="4"/>
    <n v="0"/>
    <x v="3"/>
    <x v="1"/>
    <x v="0"/>
    <n v="454.16666666666669"/>
  </r>
  <r>
    <n v="26"/>
    <x v="1"/>
    <x v="0"/>
    <n v="28"/>
    <n v="2"/>
    <s v="Marketing"/>
    <n v="1"/>
    <x v="1"/>
    <n v="3"/>
    <n v="2"/>
    <x v="0"/>
    <x v="1"/>
    <s v="Married"/>
    <n v="6272"/>
    <n v="1"/>
    <x v="1"/>
    <n v="20"/>
    <n v="4"/>
    <n v="2"/>
    <n v="6"/>
    <n v="5"/>
    <x v="3"/>
    <n v="5"/>
    <n v="3"/>
    <n v="1"/>
    <n v="4"/>
    <n v="0"/>
    <x v="2"/>
    <x v="0"/>
    <x v="2"/>
    <n v="1254.4000000000001"/>
  </r>
  <r>
    <n v="24"/>
    <x v="1"/>
    <x v="1"/>
    <n v="17"/>
    <n v="2"/>
    <s v="Other"/>
    <n v="4"/>
    <x v="1"/>
    <n v="2"/>
    <n v="1"/>
    <x v="2"/>
    <x v="1"/>
    <s v="Married"/>
    <n v="2127"/>
    <n v="1"/>
    <x v="1"/>
    <n v="21"/>
    <n v="4"/>
    <n v="1"/>
    <n v="1"/>
    <n v="2"/>
    <x v="1"/>
    <n v="1"/>
    <n v="0"/>
    <n v="0"/>
    <n v="0"/>
    <n v="0"/>
    <x v="3"/>
    <x v="1"/>
    <x v="1"/>
    <n v="2127"/>
  </r>
  <r>
    <n v="50"/>
    <x v="1"/>
    <x v="2"/>
    <n v="3"/>
    <n v="3"/>
    <s v="Medical"/>
    <n v="1"/>
    <x v="1"/>
    <n v="3"/>
    <n v="5"/>
    <x v="5"/>
    <x v="1"/>
    <s v="Married"/>
    <n v="18200"/>
    <n v="1"/>
    <x v="1"/>
    <n v="11"/>
    <n v="3"/>
    <n v="1"/>
    <n v="32"/>
    <n v="2"/>
    <x v="1"/>
    <n v="32"/>
    <n v="5"/>
    <n v="10"/>
    <n v="7"/>
    <n v="0"/>
    <x v="1"/>
    <x v="2"/>
    <x v="3"/>
    <n v="568.75"/>
  </r>
  <r>
    <n v="25"/>
    <x v="1"/>
    <x v="0"/>
    <n v="13"/>
    <n v="1"/>
    <s v="Medical"/>
    <n v="2"/>
    <x v="1"/>
    <n v="3"/>
    <n v="1"/>
    <x v="6"/>
    <x v="2"/>
    <s v="Married"/>
    <n v="2096"/>
    <n v="1"/>
    <x v="1"/>
    <n v="11"/>
    <n v="3"/>
    <n v="0"/>
    <n v="7"/>
    <n v="1"/>
    <x v="1"/>
    <n v="7"/>
    <n v="4"/>
    <n v="0"/>
    <n v="6"/>
    <n v="0"/>
    <x v="3"/>
    <x v="1"/>
    <x v="0"/>
    <n v="299.42857142857144"/>
  </r>
  <r>
    <n v="24"/>
    <x v="0"/>
    <x v="1"/>
    <n v="7"/>
    <n v="3"/>
    <s v="Life Sciences"/>
    <n v="1"/>
    <x v="0"/>
    <n v="3"/>
    <n v="1"/>
    <x v="2"/>
    <x v="2"/>
    <s v="Married"/>
    <n v="2886"/>
    <n v="1"/>
    <x v="0"/>
    <n v="16"/>
    <n v="4"/>
    <n v="1"/>
    <n v="6"/>
    <n v="4"/>
    <x v="1"/>
    <n v="6"/>
    <n v="3"/>
    <n v="1"/>
    <n v="2"/>
    <n v="1"/>
    <x v="3"/>
    <x v="1"/>
    <x v="0"/>
    <n v="481"/>
  </r>
  <r>
    <n v="30"/>
    <x v="0"/>
    <x v="0"/>
    <n v="12"/>
    <n v="4"/>
    <s v="Life Sciences"/>
    <n v="2"/>
    <x v="1"/>
    <n v="2"/>
    <n v="1"/>
    <x v="6"/>
    <x v="3"/>
    <s v="Married"/>
    <n v="2033"/>
    <n v="1"/>
    <x v="1"/>
    <n v="18"/>
    <n v="3"/>
    <n v="1"/>
    <n v="1"/>
    <n v="2"/>
    <x v="3"/>
    <n v="1"/>
    <n v="0"/>
    <n v="0"/>
    <n v="0"/>
    <n v="1"/>
    <x v="2"/>
    <x v="1"/>
    <x v="1"/>
    <n v="2033"/>
  </r>
  <r>
    <n v="34"/>
    <x v="1"/>
    <x v="1"/>
    <n v="1"/>
    <n v="2"/>
    <s v="Life Sciences"/>
    <n v="2"/>
    <x v="1"/>
    <n v="2"/>
    <n v="1"/>
    <x v="1"/>
    <x v="0"/>
    <s v="Married"/>
    <n v="3622"/>
    <n v="1"/>
    <x v="0"/>
    <n v="13"/>
    <n v="4"/>
    <n v="1"/>
    <n v="6"/>
    <n v="3"/>
    <x v="1"/>
    <n v="6"/>
    <n v="5"/>
    <n v="1"/>
    <n v="3"/>
    <n v="0"/>
    <x v="2"/>
    <x v="1"/>
    <x v="0"/>
    <n v="603.66666666666663"/>
  </r>
  <r>
    <n v="31"/>
    <x v="0"/>
    <x v="0"/>
    <n v="13"/>
    <n v="4"/>
    <s v="Medical"/>
    <n v="2"/>
    <x v="1"/>
    <n v="3"/>
    <n v="2"/>
    <x v="0"/>
    <x v="3"/>
    <s v="Divorced"/>
    <n v="4233"/>
    <n v="2"/>
    <x v="1"/>
    <n v="17"/>
    <n v="3"/>
    <n v="0"/>
    <n v="9"/>
    <n v="2"/>
    <x v="0"/>
    <n v="3"/>
    <n v="1"/>
    <n v="1"/>
    <n v="2"/>
    <n v="1"/>
    <x v="2"/>
    <x v="0"/>
    <x v="2"/>
    <n v="1411"/>
  </r>
  <r>
    <n v="35"/>
    <x v="1"/>
    <x v="1"/>
    <n v="25"/>
    <n v="2"/>
    <s v="Other"/>
    <n v="1"/>
    <x v="1"/>
    <n v="2"/>
    <n v="2"/>
    <x v="2"/>
    <x v="0"/>
    <s v="Single"/>
    <n v="3681"/>
    <n v="4"/>
    <x v="1"/>
    <n v="14"/>
    <n v="4"/>
    <n v="0"/>
    <n v="9"/>
    <n v="3"/>
    <x v="1"/>
    <n v="3"/>
    <n v="2"/>
    <n v="0"/>
    <n v="2"/>
    <n v="0"/>
    <x v="2"/>
    <x v="1"/>
    <x v="2"/>
    <n v="1227"/>
  </r>
  <r>
    <n v="31"/>
    <x v="1"/>
    <x v="0"/>
    <n v="6"/>
    <n v="4"/>
    <s v="Medical"/>
    <n v="1"/>
    <x v="1"/>
    <n v="4"/>
    <n v="2"/>
    <x v="0"/>
    <x v="0"/>
    <s v="Divorced"/>
    <n v="5460"/>
    <n v="4"/>
    <x v="1"/>
    <n v="22"/>
    <n v="4"/>
    <n v="2"/>
    <n v="13"/>
    <n v="4"/>
    <x v="3"/>
    <n v="7"/>
    <n v="7"/>
    <n v="5"/>
    <n v="7"/>
    <n v="0"/>
    <x v="2"/>
    <x v="0"/>
    <x v="0"/>
    <n v="780"/>
  </r>
  <r>
    <n v="27"/>
    <x v="1"/>
    <x v="1"/>
    <n v="6"/>
    <n v="4"/>
    <s v="Medical"/>
    <n v="1"/>
    <x v="0"/>
    <n v="2"/>
    <n v="1"/>
    <x v="1"/>
    <x v="2"/>
    <s v="Divorced"/>
    <n v="2187"/>
    <n v="0"/>
    <x v="1"/>
    <n v="12"/>
    <n v="3"/>
    <n v="2"/>
    <n v="6"/>
    <n v="5"/>
    <x v="2"/>
    <n v="5"/>
    <n v="3"/>
    <n v="0"/>
    <n v="3"/>
    <n v="0"/>
    <x v="2"/>
    <x v="1"/>
    <x v="2"/>
    <n v="437.4"/>
  </r>
  <r>
    <n v="37"/>
    <x v="1"/>
    <x v="0"/>
    <n v="2"/>
    <n v="3"/>
    <s v="Marketing"/>
    <n v="4"/>
    <x v="1"/>
    <n v="3"/>
    <n v="2"/>
    <x v="0"/>
    <x v="2"/>
    <s v="Married"/>
    <n v="9602"/>
    <n v="4"/>
    <x v="0"/>
    <n v="11"/>
    <n v="3"/>
    <n v="1"/>
    <n v="17"/>
    <n v="3"/>
    <x v="2"/>
    <n v="3"/>
    <n v="0"/>
    <n v="1"/>
    <n v="0"/>
    <n v="0"/>
    <x v="0"/>
    <x v="0"/>
    <x v="2"/>
    <n v="3200.6666666666665"/>
  </r>
  <r>
    <n v="20"/>
    <x v="1"/>
    <x v="1"/>
    <n v="1"/>
    <n v="3"/>
    <s v="Life Sciences"/>
    <n v="4"/>
    <x v="0"/>
    <n v="2"/>
    <n v="1"/>
    <x v="1"/>
    <x v="1"/>
    <s v="Single"/>
    <n v="2836"/>
    <n v="1"/>
    <x v="1"/>
    <n v="13"/>
    <n v="4"/>
    <n v="0"/>
    <n v="1"/>
    <n v="0"/>
    <x v="3"/>
    <n v="1"/>
    <n v="0"/>
    <n v="0"/>
    <n v="0"/>
    <n v="0"/>
    <x v="3"/>
    <x v="1"/>
    <x v="1"/>
    <n v="2836"/>
  </r>
  <r>
    <n v="42"/>
    <x v="1"/>
    <x v="1"/>
    <n v="2"/>
    <n v="4"/>
    <s v="Life Sciences"/>
    <n v="3"/>
    <x v="0"/>
    <n v="3"/>
    <n v="2"/>
    <x v="4"/>
    <x v="0"/>
    <s v="Married"/>
    <n v="4089"/>
    <n v="1"/>
    <x v="1"/>
    <n v="13"/>
    <n v="2"/>
    <n v="2"/>
    <n v="10"/>
    <n v="4"/>
    <x v="1"/>
    <n v="10"/>
    <n v="2"/>
    <n v="2"/>
    <n v="2"/>
    <n v="0"/>
    <x v="0"/>
    <x v="0"/>
    <x v="0"/>
    <n v="408.9"/>
  </r>
  <r>
    <n v="43"/>
    <x v="1"/>
    <x v="1"/>
    <n v="6"/>
    <n v="4"/>
    <s v="Other"/>
    <n v="2"/>
    <x v="1"/>
    <n v="2"/>
    <n v="4"/>
    <x v="7"/>
    <x v="0"/>
    <s v="Divorced"/>
    <n v="16627"/>
    <n v="4"/>
    <x v="0"/>
    <n v="14"/>
    <n v="3"/>
    <n v="1"/>
    <n v="21"/>
    <n v="3"/>
    <x v="2"/>
    <n v="1"/>
    <n v="0"/>
    <n v="0"/>
    <n v="0"/>
    <n v="0"/>
    <x v="0"/>
    <x v="2"/>
    <x v="1"/>
    <n v="16627"/>
  </r>
  <r>
    <n v="38"/>
    <x v="1"/>
    <x v="1"/>
    <n v="1"/>
    <n v="1"/>
    <s v="Life Sciences"/>
    <n v="3"/>
    <x v="0"/>
    <n v="3"/>
    <n v="1"/>
    <x v="1"/>
    <x v="3"/>
    <s v="Single"/>
    <n v="2619"/>
    <n v="3"/>
    <x v="1"/>
    <n v="17"/>
    <n v="4"/>
    <n v="0"/>
    <n v="8"/>
    <n v="3"/>
    <x v="2"/>
    <n v="0"/>
    <n v="0"/>
    <n v="0"/>
    <n v="0"/>
    <n v="0"/>
    <x v="0"/>
    <x v="1"/>
    <x v="1"/>
    <n v="2619"/>
  </r>
  <r>
    <n v="43"/>
    <x v="1"/>
    <x v="1"/>
    <n v="9"/>
    <n v="5"/>
    <s v="Medical"/>
    <n v="4"/>
    <x v="1"/>
    <n v="3"/>
    <n v="2"/>
    <x v="2"/>
    <x v="2"/>
    <s v="Divorced"/>
    <n v="5679"/>
    <n v="3"/>
    <x v="0"/>
    <n v="13"/>
    <n v="2"/>
    <n v="1"/>
    <n v="10"/>
    <n v="3"/>
    <x v="1"/>
    <n v="8"/>
    <n v="7"/>
    <n v="4"/>
    <n v="7"/>
    <n v="0"/>
    <x v="0"/>
    <x v="0"/>
    <x v="0"/>
    <n v="709.875"/>
  </r>
  <r>
    <n v="48"/>
    <x v="1"/>
    <x v="1"/>
    <n v="1"/>
    <n v="4"/>
    <s v="Life Sciences"/>
    <n v="4"/>
    <x v="0"/>
    <n v="2"/>
    <n v="4"/>
    <x v="5"/>
    <x v="3"/>
    <s v="Married"/>
    <n v="15402"/>
    <n v="7"/>
    <x v="1"/>
    <n v="11"/>
    <n v="1"/>
    <n v="1"/>
    <n v="21"/>
    <n v="3"/>
    <x v="0"/>
    <n v="3"/>
    <n v="2"/>
    <n v="0"/>
    <n v="2"/>
    <n v="0"/>
    <x v="1"/>
    <x v="2"/>
    <x v="2"/>
    <n v="5134"/>
  </r>
  <r>
    <n v="44"/>
    <x v="1"/>
    <x v="2"/>
    <n v="1"/>
    <n v="4"/>
    <s v="Life Sciences"/>
    <n v="1"/>
    <x v="0"/>
    <n v="2"/>
    <n v="2"/>
    <x v="8"/>
    <x v="2"/>
    <s v="Single"/>
    <n v="5985"/>
    <n v="4"/>
    <x v="1"/>
    <n v="11"/>
    <n v="2"/>
    <n v="0"/>
    <n v="10"/>
    <n v="1"/>
    <x v="3"/>
    <n v="2"/>
    <n v="2"/>
    <n v="0"/>
    <n v="2"/>
    <n v="0"/>
    <x v="0"/>
    <x v="0"/>
    <x v="1"/>
    <n v="2992.5"/>
  </r>
  <r>
    <n v="34"/>
    <x v="1"/>
    <x v="0"/>
    <n v="14"/>
    <n v="3"/>
    <s v="Technical Degree"/>
    <n v="3"/>
    <x v="0"/>
    <n v="3"/>
    <n v="1"/>
    <x v="6"/>
    <x v="2"/>
    <s v="Divorced"/>
    <n v="2579"/>
    <n v="1"/>
    <x v="0"/>
    <n v="18"/>
    <n v="4"/>
    <n v="2"/>
    <n v="8"/>
    <n v="3"/>
    <x v="1"/>
    <n v="8"/>
    <n v="2"/>
    <n v="0"/>
    <n v="6"/>
    <n v="0"/>
    <x v="2"/>
    <x v="1"/>
    <x v="0"/>
    <n v="322.375"/>
  </r>
  <r>
    <n v="27"/>
    <x v="0"/>
    <x v="0"/>
    <n v="2"/>
    <n v="1"/>
    <s v="Marketing"/>
    <n v="3"/>
    <x v="1"/>
    <n v="3"/>
    <n v="1"/>
    <x v="6"/>
    <x v="3"/>
    <s v="Divorced"/>
    <n v="3041"/>
    <n v="0"/>
    <x v="1"/>
    <n v="11"/>
    <n v="2"/>
    <n v="1"/>
    <n v="5"/>
    <n v="3"/>
    <x v="1"/>
    <n v="4"/>
    <n v="3"/>
    <n v="0"/>
    <n v="2"/>
    <n v="1"/>
    <x v="2"/>
    <x v="1"/>
    <x v="2"/>
    <n v="760.25"/>
  </r>
  <r>
    <n v="21"/>
    <x v="1"/>
    <x v="0"/>
    <n v="22"/>
    <n v="1"/>
    <s v="Technical Degree"/>
    <n v="3"/>
    <x v="1"/>
    <n v="3"/>
    <n v="1"/>
    <x v="6"/>
    <x v="2"/>
    <s v="Single"/>
    <n v="3447"/>
    <n v="1"/>
    <x v="1"/>
    <n v="11"/>
    <n v="3"/>
    <n v="0"/>
    <n v="3"/>
    <n v="2"/>
    <x v="1"/>
    <n v="3"/>
    <n v="2"/>
    <n v="1"/>
    <n v="2"/>
    <n v="0"/>
    <x v="3"/>
    <x v="1"/>
    <x v="2"/>
    <n v="1149"/>
  </r>
  <r>
    <n v="44"/>
    <x v="1"/>
    <x v="1"/>
    <n v="3"/>
    <n v="4"/>
    <s v="Other"/>
    <n v="4"/>
    <x v="1"/>
    <n v="3"/>
    <n v="5"/>
    <x v="5"/>
    <x v="0"/>
    <s v="Married"/>
    <n v="19513"/>
    <n v="4"/>
    <x v="0"/>
    <n v="12"/>
    <n v="1"/>
    <n v="1"/>
    <n v="26"/>
    <n v="2"/>
    <x v="3"/>
    <n v="2"/>
    <n v="2"/>
    <n v="0"/>
    <n v="1"/>
    <n v="0"/>
    <x v="0"/>
    <x v="2"/>
    <x v="1"/>
    <n v="9756.5"/>
  </r>
  <r>
    <n v="22"/>
    <x v="1"/>
    <x v="1"/>
    <n v="6"/>
    <n v="1"/>
    <s v="Medical"/>
    <n v="1"/>
    <x v="1"/>
    <n v="3"/>
    <n v="1"/>
    <x v="1"/>
    <x v="2"/>
    <s v="Married"/>
    <n v="2773"/>
    <n v="0"/>
    <x v="1"/>
    <n v="20"/>
    <n v="4"/>
    <n v="0"/>
    <n v="3"/>
    <n v="3"/>
    <x v="1"/>
    <n v="2"/>
    <n v="2"/>
    <n v="2"/>
    <n v="2"/>
    <n v="0"/>
    <x v="3"/>
    <x v="1"/>
    <x v="1"/>
    <n v="1386.5"/>
  </r>
  <r>
    <n v="33"/>
    <x v="1"/>
    <x v="0"/>
    <n v="8"/>
    <n v="4"/>
    <s v="Marketing"/>
    <n v="3"/>
    <x v="1"/>
    <n v="3"/>
    <n v="2"/>
    <x v="0"/>
    <x v="2"/>
    <s v="Divorced"/>
    <n v="7104"/>
    <n v="0"/>
    <x v="1"/>
    <n v="12"/>
    <n v="4"/>
    <n v="0"/>
    <n v="6"/>
    <n v="3"/>
    <x v="1"/>
    <n v="5"/>
    <n v="0"/>
    <n v="1"/>
    <n v="2"/>
    <n v="0"/>
    <x v="2"/>
    <x v="0"/>
    <x v="2"/>
    <n v="1420.8"/>
  </r>
  <r>
    <n v="32"/>
    <x v="1"/>
    <x v="1"/>
    <n v="9"/>
    <n v="4"/>
    <s v="Life Sciences"/>
    <n v="1"/>
    <x v="0"/>
    <n v="3"/>
    <n v="2"/>
    <x v="1"/>
    <x v="0"/>
    <s v="Married"/>
    <n v="6322"/>
    <n v="1"/>
    <x v="0"/>
    <n v="12"/>
    <n v="4"/>
    <n v="1"/>
    <n v="6"/>
    <n v="2"/>
    <x v="2"/>
    <n v="6"/>
    <n v="4"/>
    <n v="0"/>
    <n v="5"/>
    <n v="0"/>
    <x v="2"/>
    <x v="0"/>
    <x v="0"/>
    <n v="1053.6666666666667"/>
  </r>
  <r>
    <n v="30"/>
    <x v="1"/>
    <x v="1"/>
    <n v="3"/>
    <n v="3"/>
    <s v="Medical"/>
    <n v="3"/>
    <x v="0"/>
    <n v="3"/>
    <n v="1"/>
    <x v="1"/>
    <x v="2"/>
    <s v="Divorced"/>
    <n v="2083"/>
    <n v="1"/>
    <x v="1"/>
    <n v="20"/>
    <n v="3"/>
    <n v="1"/>
    <n v="1"/>
    <n v="2"/>
    <x v="1"/>
    <n v="1"/>
    <n v="0"/>
    <n v="0"/>
    <n v="0"/>
    <n v="0"/>
    <x v="2"/>
    <x v="1"/>
    <x v="1"/>
    <n v="2083"/>
  </r>
  <r>
    <n v="53"/>
    <x v="1"/>
    <x v="0"/>
    <n v="1"/>
    <n v="1"/>
    <s v="Medical"/>
    <n v="4"/>
    <x v="0"/>
    <n v="3"/>
    <n v="2"/>
    <x v="0"/>
    <x v="3"/>
    <s v="Single"/>
    <n v="8381"/>
    <n v="7"/>
    <x v="1"/>
    <n v="20"/>
    <n v="4"/>
    <n v="0"/>
    <n v="18"/>
    <n v="2"/>
    <x v="3"/>
    <n v="14"/>
    <n v="7"/>
    <n v="8"/>
    <n v="10"/>
    <n v="0"/>
    <x v="1"/>
    <x v="0"/>
    <x v="3"/>
    <n v="598.64285714285711"/>
  </r>
  <r>
    <n v="34"/>
    <x v="1"/>
    <x v="1"/>
    <n v="1"/>
    <n v="5"/>
    <s v="Life Sciences"/>
    <n v="2"/>
    <x v="1"/>
    <n v="3"/>
    <n v="1"/>
    <x v="1"/>
    <x v="0"/>
    <s v="Married"/>
    <n v="2691"/>
    <n v="1"/>
    <x v="1"/>
    <n v="12"/>
    <n v="4"/>
    <n v="1"/>
    <n v="10"/>
    <n v="4"/>
    <x v="2"/>
    <n v="10"/>
    <n v="9"/>
    <n v="8"/>
    <n v="8"/>
    <n v="0"/>
    <x v="2"/>
    <x v="1"/>
    <x v="0"/>
    <n v="269.10000000000002"/>
  </r>
  <r>
    <n v="45"/>
    <x v="0"/>
    <x v="0"/>
    <n v="26"/>
    <n v="4"/>
    <s v="Life Sciences"/>
    <n v="1"/>
    <x v="0"/>
    <n v="3"/>
    <n v="2"/>
    <x v="0"/>
    <x v="3"/>
    <s v="Married"/>
    <n v="4286"/>
    <n v="2"/>
    <x v="1"/>
    <n v="14"/>
    <n v="4"/>
    <n v="2"/>
    <n v="5"/>
    <n v="4"/>
    <x v="1"/>
    <n v="1"/>
    <n v="1"/>
    <n v="0"/>
    <n v="0"/>
    <n v="1"/>
    <x v="0"/>
    <x v="0"/>
    <x v="1"/>
    <n v="4286"/>
  </r>
  <r>
    <n v="26"/>
    <x v="1"/>
    <x v="1"/>
    <n v="6"/>
    <n v="3"/>
    <s v="Life Sciences"/>
    <n v="3"/>
    <x v="0"/>
    <n v="3"/>
    <n v="1"/>
    <x v="2"/>
    <x v="0"/>
    <s v="Married"/>
    <n v="2659"/>
    <n v="1"/>
    <x v="0"/>
    <n v="13"/>
    <n v="3"/>
    <n v="1"/>
    <n v="3"/>
    <n v="2"/>
    <x v="1"/>
    <n v="3"/>
    <n v="2"/>
    <n v="0"/>
    <n v="2"/>
    <n v="0"/>
    <x v="2"/>
    <x v="1"/>
    <x v="2"/>
    <n v="886.33333333333337"/>
  </r>
  <r>
    <n v="37"/>
    <x v="1"/>
    <x v="1"/>
    <n v="3"/>
    <n v="3"/>
    <s v="Other"/>
    <n v="3"/>
    <x v="1"/>
    <n v="3"/>
    <n v="3"/>
    <x v="3"/>
    <x v="2"/>
    <s v="Married"/>
    <n v="9434"/>
    <n v="1"/>
    <x v="1"/>
    <n v="15"/>
    <n v="3"/>
    <n v="1"/>
    <n v="10"/>
    <n v="2"/>
    <x v="1"/>
    <n v="10"/>
    <n v="7"/>
    <n v="7"/>
    <n v="8"/>
    <n v="0"/>
    <x v="0"/>
    <x v="0"/>
    <x v="0"/>
    <n v="943.4"/>
  </r>
  <r>
    <n v="29"/>
    <x v="1"/>
    <x v="0"/>
    <n v="3"/>
    <n v="2"/>
    <s v="Medical"/>
    <n v="2"/>
    <x v="0"/>
    <n v="3"/>
    <n v="2"/>
    <x v="0"/>
    <x v="2"/>
    <s v="Married"/>
    <n v="5561"/>
    <n v="1"/>
    <x v="1"/>
    <n v="14"/>
    <n v="1"/>
    <n v="1"/>
    <n v="6"/>
    <n v="5"/>
    <x v="2"/>
    <n v="6"/>
    <n v="0"/>
    <n v="1"/>
    <n v="2"/>
    <n v="0"/>
    <x v="2"/>
    <x v="0"/>
    <x v="0"/>
    <n v="926.83333333333337"/>
  </r>
  <r>
    <n v="35"/>
    <x v="1"/>
    <x v="1"/>
    <n v="6"/>
    <n v="4"/>
    <s v="Life Sciences"/>
    <n v="2"/>
    <x v="1"/>
    <n v="1"/>
    <n v="2"/>
    <x v="1"/>
    <x v="0"/>
    <s v="Single"/>
    <n v="6646"/>
    <n v="1"/>
    <x v="1"/>
    <n v="13"/>
    <n v="2"/>
    <n v="0"/>
    <n v="17"/>
    <n v="3"/>
    <x v="1"/>
    <n v="17"/>
    <n v="11"/>
    <n v="11"/>
    <n v="8"/>
    <n v="0"/>
    <x v="2"/>
    <x v="0"/>
    <x v="3"/>
    <n v="390.94117647058823"/>
  </r>
  <r>
    <n v="33"/>
    <x v="1"/>
    <x v="1"/>
    <n v="6"/>
    <n v="3"/>
    <s v="Life Sciences"/>
    <n v="3"/>
    <x v="1"/>
    <n v="3"/>
    <n v="2"/>
    <x v="4"/>
    <x v="0"/>
    <s v="Divorced"/>
    <n v="7725"/>
    <n v="3"/>
    <x v="1"/>
    <n v="23"/>
    <n v="3"/>
    <n v="1"/>
    <n v="15"/>
    <n v="2"/>
    <x v="0"/>
    <n v="13"/>
    <n v="11"/>
    <n v="4"/>
    <n v="7"/>
    <n v="0"/>
    <x v="2"/>
    <x v="0"/>
    <x v="3"/>
    <n v="594.23076923076928"/>
  </r>
  <r>
    <n v="54"/>
    <x v="1"/>
    <x v="2"/>
    <n v="19"/>
    <n v="4"/>
    <s v="Medical"/>
    <n v="3"/>
    <x v="1"/>
    <n v="3"/>
    <n v="3"/>
    <x v="8"/>
    <x v="1"/>
    <s v="Married"/>
    <n v="10725"/>
    <n v="2"/>
    <x v="1"/>
    <n v="15"/>
    <n v="3"/>
    <n v="1"/>
    <n v="16"/>
    <n v="1"/>
    <x v="3"/>
    <n v="9"/>
    <n v="7"/>
    <n v="7"/>
    <n v="1"/>
    <n v="0"/>
    <x v="1"/>
    <x v="2"/>
    <x v="0"/>
    <n v="1191.6666666666667"/>
  </r>
  <r>
    <n v="36"/>
    <x v="1"/>
    <x v="1"/>
    <n v="9"/>
    <n v="2"/>
    <s v="Medical"/>
    <n v="2"/>
    <x v="1"/>
    <n v="2"/>
    <n v="2"/>
    <x v="3"/>
    <x v="1"/>
    <s v="Divorced"/>
    <n v="8847"/>
    <n v="2"/>
    <x v="0"/>
    <n v="11"/>
    <n v="3"/>
    <n v="1"/>
    <n v="13"/>
    <n v="2"/>
    <x v="1"/>
    <n v="3"/>
    <n v="2"/>
    <n v="0"/>
    <n v="2"/>
    <n v="0"/>
    <x v="0"/>
    <x v="0"/>
    <x v="2"/>
    <n v="2949"/>
  </r>
  <r>
    <n v="27"/>
    <x v="1"/>
    <x v="1"/>
    <n v="3"/>
    <n v="4"/>
    <s v="Medical"/>
    <n v="1"/>
    <x v="1"/>
    <n v="2"/>
    <n v="1"/>
    <x v="1"/>
    <x v="0"/>
    <s v="Single"/>
    <n v="2045"/>
    <n v="0"/>
    <x v="1"/>
    <n v="13"/>
    <n v="4"/>
    <n v="0"/>
    <n v="5"/>
    <n v="0"/>
    <x v="1"/>
    <n v="4"/>
    <n v="2"/>
    <n v="1"/>
    <n v="1"/>
    <n v="0"/>
    <x v="2"/>
    <x v="1"/>
    <x v="2"/>
    <n v="511.25"/>
  </r>
  <r>
    <n v="20"/>
    <x v="0"/>
    <x v="1"/>
    <n v="10"/>
    <n v="1"/>
    <s v="Medical"/>
    <n v="4"/>
    <x v="1"/>
    <n v="3"/>
    <n v="1"/>
    <x v="1"/>
    <x v="2"/>
    <s v="Single"/>
    <n v="1009"/>
    <n v="1"/>
    <x v="0"/>
    <n v="11"/>
    <n v="4"/>
    <n v="0"/>
    <n v="1"/>
    <n v="5"/>
    <x v="1"/>
    <n v="1"/>
    <n v="0"/>
    <n v="1"/>
    <n v="1"/>
    <n v="1"/>
    <x v="3"/>
    <x v="1"/>
    <x v="1"/>
    <n v="1009"/>
  </r>
  <r>
    <n v="33"/>
    <x v="0"/>
    <x v="1"/>
    <n v="3"/>
    <n v="3"/>
    <s v="Life Sciences"/>
    <n v="1"/>
    <x v="1"/>
    <n v="3"/>
    <n v="1"/>
    <x v="1"/>
    <x v="3"/>
    <s v="Single"/>
    <n v="3348"/>
    <n v="1"/>
    <x v="0"/>
    <n v="11"/>
    <n v="1"/>
    <n v="0"/>
    <n v="10"/>
    <n v="3"/>
    <x v="1"/>
    <n v="10"/>
    <n v="8"/>
    <n v="9"/>
    <n v="7"/>
    <n v="1"/>
    <x v="2"/>
    <x v="1"/>
    <x v="0"/>
    <n v="334.8"/>
  </r>
  <r>
    <n v="35"/>
    <x v="1"/>
    <x v="1"/>
    <n v="3"/>
    <n v="3"/>
    <s v="Life Sciences"/>
    <n v="3"/>
    <x v="1"/>
    <n v="2"/>
    <n v="1"/>
    <x v="2"/>
    <x v="2"/>
    <s v="Married"/>
    <n v="1281"/>
    <n v="1"/>
    <x v="1"/>
    <n v="18"/>
    <n v="3"/>
    <n v="2"/>
    <n v="1"/>
    <n v="3"/>
    <x v="1"/>
    <n v="1"/>
    <n v="0"/>
    <n v="0"/>
    <n v="0"/>
    <n v="0"/>
    <x v="2"/>
    <x v="1"/>
    <x v="1"/>
    <n v="1281"/>
  </r>
  <r>
    <n v="23"/>
    <x v="1"/>
    <x v="1"/>
    <n v="4"/>
    <n v="3"/>
    <s v="Medical"/>
    <n v="1"/>
    <x v="1"/>
    <n v="4"/>
    <n v="1"/>
    <x v="1"/>
    <x v="3"/>
    <s v="Married"/>
    <n v="2819"/>
    <n v="2"/>
    <x v="1"/>
    <n v="16"/>
    <n v="1"/>
    <n v="1"/>
    <n v="5"/>
    <n v="3"/>
    <x v="3"/>
    <n v="3"/>
    <n v="2"/>
    <n v="0"/>
    <n v="2"/>
    <n v="0"/>
    <x v="3"/>
    <x v="1"/>
    <x v="2"/>
    <n v="939.66666666666663"/>
  </r>
  <r>
    <n v="25"/>
    <x v="1"/>
    <x v="0"/>
    <n v="8"/>
    <n v="3"/>
    <s v="Life Sciences"/>
    <n v="4"/>
    <x v="1"/>
    <n v="4"/>
    <n v="2"/>
    <x v="0"/>
    <x v="1"/>
    <s v="Married"/>
    <n v="4851"/>
    <n v="0"/>
    <x v="1"/>
    <n v="22"/>
    <n v="3"/>
    <n v="1"/>
    <n v="4"/>
    <n v="4"/>
    <x v="1"/>
    <n v="3"/>
    <n v="2"/>
    <n v="1"/>
    <n v="2"/>
    <n v="0"/>
    <x v="3"/>
    <x v="0"/>
    <x v="2"/>
    <n v="1617"/>
  </r>
  <r>
    <n v="38"/>
    <x v="1"/>
    <x v="0"/>
    <n v="7"/>
    <n v="4"/>
    <s v="Marketing"/>
    <n v="4"/>
    <x v="0"/>
    <n v="2"/>
    <n v="2"/>
    <x v="0"/>
    <x v="0"/>
    <s v="Single"/>
    <n v="4028"/>
    <n v="0"/>
    <x v="1"/>
    <n v="20"/>
    <n v="1"/>
    <n v="0"/>
    <n v="8"/>
    <n v="2"/>
    <x v="1"/>
    <n v="7"/>
    <n v="7"/>
    <n v="0"/>
    <n v="5"/>
    <n v="0"/>
    <x v="0"/>
    <x v="0"/>
    <x v="0"/>
    <n v="575.42857142857144"/>
  </r>
  <r>
    <n v="29"/>
    <x v="1"/>
    <x v="1"/>
    <n v="1"/>
    <n v="4"/>
    <s v="Life Sciences"/>
    <n v="2"/>
    <x v="1"/>
    <n v="1"/>
    <n v="1"/>
    <x v="1"/>
    <x v="0"/>
    <s v="Divorced"/>
    <n v="2720"/>
    <n v="1"/>
    <x v="1"/>
    <n v="18"/>
    <n v="4"/>
    <n v="1"/>
    <n v="10"/>
    <n v="5"/>
    <x v="1"/>
    <n v="10"/>
    <n v="7"/>
    <n v="2"/>
    <n v="8"/>
    <n v="0"/>
    <x v="2"/>
    <x v="1"/>
    <x v="0"/>
    <n v="272"/>
  </r>
  <r>
    <n v="48"/>
    <x v="1"/>
    <x v="0"/>
    <n v="2"/>
    <n v="1"/>
    <s v="Marketing"/>
    <n v="2"/>
    <x v="1"/>
    <n v="4"/>
    <n v="2"/>
    <x v="0"/>
    <x v="1"/>
    <s v="Married"/>
    <n v="8120"/>
    <n v="3"/>
    <x v="1"/>
    <n v="12"/>
    <n v="4"/>
    <n v="0"/>
    <n v="12"/>
    <n v="3"/>
    <x v="1"/>
    <n v="2"/>
    <n v="2"/>
    <n v="2"/>
    <n v="2"/>
    <n v="0"/>
    <x v="1"/>
    <x v="0"/>
    <x v="1"/>
    <n v="4060"/>
  </r>
  <r>
    <n v="27"/>
    <x v="1"/>
    <x v="0"/>
    <n v="3"/>
    <n v="1"/>
    <s v="Medical"/>
    <n v="4"/>
    <x v="0"/>
    <n v="4"/>
    <n v="2"/>
    <x v="0"/>
    <x v="0"/>
    <s v="Divorced"/>
    <n v="4647"/>
    <n v="1"/>
    <x v="0"/>
    <n v="20"/>
    <n v="2"/>
    <n v="2"/>
    <n v="6"/>
    <n v="3"/>
    <x v="1"/>
    <n v="6"/>
    <n v="5"/>
    <n v="0"/>
    <n v="4"/>
    <n v="0"/>
    <x v="2"/>
    <x v="0"/>
    <x v="0"/>
    <n v="774.5"/>
  </r>
  <r>
    <n v="37"/>
    <x v="1"/>
    <x v="1"/>
    <n v="10"/>
    <n v="2"/>
    <s v="Life Sciences"/>
    <n v="4"/>
    <x v="1"/>
    <n v="4"/>
    <n v="1"/>
    <x v="1"/>
    <x v="0"/>
    <s v="Single"/>
    <n v="4680"/>
    <n v="3"/>
    <x v="1"/>
    <n v="17"/>
    <n v="1"/>
    <n v="0"/>
    <n v="4"/>
    <n v="2"/>
    <x v="1"/>
    <n v="1"/>
    <n v="0"/>
    <n v="0"/>
    <n v="0"/>
    <n v="0"/>
    <x v="0"/>
    <x v="0"/>
    <x v="1"/>
    <n v="4680"/>
  </r>
  <r>
    <n v="50"/>
    <x v="1"/>
    <x v="1"/>
    <n v="28"/>
    <n v="1"/>
    <s v="Medical"/>
    <n v="4"/>
    <x v="1"/>
    <n v="4"/>
    <n v="1"/>
    <x v="2"/>
    <x v="2"/>
    <s v="Married"/>
    <n v="3221"/>
    <n v="1"/>
    <x v="0"/>
    <n v="11"/>
    <n v="3"/>
    <n v="3"/>
    <n v="20"/>
    <n v="3"/>
    <x v="1"/>
    <n v="20"/>
    <n v="8"/>
    <n v="3"/>
    <n v="8"/>
    <n v="0"/>
    <x v="1"/>
    <x v="1"/>
    <x v="3"/>
    <n v="161.05000000000001"/>
  </r>
  <r>
    <n v="34"/>
    <x v="1"/>
    <x v="1"/>
    <n v="9"/>
    <n v="3"/>
    <s v="Medical"/>
    <n v="4"/>
    <x v="0"/>
    <n v="2"/>
    <n v="3"/>
    <x v="4"/>
    <x v="1"/>
    <s v="Single"/>
    <n v="8621"/>
    <n v="1"/>
    <x v="1"/>
    <n v="14"/>
    <n v="2"/>
    <n v="0"/>
    <n v="9"/>
    <n v="3"/>
    <x v="3"/>
    <n v="8"/>
    <n v="7"/>
    <n v="7"/>
    <n v="7"/>
    <n v="0"/>
    <x v="2"/>
    <x v="0"/>
    <x v="0"/>
    <n v="1077.625"/>
  </r>
  <r>
    <n v="24"/>
    <x v="0"/>
    <x v="0"/>
    <n v="3"/>
    <n v="2"/>
    <s v="Life Sciences"/>
    <n v="1"/>
    <x v="0"/>
    <n v="3"/>
    <n v="2"/>
    <x v="0"/>
    <x v="2"/>
    <s v="Single"/>
    <n v="4577"/>
    <n v="9"/>
    <x v="1"/>
    <n v="14"/>
    <n v="1"/>
    <n v="0"/>
    <n v="4"/>
    <n v="3"/>
    <x v="1"/>
    <n v="2"/>
    <n v="2"/>
    <n v="2"/>
    <n v="0"/>
    <n v="1"/>
    <x v="3"/>
    <x v="0"/>
    <x v="1"/>
    <n v="2288.5"/>
  </r>
  <r>
    <n v="39"/>
    <x v="1"/>
    <x v="1"/>
    <n v="2"/>
    <n v="4"/>
    <s v="Technical Degree"/>
    <n v="4"/>
    <x v="0"/>
    <n v="2"/>
    <n v="2"/>
    <x v="4"/>
    <x v="2"/>
    <s v="Single"/>
    <n v="4553"/>
    <n v="1"/>
    <x v="1"/>
    <n v="11"/>
    <n v="1"/>
    <n v="0"/>
    <n v="20"/>
    <n v="4"/>
    <x v="1"/>
    <n v="20"/>
    <n v="7"/>
    <n v="11"/>
    <n v="10"/>
    <n v="0"/>
    <x v="0"/>
    <x v="0"/>
    <x v="3"/>
    <n v="227.65"/>
  </r>
  <r>
    <n v="32"/>
    <x v="1"/>
    <x v="0"/>
    <n v="10"/>
    <n v="3"/>
    <s v="Marketing"/>
    <n v="4"/>
    <x v="1"/>
    <n v="3"/>
    <n v="2"/>
    <x v="0"/>
    <x v="0"/>
    <s v="Single"/>
    <n v="5396"/>
    <n v="1"/>
    <x v="1"/>
    <n v="12"/>
    <n v="4"/>
    <n v="0"/>
    <n v="10"/>
    <n v="2"/>
    <x v="2"/>
    <n v="10"/>
    <n v="7"/>
    <n v="0"/>
    <n v="8"/>
    <n v="0"/>
    <x v="2"/>
    <x v="0"/>
    <x v="0"/>
    <n v="539.6"/>
  </r>
  <r>
    <n v="50"/>
    <x v="0"/>
    <x v="0"/>
    <n v="8"/>
    <n v="2"/>
    <s v="Technical Degree"/>
    <n v="2"/>
    <x v="1"/>
    <n v="3"/>
    <n v="2"/>
    <x v="0"/>
    <x v="2"/>
    <s v="Married"/>
    <n v="6796"/>
    <n v="3"/>
    <x v="0"/>
    <n v="14"/>
    <n v="1"/>
    <n v="1"/>
    <n v="18"/>
    <n v="4"/>
    <x v="1"/>
    <n v="4"/>
    <n v="3"/>
    <n v="1"/>
    <n v="3"/>
    <n v="1"/>
    <x v="1"/>
    <x v="0"/>
    <x v="2"/>
    <n v="1699"/>
  </r>
  <r>
    <n v="38"/>
    <x v="1"/>
    <x v="1"/>
    <n v="1"/>
    <n v="4"/>
    <s v="Life Sciences"/>
    <n v="2"/>
    <x v="0"/>
    <n v="4"/>
    <n v="2"/>
    <x v="4"/>
    <x v="0"/>
    <s v="Single"/>
    <n v="7625"/>
    <n v="0"/>
    <x v="1"/>
    <n v="13"/>
    <n v="3"/>
    <n v="0"/>
    <n v="10"/>
    <n v="4"/>
    <x v="2"/>
    <n v="9"/>
    <n v="7"/>
    <n v="1"/>
    <n v="8"/>
    <n v="0"/>
    <x v="0"/>
    <x v="0"/>
    <x v="0"/>
    <n v="847.22222222222217"/>
  </r>
  <r>
    <n v="27"/>
    <x v="1"/>
    <x v="1"/>
    <n v="1"/>
    <n v="2"/>
    <s v="Life Sciences"/>
    <n v="3"/>
    <x v="0"/>
    <n v="3"/>
    <n v="3"/>
    <x v="3"/>
    <x v="3"/>
    <s v="Married"/>
    <n v="7412"/>
    <n v="1"/>
    <x v="1"/>
    <n v="11"/>
    <n v="4"/>
    <n v="0"/>
    <n v="9"/>
    <n v="3"/>
    <x v="1"/>
    <n v="9"/>
    <n v="7"/>
    <n v="0"/>
    <n v="7"/>
    <n v="0"/>
    <x v="2"/>
    <x v="0"/>
    <x v="0"/>
    <n v="823.55555555555554"/>
  </r>
  <r>
    <n v="32"/>
    <x v="1"/>
    <x v="1"/>
    <n v="3"/>
    <n v="2"/>
    <s v="Life Sciences"/>
    <n v="3"/>
    <x v="0"/>
    <n v="3"/>
    <n v="3"/>
    <x v="7"/>
    <x v="0"/>
    <s v="Single"/>
    <n v="11159"/>
    <n v="3"/>
    <x v="1"/>
    <n v="15"/>
    <n v="4"/>
    <n v="0"/>
    <n v="10"/>
    <n v="6"/>
    <x v="1"/>
    <n v="7"/>
    <n v="7"/>
    <n v="7"/>
    <n v="7"/>
    <n v="0"/>
    <x v="2"/>
    <x v="2"/>
    <x v="0"/>
    <n v="1594.1428571428571"/>
  </r>
  <r>
    <n v="47"/>
    <x v="1"/>
    <x v="0"/>
    <n v="14"/>
    <n v="4"/>
    <s v="Marketing"/>
    <n v="4"/>
    <x v="1"/>
    <n v="3"/>
    <n v="2"/>
    <x v="0"/>
    <x v="3"/>
    <s v="Single"/>
    <n v="4960"/>
    <n v="2"/>
    <x v="1"/>
    <n v="12"/>
    <n v="4"/>
    <n v="0"/>
    <n v="20"/>
    <n v="2"/>
    <x v="1"/>
    <n v="7"/>
    <n v="7"/>
    <n v="1"/>
    <n v="7"/>
    <n v="0"/>
    <x v="1"/>
    <x v="0"/>
    <x v="0"/>
    <n v="708.57142857142856"/>
  </r>
  <r>
    <n v="40"/>
    <x v="1"/>
    <x v="0"/>
    <n v="5"/>
    <n v="4"/>
    <s v="Life Sciences"/>
    <n v="4"/>
    <x v="1"/>
    <n v="2"/>
    <n v="3"/>
    <x v="0"/>
    <x v="3"/>
    <s v="Married"/>
    <n v="10475"/>
    <n v="5"/>
    <x v="0"/>
    <n v="21"/>
    <n v="3"/>
    <n v="1"/>
    <n v="20"/>
    <n v="2"/>
    <x v="1"/>
    <n v="18"/>
    <n v="13"/>
    <n v="1"/>
    <n v="12"/>
    <n v="0"/>
    <x v="0"/>
    <x v="2"/>
    <x v="3"/>
    <n v="581.94444444444446"/>
  </r>
  <r>
    <n v="53"/>
    <x v="1"/>
    <x v="1"/>
    <n v="7"/>
    <n v="3"/>
    <s v="Life Sciences"/>
    <n v="3"/>
    <x v="1"/>
    <n v="4"/>
    <n v="4"/>
    <x v="7"/>
    <x v="2"/>
    <s v="Married"/>
    <n v="14814"/>
    <n v="3"/>
    <x v="1"/>
    <n v="19"/>
    <n v="3"/>
    <n v="0"/>
    <n v="32"/>
    <n v="3"/>
    <x v="1"/>
    <n v="5"/>
    <n v="1"/>
    <n v="1"/>
    <n v="3"/>
    <n v="0"/>
    <x v="1"/>
    <x v="2"/>
    <x v="2"/>
    <n v="2962.8"/>
  </r>
  <r>
    <n v="41"/>
    <x v="1"/>
    <x v="2"/>
    <n v="10"/>
    <n v="4"/>
    <s v="Human Resources"/>
    <n v="2"/>
    <x v="1"/>
    <n v="2"/>
    <n v="5"/>
    <x v="5"/>
    <x v="0"/>
    <s v="Divorced"/>
    <n v="19141"/>
    <n v="3"/>
    <x v="1"/>
    <n v="15"/>
    <n v="2"/>
    <n v="3"/>
    <n v="23"/>
    <n v="2"/>
    <x v="2"/>
    <n v="21"/>
    <n v="6"/>
    <n v="12"/>
    <n v="6"/>
    <n v="0"/>
    <x v="0"/>
    <x v="2"/>
    <x v="3"/>
    <n v="911.47619047619048"/>
  </r>
  <r>
    <n v="60"/>
    <x v="1"/>
    <x v="0"/>
    <n v="16"/>
    <n v="4"/>
    <s v="Marketing"/>
    <n v="1"/>
    <x v="1"/>
    <n v="3"/>
    <n v="2"/>
    <x v="0"/>
    <x v="3"/>
    <s v="Single"/>
    <n v="5405"/>
    <n v="8"/>
    <x v="1"/>
    <n v="14"/>
    <n v="4"/>
    <n v="0"/>
    <n v="10"/>
    <n v="1"/>
    <x v="1"/>
    <n v="2"/>
    <n v="2"/>
    <n v="2"/>
    <n v="2"/>
    <n v="0"/>
    <x v="1"/>
    <x v="0"/>
    <x v="1"/>
    <n v="2702.5"/>
  </r>
  <r>
    <n v="27"/>
    <x v="1"/>
    <x v="1"/>
    <n v="10"/>
    <n v="2"/>
    <s v="Life Sciences"/>
    <n v="4"/>
    <x v="1"/>
    <n v="3"/>
    <n v="3"/>
    <x v="3"/>
    <x v="3"/>
    <s v="Divorced"/>
    <n v="8793"/>
    <n v="1"/>
    <x v="1"/>
    <n v="21"/>
    <n v="3"/>
    <n v="2"/>
    <n v="9"/>
    <n v="4"/>
    <x v="2"/>
    <n v="9"/>
    <n v="7"/>
    <n v="1"/>
    <n v="7"/>
    <n v="0"/>
    <x v="2"/>
    <x v="0"/>
    <x v="0"/>
    <n v="977"/>
  </r>
  <r>
    <n v="41"/>
    <x v="1"/>
    <x v="2"/>
    <n v="1"/>
    <n v="3"/>
    <s v="Human Resources"/>
    <n v="4"/>
    <x v="1"/>
    <n v="2"/>
    <n v="5"/>
    <x v="5"/>
    <x v="2"/>
    <s v="Married"/>
    <n v="19189"/>
    <n v="1"/>
    <x v="1"/>
    <n v="12"/>
    <n v="2"/>
    <n v="1"/>
    <n v="22"/>
    <n v="3"/>
    <x v="1"/>
    <n v="22"/>
    <n v="7"/>
    <n v="2"/>
    <n v="10"/>
    <n v="0"/>
    <x v="0"/>
    <x v="2"/>
    <x v="3"/>
    <n v="872.22727272727275"/>
  </r>
  <r>
    <n v="50"/>
    <x v="1"/>
    <x v="0"/>
    <n v="8"/>
    <n v="4"/>
    <s v="Marketing"/>
    <n v="4"/>
    <x v="1"/>
    <n v="3"/>
    <n v="1"/>
    <x v="6"/>
    <x v="1"/>
    <s v="Married"/>
    <n v="3875"/>
    <n v="7"/>
    <x v="1"/>
    <n v="15"/>
    <n v="4"/>
    <n v="1"/>
    <n v="4"/>
    <n v="2"/>
    <x v="1"/>
    <n v="2"/>
    <n v="2"/>
    <n v="2"/>
    <n v="2"/>
    <n v="0"/>
    <x v="1"/>
    <x v="1"/>
    <x v="1"/>
    <n v="1937.5"/>
  </r>
  <r>
    <n v="28"/>
    <x v="0"/>
    <x v="1"/>
    <n v="1"/>
    <n v="2"/>
    <s v="Life Sciences"/>
    <n v="1"/>
    <x v="0"/>
    <n v="1"/>
    <n v="1"/>
    <x v="1"/>
    <x v="1"/>
    <s v="Single"/>
    <n v="2216"/>
    <n v="7"/>
    <x v="0"/>
    <n v="13"/>
    <n v="4"/>
    <n v="0"/>
    <n v="10"/>
    <n v="4"/>
    <x v="1"/>
    <n v="7"/>
    <n v="7"/>
    <n v="3"/>
    <n v="7"/>
    <n v="1"/>
    <x v="2"/>
    <x v="1"/>
    <x v="0"/>
    <n v="316.57142857142856"/>
  </r>
  <r>
    <n v="36"/>
    <x v="1"/>
    <x v="1"/>
    <n v="8"/>
    <n v="3"/>
    <s v="Life Sciences"/>
    <n v="1"/>
    <x v="0"/>
    <n v="4"/>
    <n v="3"/>
    <x v="7"/>
    <x v="3"/>
    <s v="Married"/>
    <n v="11713"/>
    <n v="9"/>
    <x v="1"/>
    <n v="14"/>
    <n v="1"/>
    <n v="1"/>
    <n v="10"/>
    <n v="2"/>
    <x v="1"/>
    <n v="8"/>
    <n v="7"/>
    <n v="0"/>
    <n v="5"/>
    <n v="0"/>
    <x v="0"/>
    <x v="2"/>
    <x v="0"/>
    <n v="1464.125"/>
  </r>
  <r>
    <n v="38"/>
    <x v="1"/>
    <x v="1"/>
    <n v="1"/>
    <n v="3"/>
    <s v="Life Sciences"/>
    <n v="3"/>
    <x v="0"/>
    <n v="3"/>
    <n v="3"/>
    <x v="3"/>
    <x v="2"/>
    <s v="Single"/>
    <n v="7861"/>
    <n v="4"/>
    <x v="0"/>
    <n v="14"/>
    <n v="4"/>
    <n v="0"/>
    <n v="10"/>
    <n v="4"/>
    <x v="3"/>
    <n v="1"/>
    <n v="0"/>
    <n v="0"/>
    <n v="0"/>
    <n v="0"/>
    <x v="0"/>
    <x v="0"/>
    <x v="1"/>
    <n v="7861"/>
  </r>
  <r>
    <n v="44"/>
    <x v="1"/>
    <x v="1"/>
    <n v="24"/>
    <n v="3"/>
    <s v="Medical"/>
    <n v="1"/>
    <x v="1"/>
    <n v="1"/>
    <n v="1"/>
    <x v="2"/>
    <x v="2"/>
    <s v="Single"/>
    <n v="3708"/>
    <n v="2"/>
    <x v="1"/>
    <n v="14"/>
    <n v="3"/>
    <n v="0"/>
    <n v="9"/>
    <n v="5"/>
    <x v="1"/>
    <n v="5"/>
    <n v="2"/>
    <n v="1"/>
    <n v="4"/>
    <n v="0"/>
    <x v="0"/>
    <x v="1"/>
    <x v="2"/>
    <n v="741.6"/>
  </r>
  <r>
    <n v="47"/>
    <x v="1"/>
    <x v="0"/>
    <n v="3"/>
    <n v="3"/>
    <s v="Medical"/>
    <n v="4"/>
    <x v="0"/>
    <n v="3"/>
    <n v="4"/>
    <x v="0"/>
    <x v="2"/>
    <s v="Divorced"/>
    <n v="13770"/>
    <n v="9"/>
    <x v="0"/>
    <n v="12"/>
    <n v="4"/>
    <n v="2"/>
    <n v="28"/>
    <n v="2"/>
    <x v="2"/>
    <n v="22"/>
    <n v="2"/>
    <n v="11"/>
    <n v="13"/>
    <n v="0"/>
    <x v="1"/>
    <x v="2"/>
    <x v="3"/>
    <n v="625.90909090909088"/>
  </r>
  <r>
    <n v="30"/>
    <x v="1"/>
    <x v="0"/>
    <n v="27"/>
    <n v="5"/>
    <s v="Marketing"/>
    <n v="3"/>
    <x v="1"/>
    <n v="3"/>
    <n v="2"/>
    <x v="0"/>
    <x v="0"/>
    <s v="Divorced"/>
    <n v="5304"/>
    <n v="7"/>
    <x v="1"/>
    <n v="23"/>
    <n v="4"/>
    <n v="1"/>
    <n v="10"/>
    <n v="2"/>
    <x v="2"/>
    <n v="8"/>
    <n v="7"/>
    <n v="7"/>
    <n v="7"/>
    <n v="0"/>
    <x v="2"/>
    <x v="0"/>
    <x v="0"/>
    <n v="663"/>
  </r>
  <r>
    <n v="29"/>
    <x v="1"/>
    <x v="0"/>
    <n v="10"/>
    <n v="3"/>
    <s v="Life Sciences"/>
    <n v="3"/>
    <x v="1"/>
    <n v="3"/>
    <n v="1"/>
    <x v="6"/>
    <x v="2"/>
    <s v="Single"/>
    <n v="2642"/>
    <n v="1"/>
    <x v="1"/>
    <n v="11"/>
    <n v="3"/>
    <n v="0"/>
    <n v="1"/>
    <n v="6"/>
    <x v="1"/>
    <n v="1"/>
    <n v="0"/>
    <n v="0"/>
    <n v="0"/>
    <n v="0"/>
    <x v="2"/>
    <x v="1"/>
    <x v="1"/>
    <n v="2642"/>
  </r>
  <r>
    <n v="42"/>
    <x v="0"/>
    <x v="1"/>
    <n v="19"/>
    <n v="3"/>
    <s v="Medical"/>
    <n v="3"/>
    <x v="1"/>
    <n v="4"/>
    <n v="1"/>
    <x v="1"/>
    <x v="2"/>
    <s v="Divorced"/>
    <n v="2759"/>
    <n v="6"/>
    <x v="0"/>
    <n v="12"/>
    <n v="4"/>
    <n v="0"/>
    <n v="7"/>
    <n v="2"/>
    <x v="1"/>
    <n v="2"/>
    <n v="2"/>
    <n v="2"/>
    <n v="2"/>
    <n v="1"/>
    <x v="0"/>
    <x v="1"/>
    <x v="1"/>
    <n v="1379.5"/>
  </r>
  <r>
    <n v="43"/>
    <x v="1"/>
    <x v="0"/>
    <n v="15"/>
    <n v="3"/>
    <s v="Life Sciences"/>
    <n v="4"/>
    <x v="1"/>
    <n v="2"/>
    <n v="2"/>
    <x v="0"/>
    <x v="0"/>
    <s v="Married"/>
    <n v="6804"/>
    <n v="3"/>
    <x v="1"/>
    <n v="18"/>
    <n v="3"/>
    <n v="1"/>
    <n v="7"/>
    <n v="5"/>
    <x v="1"/>
    <n v="2"/>
    <n v="2"/>
    <n v="2"/>
    <n v="2"/>
    <n v="0"/>
    <x v="0"/>
    <x v="0"/>
    <x v="1"/>
    <n v="3402"/>
  </r>
  <r>
    <n v="34"/>
    <x v="1"/>
    <x v="1"/>
    <n v="8"/>
    <n v="2"/>
    <s v="Medical"/>
    <n v="2"/>
    <x v="0"/>
    <n v="3"/>
    <n v="2"/>
    <x v="4"/>
    <x v="2"/>
    <s v="Single"/>
    <n v="6142"/>
    <n v="3"/>
    <x v="1"/>
    <n v="11"/>
    <n v="4"/>
    <n v="0"/>
    <n v="10"/>
    <n v="2"/>
    <x v="1"/>
    <n v="5"/>
    <n v="1"/>
    <n v="4"/>
    <n v="3"/>
    <n v="0"/>
    <x v="2"/>
    <x v="0"/>
    <x v="2"/>
    <n v="1228.4000000000001"/>
  </r>
  <r>
    <n v="23"/>
    <x v="1"/>
    <x v="1"/>
    <n v="9"/>
    <n v="1"/>
    <s v="Medical"/>
    <n v="2"/>
    <x v="1"/>
    <n v="3"/>
    <n v="1"/>
    <x v="2"/>
    <x v="3"/>
    <s v="Married"/>
    <n v="2500"/>
    <n v="1"/>
    <x v="1"/>
    <n v="14"/>
    <n v="4"/>
    <n v="1"/>
    <n v="5"/>
    <n v="2"/>
    <x v="3"/>
    <n v="4"/>
    <n v="3"/>
    <n v="0"/>
    <n v="2"/>
    <n v="0"/>
    <x v="3"/>
    <x v="1"/>
    <x v="2"/>
    <n v="625"/>
  </r>
  <r>
    <n v="39"/>
    <x v="1"/>
    <x v="2"/>
    <n v="3"/>
    <n v="3"/>
    <s v="Human Resources"/>
    <n v="3"/>
    <x v="0"/>
    <n v="4"/>
    <n v="2"/>
    <x v="8"/>
    <x v="1"/>
    <s v="Married"/>
    <n v="6389"/>
    <n v="9"/>
    <x v="1"/>
    <n v="15"/>
    <n v="3"/>
    <n v="1"/>
    <n v="12"/>
    <n v="3"/>
    <x v="0"/>
    <n v="8"/>
    <n v="3"/>
    <n v="3"/>
    <n v="6"/>
    <n v="0"/>
    <x v="0"/>
    <x v="0"/>
    <x v="0"/>
    <n v="798.625"/>
  </r>
  <r>
    <n v="56"/>
    <x v="1"/>
    <x v="1"/>
    <n v="9"/>
    <n v="3"/>
    <s v="Medical"/>
    <n v="3"/>
    <x v="1"/>
    <n v="3"/>
    <n v="4"/>
    <x v="4"/>
    <x v="0"/>
    <s v="Married"/>
    <n v="11103"/>
    <n v="7"/>
    <x v="1"/>
    <n v="11"/>
    <n v="3"/>
    <n v="0"/>
    <n v="30"/>
    <n v="1"/>
    <x v="2"/>
    <n v="10"/>
    <n v="7"/>
    <n v="1"/>
    <n v="1"/>
    <n v="0"/>
    <x v="1"/>
    <x v="2"/>
    <x v="0"/>
    <n v="1110.3"/>
  </r>
  <r>
    <n v="40"/>
    <x v="1"/>
    <x v="1"/>
    <n v="2"/>
    <n v="1"/>
    <s v="Medical"/>
    <n v="4"/>
    <x v="0"/>
    <n v="2"/>
    <n v="1"/>
    <x v="1"/>
    <x v="0"/>
    <s v="Single"/>
    <n v="2342"/>
    <n v="0"/>
    <x v="0"/>
    <n v="20"/>
    <n v="4"/>
    <n v="0"/>
    <n v="5"/>
    <n v="2"/>
    <x v="2"/>
    <n v="4"/>
    <n v="2"/>
    <n v="2"/>
    <n v="3"/>
    <n v="0"/>
    <x v="0"/>
    <x v="1"/>
    <x v="2"/>
    <n v="585.5"/>
  </r>
  <r>
    <n v="27"/>
    <x v="1"/>
    <x v="1"/>
    <n v="7"/>
    <n v="3"/>
    <s v="Medical"/>
    <n v="4"/>
    <x v="0"/>
    <n v="2"/>
    <n v="2"/>
    <x v="4"/>
    <x v="3"/>
    <s v="Single"/>
    <n v="6811"/>
    <n v="8"/>
    <x v="1"/>
    <n v="19"/>
    <n v="1"/>
    <n v="0"/>
    <n v="9"/>
    <n v="2"/>
    <x v="0"/>
    <n v="7"/>
    <n v="6"/>
    <n v="0"/>
    <n v="7"/>
    <n v="0"/>
    <x v="2"/>
    <x v="0"/>
    <x v="0"/>
    <n v="973"/>
  </r>
  <r>
    <n v="29"/>
    <x v="1"/>
    <x v="0"/>
    <n v="10"/>
    <n v="3"/>
    <s v="Marketing"/>
    <n v="4"/>
    <x v="1"/>
    <n v="3"/>
    <n v="1"/>
    <x v="6"/>
    <x v="1"/>
    <s v="Divorced"/>
    <n v="2297"/>
    <n v="1"/>
    <x v="1"/>
    <n v="14"/>
    <n v="4"/>
    <n v="2"/>
    <n v="2"/>
    <n v="2"/>
    <x v="1"/>
    <n v="2"/>
    <n v="2"/>
    <n v="2"/>
    <n v="2"/>
    <n v="0"/>
    <x v="2"/>
    <x v="1"/>
    <x v="1"/>
    <n v="1148.5"/>
  </r>
  <r>
    <n v="53"/>
    <x v="1"/>
    <x v="1"/>
    <n v="6"/>
    <n v="3"/>
    <s v="Life Sciences"/>
    <n v="4"/>
    <x v="1"/>
    <n v="3"/>
    <n v="2"/>
    <x v="2"/>
    <x v="0"/>
    <s v="Single"/>
    <n v="2450"/>
    <n v="2"/>
    <x v="1"/>
    <n v="17"/>
    <n v="4"/>
    <n v="0"/>
    <n v="19"/>
    <n v="4"/>
    <x v="1"/>
    <n v="2"/>
    <n v="2"/>
    <n v="2"/>
    <n v="2"/>
    <n v="0"/>
    <x v="1"/>
    <x v="1"/>
    <x v="1"/>
    <n v="1225"/>
  </r>
  <r>
    <n v="35"/>
    <x v="1"/>
    <x v="1"/>
    <n v="2"/>
    <n v="4"/>
    <s v="Life Sciences"/>
    <n v="4"/>
    <x v="0"/>
    <n v="3"/>
    <n v="2"/>
    <x v="4"/>
    <x v="3"/>
    <s v="Divorced"/>
    <n v="5093"/>
    <n v="2"/>
    <x v="1"/>
    <n v="11"/>
    <n v="1"/>
    <n v="1"/>
    <n v="16"/>
    <n v="2"/>
    <x v="3"/>
    <n v="1"/>
    <n v="0"/>
    <n v="0"/>
    <n v="0"/>
    <n v="0"/>
    <x v="2"/>
    <x v="0"/>
    <x v="1"/>
    <n v="5093"/>
  </r>
  <r>
    <n v="32"/>
    <x v="1"/>
    <x v="1"/>
    <n v="24"/>
    <n v="4"/>
    <s v="Life Sciences"/>
    <n v="1"/>
    <x v="1"/>
    <n v="3"/>
    <n v="2"/>
    <x v="2"/>
    <x v="0"/>
    <s v="Married"/>
    <n v="5309"/>
    <n v="1"/>
    <x v="1"/>
    <n v="15"/>
    <n v="4"/>
    <n v="2"/>
    <n v="10"/>
    <n v="2"/>
    <x v="1"/>
    <n v="10"/>
    <n v="8"/>
    <n v="4"/>
    <n v="7"/>
    <n v="0"/>
    <x v="2"/>
    <x v="0"/>
    <x v="0"/>
    <n v="530.9"/>
  </r>
  <r>
    <n v="38"/>
    <x v="1"/>
    <x v="1"/>
    <n v="2"/>
    <n v="5"/>
    <s v="Medical"/>
    <n v="4"/>
    <x v="1"/>
    <n v="3"/>
    <n v="1"/>
    <x v="1"/>
    <x v="2"/>
    <s v="Married"/>
    <n v="3057"/>
    <n v="6"/>
    <x v="0"/>
    <n v="13"/>
    <n v="2"/>
    <n v="1"/>
    <n v="6"/>
    <n v="0"/>
    <x v="0"/>
    <n v="1"/>
    <n v="0"/>
    <n v="0"/>
    <n v="1"/>
    <n v="0"/>
    <x v="0"/>
    <x v="1"/>
    <x v="1"/>
    <n v="3057"/>
  </r>
  <r>
    <n v="34"/>
    <x v="1"/>
    <x v="1"/>
    <n v="8"/>
    <n v="5"/>
    <s v="Life Sciences"/>
    <n v="2"/>
    <x v="0"/>
    <n v="3"/>
    <n v="2"/>
    <x v="3"/>
    <x v="3"/>
    <s v="Divorced"/>
    <n v="5121"/>
    <n v="3"/>
    <x v="1"/>
    <n v="14"/>
    <n v="3"/>
    <n v="1"/>
    <n v="7"/>
    <n v="3"/>
    <x v="1"/>
    <n v="0"/>
    <n v="0"/>
    <n v="0"/>
    <n v="0"/>
    <n v="0"/>
    <x v="2"/>
    <x v="0"/>
    <x v="1"/>
    <n v="5121"/>
  </r>
  <r>
    <n v="52"/>
    <x v="1"/>
    <x v="0"/>
    <n v="3"/>
    <n v="4"/>
    <s v="Marketing"/>
    <n v="3"/>
    <x v="1"/>
    <n v="2"/>
    <n v="4"/>
    <x v="5"/>
    <x v="3"/>
    <s v="Married"/>
    <n v="16856"/>
    <n v="1"/>
    <x v="1"/>
    <n v="11"/>
    <n v="1"/>
    <n v="0"/>
    <n v="34"/>
    <n v="3"/>
    <x v="3"/>
    <n v="34"/>
    <n v="6"/>
    <n v="1"/>
    <n v="16"/>
    <n v="0"/>
    <x v="1"/>
    <x v="2"/>
    <x v="3"/>
    <n v="495.76470588235293"/>
  </r>
  <r>
    <n v="33"/>
    <x v="0"/>
    <x v="1"/>
    <n v="1"/>
    <n v="4"/>
    <s v="Other"/>
    <n v="4"/>
    <x v="1"/>
    <n v="3"/>
    <n v="1"/>
    <x v="1"/>
    <x v="0"/>
    <s v="Single"/>
    <n v="2686"/>
    <n v="1"/>
    <x v="0"/>
    <n v="13"/>
    <n v="3"/>
    <n v="0"/>
    <n v="10"/>
    <n v="2"/>
    <x v="2"/>
    <n v="10"/>
    <n v="9"/>
    <n v="7"/>
    <n v="8"/>
    <n v="1"/>
    <x v="2"/>
    <x v="1"/>
    <x v="0"/>
    <n v="268.60000000000002"/>
  </r>
  <r>
    <n v="25"/>
    <x v="1"/>
    <x v="0"/>
    <n v="26"/>
    <n v="1"/>
    <s v="Medical"/>
    <n v="3"/>
    <x v="0"/>
    <n v="3"/>
    <n v="2"/>
    <x v="0"/>
    <x v="0"/>
    <s v="Single"/>
    <n v="6180"/>
    <n v="1"/>
    <x v="1"/>
    <n v="23"/>
    <n v="2"/>
    <n v="0"/>
    <n v="6"/>
    <n v="5"/>
    <x v="2"/>
    <n v="6"/>
    <n v="5"/>
    <n v="1"/>
    <n v="4"/>
    <n v="0"/>
    <x v="3"/>
    <x v="0"/>
    <x v="0"/>
    <n v="1030"/>
  </r>
  <r>
    <n v="45"/>
    <x v="1"/>
    <x v="0"/>
    <n v="2"/>
    <n v="2"/>
    <s v="Technical Degree"/>
    <n v="2"/>
    <x v="1"/>
    <n v="1"/>
    <n v="2"/>
    <x v="6"/>
    <x v="2"/>
    <s v="Single"/>
    <n v="6632"/>
    <n v="0"/>
    <x v="1"/>
    <n v="13"/>
    <n v="1"/>
    <n v="0"/>
    <n v="9"/>
    <n v="3"/>
    <x v="1"/>
    <n v="8"/>
    <n v="7"/>
    <n v="3"/>
    <n v="1"/>
    <n v="0"/>
    <x v="0"/>
    <x v="0"/>
    <x v="0"/>
    <n v="829"/>
  </r>
  <r>
    <n v="23"/>
    <x v="1"/>
    <x v="1"/>
    <n v="10"/>
    <n v="1"/>
    <s v="Medical"/>
    <n v="1"/>
    <x v="1"/>
    <n v="4"/>
    <n v="1"/>
    <x v="1"/>
    <x v="2"/>
    <s v="Single"/>
    <n v="3505"/>
    <n v="1"/>
    <x v="1"/>
    <n v="18"/>
    <n v="4"/>
    <n v="0"/>
    <n v="2"/>
    <n v="3"/>
    <x v="1"/>
    <n v="2"/>
    <n v="2"/>
    <n v="0"/>
    <n v="2"/>
    <n v="0"/>
    <x v="3"/>
    <x v="1"/>
    <x v="1"/>
    <n v="1752.5"/>
  </r>
  <r>
    <n v="47"/>
    <x v="0"/>
    <x v="0"/>
    <n v="27"/>
    <n v="2"/>
    <s v="Life Sciences"/>
    <n v="2"/>
    <x v="0"/>
    <n v="4"/>
    <n v="2"/>
    <x v="0"/>
    <x v="2"/>
    <s v="Single"/>
    <n v="6397"/>
    <n v="4"/>
    <x v="0"/>
    <n v="12"/>
    <n v="4"/>
    <n v="0"/>
    <n v="8"/>
    <n v="2"/>
    <x v="1"/>
    <n v="5"/>
    <n v="4"/>
    <n v="1"/>
    <n v="3"/>
    <n v="1"/>
    <x v="1"/>
    <x v="0"/>
    <x v="2"/>
    <n v="1279.4000000000001"/>
  </r>
  <r>
    <n v="34"/>
    <x v="1"/>
    <x v="0"/>
    <n v="2"/>
    <n v="3"/>
    <s v="Other"/>
    <n v="4"/>
    <x v="1"/>
    <n v="3"/>
    <n v="2"/>
    <x v="0"/>
    <x v="0"/>
    <s v="Single"/>
    <n v="6274"/>
    <n v="1"/>
    <x v="1"/>
    <n v="22"/>
    <n v="3"/>
    <n v="0"/>
    <n v="6"/>
    <n v="5"/>
    <x v="1"/>
    <n v="6"/>
    <n v="5"/>
    <n v="1"/>
    <n v="4"/>
    <n v="0"/>
    <x v="2"/>
    <x v="0"/>
    <x v="0"/>
    <n v="1045.6666666666667"/>
  </r>
  <r>
    <n v="55"/>
    <x v="0"/>
    <x v="1"/>
    <n v="2"/>
    <n v="3"/>
    <s v="Medical"/>
    <n v="4"/>
    <x v="1"/>
    <n v="3"/>
    <n v="5"/>
    <x v="5"/>
    <x v="3"/>
    <s v="Married"/>
    <n v="19859"/>
    <n v="5"/>
    <x v="0"/>
    <n v="13"/>
    <n v="4"/>
    <n v="1"/>
    <n v="24"/>
    <n v="2"/>
    <x v="1"/>
    <n v="5"/>
    <n v="2"/>
    <n v="1"/>
    <n v="4"/>
    <n v="1"/>
    <x v="1"/>
    <x v="2"/>
    <x v="2"/>
    <n v="3971.8"/>
  </r>
  <r>
    <n v="36"/>
    <x v="1"/>
    <x v="0"/>
    <n v="8"/>
    <n v="4"/>
    <s v="Life Sciences"/>
    <n v="1"/>
    <x v="1"/>
    <n v="2"/>
    <n v="3"/>
    <x v="0"/>
    <x v="3"/>
    <s v="Single"/>
    <n v="7587"/>
    <n v="1"/>
    <x v="1"/>
    <n v="15"/>
    <n v="2"/>
    <n v="0"/>
    <n v="10"/>
    <n v="1"/>
    <x v="1"/>
    <n v="10"/>
    <n v="7"/>
    <n v="0"/>
    <n v="9"/>
    <n v="0"/>
    <x v="0"/>
    <x v="0"/>
    <x v="0"/>
    <n v="758.7"/>
  </r>
  <r>
    <n v="52"/>
    <x v="1"/>
    <x v="1"/>
    <n v="19"/>
    <n v="4"/>
    <s v="Medical"/>
    <n v="4"/>
    <x v="1"/>
    <n v="3"/>
    <n v="1"/>
    <x v="1"/>
    <x v="0"/>
    <s v="Married"/>
    <n v="4258"/>
    <n v="0"/>
    <x v="1"/>
    <n v="18"/>
    <n v="1"/>
    <n v="1"/>
    <n v="5"/>
    <n v="3"/>
    <x v="1"/>
    <n v="4"/>
    <n v="3"/>
    <n v="1"/>
    <n v="2"/>
    <n v="0"/>
    <x v="1"/>
    <x v="0"/>
    <x v="2"/>
    <n v="1064.5"/>
  </r>
  <r>
    <n v="26"/>
    <x v="1"/>
    <x v="1"/>
    <n v="1"/>
    <n v="2"/>
    <s v="Life Sciences"/>
    <n v="1"/>
    <x v="0"/>
    <n v="1"/>
    <n v="1"/>
    <x v="2"/>
    <x v="0"/>
    <s v="Divorced"/>
    <n v="4364"/>
    <n v="3"/>
    <x v="1"/>
    <n v="14"/>
    <n v="1"/>
    <n v="1"/>
    <n v="5"/>
    <n v="2"/>
    <x v="1"/>
    <n v="2"/>
    <n v="2"/>
    <n v="2"/>
    <n v="0"/>
    <n v="0"/>
    <x v="2"/>
    <x v="0"/>
    <x v="1"/>
    <n v="2182"/>
  </r>
  <r>
    <n v="29"/>
    <x v="1"/>
    <x v="1"/>
    <n v="27"/>
    <n v="3"/>
    <s v="Medical"/>
    <n v="2"/>
    <x v="0"/>
    <n v="3"/>
    <n v="2"/>
    <x v="4"/>
    <x v="2"/>
    <s v="Married"/>
    <n v="4335"/>
    <n v="4"/>
    <x v="1"/>
    <n v="12"/>
    <n v="1"/>
    <n v="1"/>
    <n v="11"/>
    <n v="3"/>
    <x v="2"/>
    <n v="8"/>
    <n v="7"/>
    <n v="1"/>
    <n v="1"/>
    <n v="0"/>
    <x v="2"/>
    <x v="0"/>
    <x v="0"/>
    <n v="541.875"/>
  </r>
  <r>
    <n v="26"/>
    <x v="0"/>
    <x v="0"/>
    <n v="8"/>
    <n v="3"/>
    <s v="Technical Degree"/>
    <n v="4"/>
    <x v="1"/>
    <n v="2"/>
    <n v="2"/>
    <x v="0"/>
    <x v="3"/>
    <s v="Single"/>
    <n v="5326"/>
    <n v="6"/>
    <x v="1"/>
    <n v="17"/>
    <n v="3"/>
    <n v="0"/>
    <n v="6"/>
    <n v="2"/>
    <x v="2"/>
    <n v="4"/>
    <n v="3"/>
    <n v="1"/>
    <n v="2"/>
    <n v="1"/>
    <x v="2"/>
    <x v="0"/>
    <x v="2"/>
    <n v="1331.5"/>
  </r>
  <r>
    <n v="34"/>
    <x v="1"/>
    <x v="1"/>
    <n v="1"/>
    <n v="4"/>
    <s v="Life Sciences"/>
    <n v="2"/>
    <x v="0"/>
    <n v="4"/>
    <n v="1"/>
    <x v="1"/>
    <x v="0"/>
    <s v="Single"/>
    <n v="3280"/>
    <n v="2"/>
    <x v="1"/>
    <n v="16"/>
    <n v="3"/>
    <n v="0"/>
    <n v="10"/>
    <n v="2"/>
    <x v="1"/>
    <n v="4"/>
    <n v="2"/>
    <n v="1"/>
    <n v="3"/>
    <n v="0"/>
    <x v="2"/>
    <x v="1"/>
    <x v="2"/>
    <n v="820"/>
  </r>
  <r>
    <n v="54"/>
    <x v="1"/>
    <x v="1"/>
    <n v="19"/>
    <n v="4"/>
    <s v="Medical"/>
    <n v="4"/>
    <x v="0"/>
    <n v="3"/>
    <n v="2"/>
    <x v="3"/>
    <x v="3"/>
    <s v="Divorced"/>
    <n v="5485"/>
    <n v="9"/>
    <x v="0"/>
    <n v="11"/>
    <n v="2"/>
    <n v="2"/>
    <n v="9"/>
    <n v="4"/>
    <x v="1"/>
    <n v="5"/>
    <n v="3"/>
    <n v="1"/>
    <n v="4"/>
    <n v="0"/>
    <x v="1"/>
    <x v="0"/>
    <x v="2"/>
    <n v="1097"/>
  </r>
  <r>
    <n v="27"/>
    <x v="1"/>
    <x v="0"/>
    <n v="8"/>
    <n v="1"/>
    <s v="Marketing"/>
    <n v="3"/>
    <x v="1"/>
    <n v="3"/>
    <n v="2"/>
    <x v="0"/>
    <x v="0"/>
    <s v="Married"/>
    <n v="4342"/>
    <n v="0"/>
    <x v="1"/>
    <n v="19"/>
    <n v="2"/>
    <n v="1"/>
    <n v="5"/>
    <n v="3"/>
    <x v="1"/>
    <n v="4"/>
    <n v="2"/>
    <n v="1"/>
    <n v="1"/>
    <n v="0"/>
    <x v="2"/>
    <x v="0"/>
    <x v="2"/>
    <n v="1085.5"/>
  </r>
  <r>
    <n v="37"/>
    <x v="1"/>
    <x v="1"/>
    <n v="10"/>
    <n v="1"/>
    <s v="Life Sciences"/>
    <n v="4"/>
    <x v="0"/>
    <n v="3"/>
    <n v="1"/>
    <x v="1"/>
    <x v="3"/>
    <s v="Divorced"/>
    <n v="2782"/>
    <n v="0"/>
    <x v="0"/>
    <n v="13"/>
    <n v="2"/>
    <n v="2"/>
    <n v="6"/>
    <n v="3"/>
    <x v="2"/>
    <n v="5"/>
    <n v="3"/>
    <n v="4"/>
    <n v="3"/>
    <n v="0"/>
    <x v="0"/>
    <x v="1"/>
    <x v="2"/>
    <n v="556.4"/>
  </r>
  <r>
    <n v="38"/>
    <x v="1"/>
    <x v="1"/>
    <n v="2"/>
    <n v="4"/>
    <s v="Life Sciences"/>
    <n v="1"/>
    <x v="0"/>
    <n v="4"/>
    <n v="2"/>
    <x v="3"/>
    <x v="3"/>
    <s v="Single"/>
    <n v="5980"/>
    <n v="6"/>
    <x v="0"/>
    <n v="12"/>
    <n v="4"/>
    <n v="0"/>
    <n v="17"/>
    <n v="2"/>
    <x v="1"/>
    <n v="15"/>
    <n v="7"/>
    <n v="4"/>
    <n v="12"/>
    <n v="0"/>
    <x v="0"/>
    <x v="0"/>
    <x v="3"/>
    <n v="398.66666666666669"/>
  </r>
  <r>
    <n v="34"/>
    <x v="1"/>
    <x v="1"/>
    <n v="2"/>
    <n v="4"/>
    <s v="Medical"/>
    <n v="3"/>
    <x v="0"/>
    <n v="2"/>
    <n v="1"/>
    <x v="1"/>
    <x v="3"/>
    <s v="Single"/>
    <n v="4381"/>
    <n v="1"/>
    <x v="1"/>
    <n v="11"/>
    <n v="3"/>
    <n v="0"/>
    <n v="6"/>
    <n v="3"/>
    <x v="1"/>
    <n v="6"/>
    <n v="5"/>
    <n v="1"/>
    <n v="3"/>
    <n v="0"/>
    <x v="2"/>
    <x v="0"/>
    <x v="0"/>
    <n v="730.16666666666663"/>
  </r>
  <r>
    <n v="35"/>
    <x v="1"/>
    <x v="0"/>
    <n v="8"/>
    <n v="4"/>
    <s v="Life Sciences"/>
    <n v="1"/>
    <x v="0"/>
    <n v="3"/>
    <n v="1"/>
    <x v="6"/>
    <x v="0"/>
    <s v="Married"/>
    <n v="2572"/>
    <n v="1"/>
    <x v="1"/>
    <n v="16"/>
    <n v="2"/>
    <n v="1"/>
    <n v="3"/>
    <n v="1"/>
    <x v="2"/>
    <n v="3"/>
    <n v="2"/>
    <n v="0"/>
    <n v="2"/>
    <n v="0"/>
    <x v="2"/>
    <x v="1"/>
    <x v="2"/>
    <n v="857.33333333333337"/>
  </r>
  <r>
    <n v="30"/>
    <x v="1"/>
    <x v="1"/>
    <n v="1"/>
    <n v="3"/>
    <s v="Life Sciences"/>
    <n v="4"/>
    <x v="1"/>
    <n v="1"/>
    <n v="1"/>
    <x v="2"/>
    <x v="2"/>
    <s v="Married"/>
    <n v="3833"/>
    <n v="3"/>
    <x v="1"/>
    <n v="21"/>
    <n v="3"/>
    <n v="2"/>
    <n v="7"/>
    <n v="2"/>
    <x v="1"/>
    <n v="2"/>
    <n v="2"/>
    <n v="0"/>
    <n v="2"/>
    <n v="0"/>
    <x v="2"/>
    <x v="1"/>
    <x v="1"/>
    <n v="1916.5"/>
  </r>
  <r>
    <n v="40"/>
    <x v="1"/>
    <x v="1"/>
    <n v="2"/>
    <n v="2"/>
    <s v="Medical"/>
    <n v="3"/>
    <x v="0"/>
    <n v="4"/>
    <n v="2"/>
    <x v="4"/>
    <x v="1"/>
    <s v="Married"/>
    <n v="4244"/>
    <n v="1"/>
    <x v="1"/>
    <n v="24"/>
    <n v="4"/>
    <n v="1"/>
    <n v="8"/>
    <n v="2"/>
    <x v="1"/>
    <n v="8"/>
    <n v="7"/>
    <n v="3"/>
    <n v="7"/>
    <n v="0"/>
    <x v="0"/>
    <x v="0"/>
    <x v="0"/>
    <n v="530.5"/>
  </r>
  <r>
    <n v="34"/>
    <x v="1"/>
    <x v="0"/>
    <n v="8"/>
    <n v="2"/>
    <s v="Life Sciences"/>
    <n v="3"/>
    <x v="0"/>
    <n v="3"/>
    <n v="2"/>
    <x v="0"/>
    <x v="3"/>
    <s v="Married"/>
    <n v="6500"/>
    <n v="5"/>
    <x v="1"/>
    <n v="17"/>
    <n v="2"/>
    <n v="1"/>
    <n v="6"/>
    <n v="1"/>
    <x v="1"/>
    <n v="3"/>
    <n v="2"/>
    <n v="1"/>
    <n v="2"/>
    <n v="0"/>
    <x v="2"/>
    <x v="0"/>
    <x v="2"/>
    <n v="2166.6666666666665"/>
  </r>
  <r>
    <n v="42"/>
    <x v="1"/>
    <x v="1"/>
    <n v="8"/>
    <n v="3"/>
    <s v="Life Sciences"/>
    <n v="2"/>
    <x v="1"/>
    <n v="3"/>
    <n v="5"/>
    <x v="5"/>
    <x v="0"/>
    <s v="Divorced"/>
    <n v="18430"/>
    <n v="1"/>
    <x v="1"/>
    <n v="13"/>
    <n v="2"/>
    <n v="1"/>
    <n v="24"/>
    <n v="4"/>
    <x v="2"/>
    <n v="24"/>
    <n v="7"/>
    <n v="14"/>
    <n v="9"/>
    <n v="0"/>
    <x v="0"/>
    <x v="2"/>
    <x v="3"/>
    <n v="767.91666666666663"/>
  </r>
  <r>
    <n v="23"/>
    <x v="0"/>
    <x v="1"/>
    <n v="6"/>
    <n v="3"/>
    <s v="Life Sciences"/>
    <n v="3"/>
    <x v="1"/>
    <n v="4"/>
    <n v="1"/>
    <x v="2"/>
    <x v="3"/>
    <s v="Married"/>
    <n v="1601"/>
    <n v="1"/>
    <x v="0"/>
    <n v="21"/>
    <n v="3"/>
    <n v="2"/>
    <n v="1"/>
    <n v="2"/>
    <x v="1"/>
    <n v="0"/>
    <n v="0"/>
    <n v="0"/>
    <n v="0"/>
    <n v="1"/>
    <x v="3"/>
    <x v="1"/>
    <x v="1"/>
    <n v="1601"/>
  </r>
  <r>
    <n v="24"/>
    <x v="1"/>
    <x v="1"/>
    <n v="9"/>
    <n v="3"/>
    <s v="Life Sciences"/>
    <n v="3"/>
    <x v="1"/>
    <n v="2"/>
    <n v="1"/>
    <x v="2"/>
    <x v="1"/>
    <s v="Divorced"/>
    <n v="2694"/>
    <n v="1"/>
    <x v="1"/>
    <n v="11"/>
    <n v="3"/>
    <n v="3"/>
    <n v="1"/>
    <n v="4"/>
    <x v="1"/>
    <n v="1"/>
    <n v="0"/>
    <n v="0"/>
    <n v="0"/>
    <n v="0"/>
    <x v="3"/>
    <x v="1"/>
    <x v="1"/>
    <n v="2694"/>
  </r>
  <r>
    <n v="52"/>
    <x v="1"/>
    <x v="1"/>
    <n v="11"/>
    <n v="4"/>
    <s v="Life Sciences"/>
    <n v="4"/>
    <x v="0"/>
    <n v="3"/>
    <n v="2"/>
    <x v="2"/>
    <x v="2"/>
    <s v="Married"/>
    <n v="3149"/>
    <n v="8"/>
    <x v="1"/>
    <n v="20"/>
    <n v="2"/>
    <n v="1"/>
    <n v="9"/>
    <n v="3"/>
    <x v="1"/>
    <n v="5"/>
    <n v="2"/>
    <n v="1"/>
    <n v="4"/>
    <n v="0"/>
    <x v="1"/>
    <x v="1"/>
    <x v="2"/>
    <n v="629.79999999999995"/>
  </r>
  <r>
    <n v="50"/>
    <x v="1"/>
    <x v="1"/>
    <n v="2"/>
    <n v="3"/>
    <s v="Medical"/>
    <n v="3"/>
    <x v="1"/>
    <n v="3"/>
    <n v="4"/>
    <x v="7"/>
    <x v="2"/>
    <s v="Married"/>
    <n v="17639"/>
    <n v="5"/>
    <x v="1"/>
    <n v="16"/>
    <n v="4"/>
    <n v="0"/>
    <n v="30"/>
    <n v="3"/>
    <x v="1"/>
    <n v="4"/>
    <n v="3"/>
    <n v="0"/>
    <n v="3"/>
    <n v="0"/>
    <x v="1"/>
    <x v="2"/>
    <x v="2"/>
    <n v="4409.75"/>
  </r>
  <r>
    <n v="29"/>
    <x v="0"/>
    <x v="1"/>
    <n v="1"/>
    <n v="2"/>
    <s v="Life Sciences"/>
    <n v="2"/>
    <x v="0"/>
    <n v="2"/>
    <n v="1"/>
    <x v="2"/>
    <x v="3"/>
    <s v="Married"/>
    <n v="2319"/>
    <n v="1"/>
    <x v="0"/>
    <n v="11"/>
    <n v="4"/>
    <n v="1"/>
    <n v="1"/>
    <n v="1"/>
    <x v="1"/>
    <n v="1"/>
    <n v="0"/>
    <n v="0"/>
    <n v="0"/>
    <n v="1"/>
    <x v="2"/>
    <x v="1"/>
    <x v="1"/>
    <n v="2319"/>
  </r>
  <r>
    <n v="33"/>
    <x v="1"/>
    <x v="1"/>
    <n v="7"/>
    <n v="3"/>
    <s v="Medical"/>
    <n v="3"/>
    <x v="1"/>
    <n v="3"/>
    <n v="3"/>
    <x v="7"/>
    <x v="2"/>
    <s v="Married"/>
    <n v="11691"/>
    <n v="0"/>
    <x v="1"/>
    <n v="11"/>
    <n v="4"/>
    <n v="0"/>
    <n v="14"/>
    <n v="3"/>
    <x v="3"/>
    <n v="13"/>
    <n v="9"/>
    <n v="3"/>
    <n v="7"/>
    <n v="0"/>
    <x v="2"/>
    <x v="2"/>
    <x v="3"/>
    <n v="899.30769230769226"/>
  </r>
  <r>
    <n v="33"/>
    <x v="0"/>
    <x v="0"/>
    <n v="16"/>
    <n v="3"/>
    <s v="Marketing"/>
    <n v="1"/>
    <x v="0"/>
    <n v="3"/>
    <n v="2"/>
    <x v="0"/>
    <x v="3"/>
    <s v="Single"/>
    <n v="5324"/>
    <n v="5"/>
    <x v="1"/>
    <n v="15"/>
    <n v="3"/>
    <n v="0"/>
    <n v="6"/>
    <n v="3"/>
    <x v="1"/>
    <n v="3"/>
    <n v="2"/>
    <n v="0"/>
    <n v="2"/>
    <n v="1"/>
    <x v="2"/>
    <x v="0"/>
    <x v="2"/>
    <n v="1774.6666666666667"/>
  </r>
  <r>
    <n v="47"/>
    <x v="1"/>
    <x v="1"/>
    <n v="2"/>
    <n v="2"/>
    <s v="Other"/>
    <n v="3"/>
    <x v="0"/>
    <n v="3"/>
    <n v="4"/>
    <x v="5"/>
    <x v="0"/>
    <s v="Married"/>
    <n v="16752"/>
    <n v="1"/>
    <x v="0"/>
    <n v="11"/>
    <n v="3"/>
    <n v="1"/>
    <n v="26"/>
    <n v="3"/>
    <x v="2"/>
    <n v="26"/>
    <n v="14"/>
    <n v="3"/>
    <n v="0"/>
    <n v="0"/>
    <x v="1"/>
    <x v="2"/>
    <x v="3"/>
    <n v="644.30769230769226"/>
  </r>
  <r>
    <n v="36"/>
    <x v="1"/>
    <x v="1"/>
    <n v="1"/>
    <n v="3"/>
    <s v="Other"/>
    <n v="3"/>
    <x v="0"/>
    <n v="3"/>
    <n v="2"/>
    <x v="3"/>
    <x v="1"/>
    <s v="Married"/>
    <n v="5228"/>
    <n v="0"/>
    <x v="1"/>
    <n v="15"/>
    <n v="1"/>
    <n v="1"/>
    <n v="10"/>
    <n v="2"/>
    <x v="1"/>
    <n v="9"/>
    <n v="7"/>
    <n v="0"/>
    <n v="5"/>
    <n v="0"/>
    <x v="0"/>
    <x v="0"/>
    <x v="0"/>
    <n v="580.88888888888891"/>
  </r>
  <r>
    <n v="29"/>
    <x v="1"/>
    <x v="1"/>
    <n v="23"/>
    <n v="2"/>
    <s v="Life Sciences"/>
    <n v="3"/>
    <x v="1"/>
    <n v="4"/>
    <n v="1"/>
    <x v="1"/>
    <x v="2"/>
    <s v="Married"/>
    <n v="2700"/>
    <n v="1"/>
    <x v="1"/>
    <n v="24"/>
    <n v="3"/>
    <n v="1"/>
    <n v="10"/>
    <n v="3"/>
    <x v="1"/>
    <n v="10"/>
    <n v="7"/>
    <n v="0"/>
    <n v="7"/>
    <n v="0"/>
    <x v="2"/>
    <x v="1"/>
    <x v="0"/>
    <n v="270"/>
  </r>
  <r>
    <n v="58"/>
    <x v="0"/>
    <x v="1"/>
    <n v="2"/>
    <n v="4"/>
    <s v="Life Sciences"/>
    <n v="4"/>
    <x v="1"/>
    <n v="3"/>
    <n v="5"/>
    <x v="7"/>
    <x v="1"/>
    <s v="Single"/>
    <n v="19246"/>
    <n v="7"/>
    <x v="0"/>
    <n v="12"/>
    <n v="4"/>
    <n v="0"/>
    <n v="40"/>
    <n v="2"/>
    <x v="1"/>
    <n v="31"/>
    <n v="15"/>
    <n v="13"/>
    <n v="8"/>
    <n v="1"/>
    <x v="1"/>
    <x v="2"/>
    <x v="3"/>
    <n v="620.83870967741939"/>
  </r>
  <r>
    <n v="35"/>
    <x v="1"/>
    <x v="1"/>
    <n v="1"/>
    <n v="4"/>
    <s v="Life Sciences"/>
    <n v="4"/>
    <x v="0"/>
    <n v="4"/>
    <n v="1"/>
    <x v="1"/>
    <x v="2"/>
    <s v="Single"/>
    <n v="2506"/>
    <n v="3"/>
    <x v="1"/>
    <n v="13"/>
    <n v="3"/>
    <n v="0"/>
    <n v="7"/>
    <n v="0"/>
    <x v="1"/>
    <n v="2"/>
    <n v="2"/>
    <n v="2"/>
    <n v="2"/>
    <n v="0"/>
    <x v="2"/>
    <x v="1"/>
    <x v="1"/>
    <n v="1253"/>
  </r>
  <r>
    <n v="42"/>
    <x v="1"/>
    <x v="1"/>
    <n v="1"/>
    <n v="2"/>
    <s v="Life Sciences"/>
    <n v="4"/>
    <x v="0"/>
    <n v="2"/>
    <n v="2"/>
    <x v="3"/>
    <x v="0"/>
    <s v="Married"/>
    <n v="6062"/>
    <n v="9"/>
    <x v="0"/>
    <n v="13"/>
    <n v="4"/>
    <n v="1"/>
    <n v="8"/>
    <n v="4"/>
    <x v="1"/>
    <n v="4"/>
    <n v="3"/>
    <n v="0"/>
    <n v="2"/>
    <n v="0"/>
    <x v="0"/>
    <x v="0"/>
    <x v="2"/>
    <n v="1515.5"/>
  </r>
  <r>
    <n v="28"/>
    <x v="0"/>
    <x v="1"/>
    <n v="2"/>
    <n v="4"/>
    <s v="Medical"/>
    <n v="3"/>
    <x v="1"/>
    <n v="3"/>
    <n v="1"/>
    <x v="1"/>
    <x v="2"/>
    <s v="Single"/>
    <n v="4382"/>
    <n v="6"/>
    <x v="1"/>
    <n v="17"/>
    <n v="4"/>
    <n v="0"/>
    <n v="5"/>
    <n v="3"/>
    <x v="2"/>
    <n v="2"/>
    <n v="2"/>
    <n v="2"/>
    <n v="1"/>
    <n v="1"/>
    <x v="2"/>
    <x v="0"/>
    <x v="1"/>
    <n v="2191"/>
  </r>
  <r>
    <n v="36"/>
    <x v="1"/>
    <x v="2"/>
    <n v="13"/>
    <n v="3"/>
    <s v="Human Resources"/>
    <n v="3"/>
    <x v="1"/>
    <n v="3"/>
    <n v="1"/>
    <x v="8"/>
    <x v="1"/>
    <s v="Married"/>
    <n v="2143"/>
    <n v="4"/>
    <x v="1"/>
    <n v="13"/>
    <n v="2"/>
    <n v="1"/>
    <n v="8"/>
    <n v="2"/>
    <x v="1"/>
    <n v="5"/>
    <n v="2"/>
    <n v="0"/>
    <n v="4"/>
    <n v="0"/>
    <x v="0"/>
    <x v="1"/>
    <x v="2"/>
    <n v="428.6"/>
  </r>
  <r>
    <n v="32"/>
    <x v="1"/>
    <x v="1"/>
    <n v="4"/>
    <n v="3"/>
    <s v="Life Sciences"/>
    <n v="3"/>
    <x v="0"/>
    <n v="2"/>
    <n v="2"/>
    <x v="3"/>
    <x v="2"/>
    <s v="Married"/>
    <n v="6162"/>
    <n v="1"/>
    <x v="1"/>
    <n v="12"/>
    <n v="3"/>
    <n v="1"/>
    <n v="14"/>
    <n v="3"/>
    <x v="1"/>
    <n v="14"/>
    <n v="13"/>
    <n v="6"/>
    <n v="8"/>
    <n v="0"/>
    <x v="2"/>
    <x v="0"/>
    <x v="3"/>
    <n v="440.14285714285717"/>
  </r>
  <r>
    <n v="40"/>
    <x v="1"/>
    <x v="1"/>
    <n v="16"/>
    <n v="4"/>
    <s v="Medical"/>
    <n v="1"/>
    <x v="1"/>
    <n v="2"/>
    <n v="2"/>
    <x v="2"/>
    <x v="2"/>
    <s v="Single"/>
    <n v="5094"/>
    <n v="6"/>
    <x v="1"/>
    <n v="14"/>
    <n v="4"/>
    <n v="0"/>
    <n v="10"/>
    <n v="6"/>
    <x v="1"/>
    <n v="1"/>
    <n v="0"/>
    <n v="0"/>
    <n v="0"/>
    <n v="0"/>
    <x v="0"/>
    <x v="0"/>
    <x v="1"/>
    <n v="5094"/>
  </r>
  <r>
    <n v="30"/>
    <x v="1"/>
    <x v="1"/>
    <n v="2"/>
    <n v="3"/>
    <s v="Medical"/>
    <n v="3"/>
    <x v="0"/>
    <n v="2"/>
    <n v="2"/>
    <x v="3"/>
    <x v="0"/>
    <s v="Single"/>
    <n v="6877"/>
    <n v="5"/>
    <x v="0"/>
    <n v="24"/>
    <n v="2"/>
    <n v="0"/>
    <n v="12"/>
    <n v="4"/>
    <x v="2"/>
    <n v="0"/>
    <n v="0"/>
    <n v="0"/>
    <n v="0"/>
    <n v="0"/>
    <x v="2"/>
    <x v="0"/>
    <x v="1"/>
    <n v="6877"/>
  </r>
  <r>
    <n v="45"/>
    <x v="1"/>
    <x v="1"/>
    <n v="2"/>
    <n v="3"/>
    <s v="Life Sciences"/>
    <n v="2"/>
    <x v="0"/>
    <n v="2"/>
    <n v="1"/>
    <x v="1"/>
    <x v="2"/>
    <s v="Single"/>
    <n v="2274"/>
    <n v="1"/>
    <x v="1"/>
    <n v="14"/>
    <n v="4"/>
    <n v="0"/>
    <n v="1"/>
    <n v="3"/>
    <x v="1"/>
    <n v="1"/>
    <n v="0"/>
    <n v="0"/>
    <n v="0"/>
    <n v="0"/>
    <x v="0"/>
    <x v="1"/>
    <x v="1"/>
    <n v="2274"/>
  </r>
  <r>
    <n v="42"/>
    <x v="1"/>
    <x v="1"/>
    <n v="29"/>
    <n v="3"/>
    <s v="Life Sciences"/>
    <n v="2"/>
    <x v="1"/>
    <n v="3"/>
    <n v="2"/>
    <x v="3"/>
    <x v="1"/>
    <s v="Married"/>
    <n v="4434"/>
    <n v="1"/>
    <x v="1"/>
    <n v="13"/>
    <n v="4"/>
    <n v="1"/>
    <n v="10"/>
    <n v="3"/>
    <x v="2"/>
    <n v="9"/>
    <n v="8"/>
    <n v="7"/>
    <n v="8"/>
    <n v="0"/>
    <x v="0"/>
    <x v="0"/>
    <x v="0"/>
    <n v="492.66666666666669"/>
  </r>
  <r>
    <n v="38"/>
    <x v="1"/>
    <x v="1"/>
    <n v="12"/>
    <n v="3"/>
    <s v="Life Sciences"/>
    <n v="1"/>
    <x v="1"/>
    <n v="2"/>
    <n v="2"/>
    <x v="4"/>
    <x v="3"/>
    <s v="Divorced"/>
    <n v="6288"/>
    <n v="2"/>
    <x v="1"/>
    <n v="15"/>
    <n v="3"/>
    <n v="1"/>
    <n v="13"/>
    <n v="3"/>
    <x v="2"/>
    <n v="4"/>
    <n v="3"/>
    <n v="1"/>
    <n v="2"/>
    <n v="0"/>
    <x v="0"/>
    <x v="0"/>
    <x v="2"/>
    <n v="1572"/>
  </r>
  <r>
    <n v="34"/>
    <x v="1"/>
    <x v="1"/>
    <n v="16"/>
    <n v="4"/>
    <s v="Life Sciences"/>
    <n v="3"/>
    <x v="0"/>
    <n v="2"/>
    <n v="1"/>
    <x v="1"/>
    <x v="0"/>
    <s v="Single"/>
    <n v="2553"/>
    <n v="1"/>
    <x v="1"/>
    <n v="16"/>
    <n v="3"/>
    <n v="0"/>
    <n v="6"/>
    <n v="3"/>
    <x v="1"/>
    <n v="5"/>
    <n v="2"/>
    <n v="1"/>
    <n v="3"/>
    <n v="0"/>
    <x v="2"/>
    <x v="1"/>
    <x v="2"/>
    <n v="510.6"/>
  </r>
  <r>
    <n v="49"/>
    <x v="0"/>
    <x v="0"/>
    <n v="11"/>
    <n v="3"/>
    <s v="Marketing"/>
    <n v="3"/>
    <x v="0"/>
    <n v="3"/>
    <n v="3"/>
    <x v="0"/>
    <x v="0"/>
    <s v="Married"/>
    <n v="7654"/>
    <n v="1"/>
    <x v="1"/>
    <n v="18"/>
    <n v="1"/>
    <n v="2"/>
    <n v="9"/>
    <n v="3"/>
    <x v="3"/>
    <n v="9"/>
    <n v="8"/>
    <n v="7"/>
    <n v="7"/>
    <n v="1"/>
    <x v="1"/>
    <x v="0"/>
    <x v="0"/>
    <n v="850.44444444444446"/>
  </r>
  <r>
    <n v="55"/>
    <x v="0"/>
    <x v="0"/>
    <n v="2"/>
    <n v="1"/>
    <s v="Medical"/>
    <n v="3"/>
    <x v="1"/>
    <n v="3"/>
    <n v="2"/>
    <x v="0"/>
    <x v="0"/>
    <s v="Single"/>
    <n v="5160"/>
    <n v="4"/>
    <x v="1"/>
    <n v="16"/>
    <n v="3"/>
    <n v="0"/>
    <n v="12"/>
    <n v="3"/>
    <x v="2"/>
    <n v="9"/>
    <n v="7"/>
    <n v="7"/>
    <n v="3"/>
    <n v="1"/>
    <x v="1"/>
    <x v="0"/>
    <x v="0"/>
    <n v="573.33333333333337"/>
  </r>
  <r>
    <n v="43"/>
    <x v="1"/>
    <x v="1"/>
    <n v="14"/>
    <n v="2"/>
    <s v="Life Sciences"/>
    <n v="2"/>
    <x v="1"/>
    <n v="3"/>
    <n v="4"/>
    <x v="7"/>
    <x v="3"/>
    <s v="Married"/>
    <n v="17159"/>
    <n v="6"/>
    <x v="1"/>
    <n v="24"/>
    <n v="3"/>
    <n v="1"/>
    <n v="22"/>
    <n v="3"/>
    <x v="1"/>
    <n v="4"/>
    <n v="1"/>
    <n v="1"/>
    <n v="0"/>
    <n v="0"/>
    <x v="0"/>
    <x v="2"/>
    <x v="2"/>
    <n v="4289.75"/>
  </r>
  <r>
    <n v="27"/>
    <x v="1"/>
    <x v="1"/>
    <n v="5"/>
    <n v="1"/>
    <s v="Technical Degree"/>
    <n v="3"/>
    <x v="1"/>
    <n v="2"/>
    <n v="3"/>
    <x v="7"/>
    <x v="0"/>
    <s v="Divorced"/>
    <n v="12808"/>
    <n v="1"/>
    <x v="0"/>
    <n v="16"/>
    <n v="2"/>
    <n v="1"/>
    <n v="9"/>
    <n v="3"/>
    <x v="1"/>
    <n v="9"/>
    <n v="8"/>
    <n v="0"/>
    <n v="8"/>
    <n v="0"/>
    <x v="2"/>
    <x v="2"/>
    <x v="0"/>
    <n v="1423.1111111111111"/>
  </r>
  <r>
    <n v="35"/>
    <x v="1"/>
    <x v="1"/>
    <n v="7"/>
    <n v="3"/>
    <s v="Other"/>
    <n v="3"/>
    <x v="1"/>
    <n v="3"/>
    <n v="3"/>
    <x v="3"/>
    <x v="2"/>
    <s v="Single"/>
    <n v="10221"/>
    <n v="3"/>
    <x v="1"/>
    <n v="21"/>
    <n v="2"/>
    <n v="0"/>
    <n v="17"/>
    <n v="3"/>
    <x v="3"/>
    <n v="8"/>
    <n v="5"/>
    <n v="1"/>
    <n v="6"/>
    <n v="0"/>
    <x v="2"/>
    <x v="2"/>
    <x v="0"/>
    <n v="1277.625"/>
  </r>
  <r>
    <n v="28"/>
    <x v="1"/>
    <x v="0"/>
    <n v="2"/>
    <n v="4"/>
    <s v="Marketing"/>
    <n v="2"/>
    <x v="0"/>
    <n v="3"/>
    <n v="2"/>
    <x v="0"/>
    <x v="1"/>
    <s v="Married"/>
    <n v="4779"/>
    <n v="1"/>
    <x v="0"/>
    <n v="20"/>
    <n v="1"/>
    <n v="0"/>
    <n v="8"/>
    <n v="2"/>
    <x v="1"/>
    <n v="8"/>
    <n v="7"/>
    <n v="7"/>
    <n v="5"/>
    <n v="0"/>
    <x v="2"/>
    <x v="0"/>
    <x v="0"/>
    <n v="597.375"/>
  </r>
  <r>
    <n v="34"/>
    <x v="1"/>
    <x v="2"/>
    <n v="3"/>
    <n v="2"/>
    <s v="Human Resources"/>
    <n v="3"/>
    <x v="1"/>
    <n v="3"/>
    <n v="1"/>
    <x v="8"/>
    <x v="0"/>
    <s v="Married"/>
    <n v="3737"/>
    <n v="0"/>
    <x v="1"/>
    <n v="19"/>
    <n v="3"/>
    <n v="1"/>
    <n v="4"/>
    <n v="1"/>
    <x v="0"/>
    <n v="3"/>
    <n v="2"/>
    <n v="0"/>
    <n v="2"/>
    <n v="0"/>
    <x v="2"/>
    <x v="1"/>
    <x v="2"/>
    <n v="1245.6666666666667"/>
  </r>
  <r>
    <n v="26"/>
    <x v="0"/>
    <x v="1"/>
    <n v="5"/>
    <n v="2"/>
    <s v="Medical"/>
    <n v="3"/>
    <x v="0"/>
    <n v="2"/>
    <n v="1"/>
    <x v="1"/>
    <x v="2"/>
    <s v="Married"/>
    <n v="2366"/>
    <n v="1"/>
    <x v="0"/>
    <n v="14"/>
    <n v="1"/>
    <n v="1"/>
    <n v="8"/>
    <n v="2"/>
    <x v="1"/>
    <n v="8"/>
    <n v="7"/>
    <n v="1"/>
    <n v="7"/>
    <n v="1"/>
    <x v="2"/>
    <x v="1"/>
    <x v="0"/>
    <n v="295.75"/>
  </r>
  <r>
    <n v="27"/>
    <x v="1"/>
    <x v="1"/>
    <n v="3"/>
    <n v="3"/>
    <s v="Medical"/>
    <n v="4"/>
    <x v="1"/>
    <n v="3"/>
    <n v="1"/>
    <x v="1"/>
    <x v="0"/>
    <s v="Married"/>
    <n v="1706"/>
    <n v="1"/>
    <x v="1"/>
    <n v="11"/>
    <n v="3"/>
    <n v="3"/>
    <n v="0"/>
    <n v="6"/>
    <x v="2"/>
    <n v="0"/>
    <n v="0"/>
    <n v="0"/>
    <n v="0"/>
    <n v="0"/>
    <x v="2"/>
    <x v="1"/>
    <x v="1"/>
    <n v="1706"/>
  </r>
  <r>
    <n v="51"/>
    <x v="1"/>
    <x v="0"/>
    <n v="26"/>
    <n v="4"/>
    <s v="Marketing"/>
    <n v="1"/>
    <x v="0"/>
    <n v="3"/>
    <n v="4"/>
    <x v="5"/>
    <x v="2"/>
    <s v="Married"/>
    <n v="16307"/>
    <n v="2"/>
    <x v="1"/>
    <n v="14"/>
    <n v="3"/>
    <n v="1"/>
    <n v="29"/>
    <n v="2"/>
    <x v="2"/>
    <n v="20"/>
    <n v="6"/>
    <n v="4"/>
    <n v="17"/>
    <n v="0"/>
    <x v="1"/>
    <x v="2"/>
    <x v="3"/>
    <n v="815.35"/>
  </r>
  <r>
    <n v="44"/>
    <x v="1"/>
    <x v="1"/>
    <n v="4"/>
    <n v="3"/>
    <s v="Medical"/>
    <n v="4"/>
    <x v="1"/>
    <n v="3"/>
    <n v="2"/>
    <x v="4"/>
    <x v="1"/>
    <s v="Single"/>
    <n v="5933"/>
    <n v="9"/>
    <x v="1"/>
    <n v="12"/>
    <n v="4"/>
    <n v="0"/>
    <n v="10"/>
    <n v="2"/>
    <x v="2"/>
    <n v="5"/>
    <n v="2"/>
    <n v="2"/>
    <n v="3"/>
    <n v="0"/>
    <x v="0"/>
    <x v="0"/>
    <x v="2"/>
    <n v="1186.5999999999999"/>
  </r>
  <r>
    <n v="25"/>
    <x v="1"/>
    <x v="1"/>
    <n v="2"/>
    <n v="1"/>
    <s v="Medical"/>
    <n v="1"/>
    <x v="1"/>
    <n v="4"/>
    <n v="1"/>
    <x v="1"/>
    <x v="3"/>
    <s v="Single"/>
    <n v="3424"/>
    <n v="7"/>
    <x v="1"/>
    <n v="13"/>
    <n v="3"/>
    <n v="0"/>
    <n v="6"/>
    <n v="3"/>
    <x v="2"/>
    <n v="4"/>
    <n v="3"/>
    <n v="0"/>
    <n v="1"/>
    <n v="0"/>
    <x v="3"/>
    <x v="1"/>
    <x v="2"/>
    <n v="856"/>
  </r>
  <r>
    <n v="33"/>
    <x v="1"/>
    <x v="0"/>
    <n v="1"/>
    <n v="3"/>
    <s v="Medical"/>
    <n v="1"/>
    <x v="1"/>
    <n v="4"/>
    <n v="2"/>
    <x v="0"/>
    <x v="3"/>
    <s v="Divorced"/>
    <n v="4037"/>
    <n v="1"/>
    <x v="1"/>
    <n v="22"/>
    <n v="1"/>
    <n v="1"/>
    <n v="9"/>
    <n v="5"/>
    <x v="1"/>
    <n v="9"/>
    <n v="8"/>
    <n v="0"/>
    <n v="8"/>
    <n v="0"/>
    <x v="2"/>
    <x v="0"/>
    <x v="0"/>
    <n v="448.55555555555554"/>
  </r>
  <r>
    <n v="35"/>
    <x v="1"/>
    <x v="1"/>
    <n v="27"/>
    <n v="1"/>
    <s v="Medical"/>
    <n v="3"/>
    <x v="0"/>
    <n v="2"/>
    <n v="1"/>
    <x v="1"/>
    <x v="3"/>
    <s v="Single"/>
    <n v="2559"/>
    <n v="1"/>
    <x v="1"/>
    <n v="11"/>
    <n v="4"/>
    <n v="0"/>
    <n v="6"/>
    <n v="3"/>
    <x v="2"/>
    <n v="6"/>
    <n v="5"/>
    <n v="1"/>
    <n v="1"/>
    <n v="0"/>
    <x v="2"/>
    <x v="1"/>
    <x v="0"/>
    <n v="426.5"/>
  </r>
  <r>
    <n v="36"/>
    <x v="1"/>
    <x v="0"/>
    <n v="1"/>
    <n v="2"/>
    <s v="Life Sciences"/>
    <n v="2"/>
    <x v="1"/>
    <n v="3"/>
    <n v="2"/>
    <x v="0"/>
    <x v="0"/>
    <s v="Married"/>
    <n v="6201"/>
    <n v="1"/>
    <x v="0"/>
    <n v="14"/>
    <n v="4"/>
    <n v="1"/>
    <n v="18"/>
    <n v="1"/>
    <x v="2"/>
    <n v="18"/>
    <n v="14"/>
    <n v="4"/>
    <n v="11"/>
    <n v="0"/>
    <x v="0"/>
    <x v="0"/>
    <x v="3"/>
    <n v="344.5"/>
  </r>
  <r>
    <n v="32"/>
    <x v="1"/>
    <x v="0"/>
    <n v="13"/>
    <n v="4"/>
    <s v="Life Sciences"/>
    <n v="2"/>
    <x v="1"/>
    <n v="3"/>
    <n v="2"/>
    <x v="0"/>
    <x v="0"/>
    <s v="Divorced"/>
    <n v="4403"/>
    <n v="2"/>
    <x v="1"/>
    <n v="11"/>
    <n v="3"/>
    <n v="1"/>
    <n v="8"/>
    <n v="3"/>
    <x v="2"/>
    <n v="5"/>
    <n v="2"/>
    <n v="0"/>
    <n v="3"/>
    <n v="0"/>
    <x v="2"/>
    <x v="0"/>
    <x v="2"/>
    <n v="880.6"/>
  </r>
  <r>
    <n v="30"/>
    <x v="1"/>
    <x v="1"/>
    <n v="5"/>
    <n v="4"/>
    <s v="Life Sciences"/>
    <n v="2"/>
    <x v="1"/>
    <n v="2"/>
    <n v="1"/>
    <x v="1"/>
    <x v="0"/>
    <s v="Divorced"/>
    <n v="3761"/>
    <n v="9"/>
    <x v="1"/>
    <n v="12"/>
    <n v="2"/>
    <n v="1"/>
    <n v="10"/>
    <n v="3"/>
    <x v="2"/>
    <n v="5"/>
    <n v="4"/>
    <n v="0"/>
    <n v="3"/>
    <n v="0"/>
    <x v="2"/>
    <x v="1"/>
    <x v="2"/>
    <n v="752.2"/>
  </r>
  <r>
    <n v="53"/>
    <x v="1"/>
    <x v="0"/>
    <n v="7"/>
    <n v="2"/>
    <s v="Marketing"/>
    <n v="1"/>
    <x v="0"/>
    <n v="2"/>
    <n v="3"/>
    <x v="0"/>
    <x v="0"/>
    <s v="Married"/>
    <n v="10934"/>
    <n v="7"/>
    <x v="0"/>
    <n v="18"/>
    <n v="4"/>
    <n v="1"/>
    <n v="35"/>
    <n v="3"/>
    <x v="1"/>
    <n v="5"/>
    <n v="2"/>
    <n v="0"/>
    <n v="4"/>
    <n v="0"/>
    <x v="1"/>
    <x v="2"/>
    <x v="2"/>
    <n v="2186.8000000000002"/>
  </r>
  <r>
    <n v="45"/>
    <x v="1"/>
    <x v="0"/>
    <n v="9"/>
    <n v="3"/>
    <s v="Marketing"/>
    <n v="4"/>
    <x v="1"/>
    <n v="3"/>
    <n v="3"/>
    <x v="0"/>
    <x v="3"/>
    <s v="Divorced"/>
    <n v="10761"/>
    <n v="4"/>
    <x v="0"/>
    <n v="12"/>
    <n v="3"/>
    <n v="1"/>
    <n v="18"/>
    <n v="2"/>
    <x v="1"/>
    <n v="5"/>
    <n v="4"/>
    <n v="0"/>
    <n v="2"/>
    <n v="0"/>
    <x v="0"/>
    <x v="2"/>
    <x v="2"/>
    <n v="2152.1999999999998"/>
  </r>
  <r>
    <n v="32"/>
    <x v="1"/>
    <x v="1"/>
    <n v="8"/>
    <n v="2"/>
    <s v="Medical"/>
    <n v="3"/>
    <x v="0"/>
    <n v="4"/>
    <n v="2"/>
    <x v="1"/>
    <x v="2"/>
    <s v="Married"/>
    <n v="5175"/>
    <n v="5"/>
    <x v="1"/>
    <n v="12"/>
    <n v="3"/>
    <n v="1"/>
    <n v="9"/>
    <n v="3"/>
    <x v="2"/>
    <n v="5"/>
    <n v="3"/>
    <n v="1"/>
    <n v="3"/>
    <n v="0"/>
    <x v="2"/>
    <x v="0"/>
    <x v="2"/>
    <n v="1035"/>
  </r>
  <r>
    <n v="52"/>
    <x v="1"/>
    <x v="1"/>
    <n v="25"/>
    <n v="4"/>
    <s v="Medical"/>
    <n v="3"/>
    <x v="0"/>
    <n v="2"/>
    <n v="4"/>
    <x v="3"/>
    <x v="0"/>
    <s v="Married"/>
    <n v="13826"/>
    <n v="3"/>
    <x v="1"/>
    <n v="22"/>
    <n v="3"/>
    <n v="0"/>
    <n v="31"/>
    <n v="3"/>
    <x v="1"/>
    <n v="9"/>
    <n v="8"/>
    <n v="0"/>
    <n v="0"/>
    <n v="0"/>
    <x v="1"/>
    <x v="2"/>
    <x v="0"/>
    <n v="1536.2222222222222"/>
  </r>
  <r>
    <n v="37"/>
    <x v="1"/>
    <x v="0"/>
    <n v="16"/>
    <n v="4"/>
    <s v="Marketing"/>
    <n v="4"/>
    <x v="1"/>
    <n v="2"/>
    <n v="2"/>
    <x v="0"/>
    <x v="2"/>
    <s v="Divorced"/>
    <n v="6334"/>
    <n v="4"/>
    <x v="1"/>
    <n v="19"/>
    <n v="4"/>
    <n v="2"/>
    <n v="9"/>
    <n v="2"/>
    <x v="1"/>
    <n v="1"/>
    <n v="0"/>
    <n v="0"/>
    <n v="0"/>
    <n v="0"/>
    <x v="0"/>
    <x v="0"/>
    <x v="1"/>
    <n v="6334"/>
  </r>
  <r>
    <n v="28"/>
    <x v="1"/>
    <x v="2"/>
    <n v="8"/>
    <n v="2"/>
    <s v="Medical"/>
    <n v="2"/>
    <x v="1"/>
    <n v="2"/>
    <n v="1"/>
    <x v="8"/>
    <x v="0"/>
    <s v="Divorced"/>
    <n v="4936"/>
    <n v="1"/>
    <x v="1"/>
    <n v="13"/>
    <n v="4"/>
    <n v="1"/>
    <n v="6"/>
    <n v="6"/>
    <x v="1"/>
    <n v="5"/>
    <n v="1"/>
    <n v="0"/>
    <n v="4"/>
    <n v="0"/>
    <x v="2"/>
    <x v="0"/>
    <x v="2"/>
    <n v="987.2"/>
  </r>
  <r>
    <n v="22"/>
    <x v="1"/>
    <x v="1"/>
    <n v="1"/>
    <n v="2"/>
    <s v="Life Sciences"/>
    <n v="4"/>
    <x v="1"/>
    <n v="2"/>
    <n v="2"/>
    <x v="3"/>
    <x v="0"/>
    <s v="Married"/>
    <n v="4775"/>
    <n v="6"/>
    <x v="1"/>
    <n v="22"/>
    <n v="1"/>
    <n v="2"/>
    <n v="4"/>
    <n v="2"/>
    <x v="0"/>
    <n v="2"/>
    <n v="2"/>
    <n v="2"/>
    <n v="2"/>
    <n v="0"/>
    <x v="3"/>
    <x v="0"/>
    <x v="1"/>
    <n v="2387.5"/>
  </r>
  <r>
    <n v="44"/>
    <x v="1"/>
    <x v="1"/>
    <n v="8"/>
    <n v="4"/>
    <s v="Life Sciences"/>
    <n v="1"/>
    <x v="1"/>
    <n v="4"/>
    <n v="1"/>
    <x v="2"/>
    <x v="0"/>
    <s v="Married"/>
    <n v="2818"/>
    <n v="2"/>
    <x v="0"/>
    <n v="24"/>
    <n v="3"/>
    <n v="1"/>
    <n v="10"/>
    <n v="2"/>
    <x v="2"/>
    <n v="3"/>
    <n v="2"/>
    <n v="0"/>
    <n v="2"/>
    <n v="0"/>
    <x v="0"/>
    <x v="1"/>
    <x v="2"/>
    <n v="939.33333333333337"/>
  </r>
  <r>
    <n v="42"/>
    <x v="1"/>
    <x v="1"/>
    <n v="2"/>
    <n v="1"/>
    <s v="Medical"/>
    <n v="2"/>
    <x v="1"/>
    <n v="3"/>
    <n v="1"/>
    <x v="1"/>
    <x v="0"/>
    <s v="Single"/>
    <n v="2515"/>
    <n v="5"/>
    <x v="0"/>
    <n v="14"/>
    <n v="4"/>
    <n v="0"/>
    <n v="8"/>
    <n v="2"/>
    <x v="1"/>
    <n v="2"/>
    <n v="1"/>
    <n v="2"/>
    <n v="2"/>
    <n v="0"/>
    <x v="0"/>
    <x v="1"/>
    <x v="1"/>
    <n v="1257.5"/>
  </r>
  <r>
    <n v="36"/>
    <x v="1"/>
    <x v="2"/>
    <n v="8"/>
    <n v="3"/>
    <s v="Life Sciences"/>
    <n v="1"/>
    <x v="1"/>
    <n v="2"/>
    <n v="1"/>
    <x v="8"/>
    <x v="3"/>
    <s v="Married"/>
    <n v="2342"/>
    <n v="0"/>
    <x v="1"/>
    <n v="21"/>
    <n v="3"/>
    <n v="0"/>
    <n v="6"/>
    <n v="3"/>
    <x v="1"/>
    <n v="5"/>
    <n v="4"/>
    <n v="0"/>
    <n v="3"/>
    <n v="0"/>
    <x v="0"/>
    <x v="1"/>
    <x v="2"/>
    <n v="468.4"/>
  </r>
  <r>
    <n v="25"/>
    <x v="1"/>
    <x v="0"/>
    <n v="3"/>
    <n v="1"/>
    <s v="Other"/>
    <n v="3"/>
    <x v="1"/>
    <n v="3"/>
    <n v="2"/>
    <x v="0"/>
    <x v="3"/>
    <s v="Married"/>
    <n v="4194"/>
    <n v="1"/>
    <x v="0"/>
    <n v="18"/>
    <n v="4"/>
    <n v="0"/>
    <n v="5"/>
    <n v="3"/>
    <x v="1"/>
    <n v="5"/>
    <n v="3"/>
    <n v="0"/>
    <n v="3"/>
    <n v="0"/>
    <x v="3"/>
    <x v="0"/>
    <x v="2"/>
    <n v="838.8"/>
  </r>
  <r>
    <n v="35"/>
    <x v="1"/>
    <x v="1"/>
    <n v="9"/>
    <n v="3"/>
    <s v="Life Sciences"/>
    <n v="4"/>
    <x v="0"/>
    <n v="2"/>
    <n v="3"/>
    <x v="3"/>
    <x v="2"/>
    <s v="Married"/>
    <n v="10685"/>
    <n v="1"/>
    <x v="0"/>
    <n v="20"/>
    <n v="2"/>
    <n v="1"/>
    <n v="17"/>
    <n v="2"/>
    <x v="1"/>
    <n v="17"/>
    <n v="14"/>
    <n v="5"/>
    <n v="15"/>
    <n v="0"/>
    <x v="2"/>
    <x v="2"/>
    <x v="3"/>
    <n v="628.52941176470586"/>
  </r>
  <r>
    <n v="35"/>
    <x v="0"/>
    <x v="1"/>
    <n v="25"/>
    <n v="4"/>
    <s v="Life Sciences"/>
    <n v="4"/>
    <x v="0"/>
    <n v="3"/>
    <n v="1"/>
    <x v="1"/>
    <x v="1"/>
    <s v="Divorced"/>
    <n v="2022"/>
    <n v="1"/>
    <x v="0"/>
    <n v="19"/>
    <n v="1"/>
    <n v="1"/>
    <n v="10"/>
    <n v="3"/>
    <x v="2"/>
    <n v="10"/>
    <n v="2"/>
    <n v="7"/>
    <n v="8"/>
    <n v="1"/>
    <x v="2"/>
    <x v="1"/>
    <x v="0"/>
    <n v="202.2"/>
  </r>
  <r>
    <n v="32"/>
    <x v="1"/>
    <x v="1"/>
    <n v="1"/>
    <n v="3"/>
    <s v="Life Sciences"/>
    <n v="4"/>
    <x v="1"/>
    <n v="3"/>
    <n v="1"/>
    <x v="2"/>
    <x v="0"/>
    <s v="Divorced"/>
    <n v="2314"/>
    <n v="0"/>
    <x v="1"/>
    <n v="12"/>
    <n v="2"/>
    <n v="1"/>
    <n v="4"/>
    <n v="2"/>
    <x v="1"/>
    <n v="3"/>
    <n v="0"/>
    <n v="0"/>
    <n v="2"/>
    <n v="0"/>
    <x v="2"/>
    <x v="1"/>
    <x v="2"/>
    <n v="771.33333333333337"/>
  </r>
  <r>
    <n v="25"/>
    <x v="1"/>
    <x v="0"/>
    <n v="4"/>
    <n v="1"/>
    <s v="Marketing"/>
    <n v="3"/>
    <x v="1"/>
    <n v="2"/>
    <n v="2"/>
    <x v="0"/>
    <x v="3"/>
    <s v="Married"/>
    <n v="4256"/>
    <n v="1"/>
    <x v="1"/>
    <n v="12"/>
    <n v="1"/>
    <n v="0"/>
    <n v="5"/>
    <n v="1"/>
    <x v="3"/>
    <n v="5"/>
    <n v="2"/>
    <n v="0"/>
    <n v="3"/>
    <n v="0"/>
    <x v="3"/>
    <x v="0"/>
    <x v="2"/>
    <n v="851.2"/>
  </r>
  <r>
    <n v="49"/>
    <x v="1"/>
    <x v="1"/>
    <n v="1"/>
    <n v="3"/>
    <s v="Technical Degree"/>
    <n v="3"/>
    <x v="0"/>
    <n v="3"/>
    <n v="1"/>
    <x v="1"/>
    <x v="3"/>
    <s v="Married"/>
    <n v="3580"/>
    <n v="2"/>
    <x v="1"/>
    <n v="16"/>
    <n v="2"/>
    <n v="1"/>
    <n v="7"/>
    <n v="2"/>
    <x v="1"/>
    <n v="4"/>
    <n v="2"/>
    <n v="0"/>
    <n v="2"/>
    <n v="0"/>
    <x v="1"/>
    <x v="1"/>
    <x v="2"/>
    <n v="895"/>
  </r>
  <r>
    <n v="24"/>
    <x v="1"/>
    <x v="1"/>
    <n v="4"/>
    <n v="1"/>
    <s v="Life Sciences"/>
    <n v="1"/>
    <x v="1"/>
    <n v="2"/>
    <n v="1"/>
    <x v="2"/>
    <x v="0"/>
    <s v="Married"/>
    <n v="3162"/>
    <n v="0"/>
    <x v="1"/>
    <n v="17"/>
    <n v="4"/>
    <n v="0"/>
    <n v="6"/>
    <n v="2"/>
    <x v="2"/>
    <n v="5"/>
    <n v="2"/>
    <n v="3"/>
    <n v="4"/>
    <n v="0"/>
    <x v="3"/>
    <x v="1"/>
    <x v="2"/>
    <n v="632.4"/>
  </r>
  <r>
    <n v="32"/>
    <x v="1"/>
    <x v="0"/>
    <n v="5"/>
    <n v="2"/>
    <s v="Life Sciences"/>
    <n v="2"/>
    <x v="1"/>
    <n v="3"/>
    <n v="2"/>
    <x v="0"/>
    <x v="1"/>
    <s v="Married"/>
    <n v="6524"/>
    <n v="1"/>
    <x v="1"/>
    <n v="14"/>
    <n v="4"/>
    <n v="1"/>
    <n v="10"/>
    <n v="3"/>
    <x v="1"/>
    <n v="10"/>
    <n v="8"/>
    <n v="5"/>
    <n v="3"/>
    <n v="0"/>
    <x v="2"/>
    <x v="0"/>
    <x v="0"/>
    <n v="652.4"/>
  </r>
  <r>
    <n v="38"/>
    <x v="1"/>
    <x v="0"/>
    <n v="9"/>
    <n v="3"/>
    <s v="Marketing"/>
    <n v="2"/>
    <x v="1"/>
    <n v="2"/>
    <n v="1"/>
    <x v="6"/>
    <x v="1"/>
    <s v="Married"/>
    <n v="2899"/>
    <n v="0"/>
    <x v="1"/>
    <n v="19"/>
    <n v="4"/>
    <n v="1"/>
    <n v="3"/>
    <n v="3"/>
    <x v="1"/>
    <n v="2"/>
    <n v="2"/>
    <n v="1"/>
    <n v="2"/>
    <n v="0"/>
    <x v="0"/>
    <x v="1"/>
    <x v="1"/>
    <n v="1449.5"/>
  </r>
  <r>
    <n v="42"/>
    <x v="1"/>
    <x v="1"/>
    <n v="3"/>
    <n v="3"/>
    <s v="Life Sciences"/>
    <n v="3"/>
    <x v="0"/>
    <n v="4"/>
    <n v="2"/>
    <x v="2"/>
    <x v="0"/>
    <s v="Married"/>
    <n v="5231"/>
    <n v="2"/>
    <x v="0"/>
    <n v="13"/>
    <n v="2"/>
    <n v="1"/>
    <n v="17"/>
    <n v="1"/>
    <x v="2"/>
    <n v="5"/>
    <n v="3"/>
    <n v="1"/>
    <n v="3"/>
    <n v="0"/>
    <x v="0"/>
    <x v="0"/>
    <x v="2"/>
    <n v="1046.2"/>
  </r>
  <r>
    <n v="31"/>
    <x v="1"/>
    <x v="1"/>
    <n v="11"/>
    <n v="4"/>
    <s v="Life Sciences"/>
    <n v="4"/>
    <x v="1"/>
    <n v="3"/>
    <n v="1"/>
    <x v="1"/>
    <x v="0"/>
    <s v="Married"/>
    <n v="2356"/>
    <n v="3"/>
    <x v="0"/>
    <n v="19"/>
    <n v="2"/>
    <n v="1"/>
    <n v="8"/>
    <n v="2"/>
    <x v="1"/>
    <n v="6"/>
    <n v="4"/>
    <n v="0"/>
    <n v="2"/>
    <n v="0"/>
    <x v="2"/>
    <x v="1"/>
    <x v="0"/>
    <n v="392.66666666666669"/>
  </r>
  <r>
    <n v="29"/>
    <x v="0"/>
    <x v="0"/>
    <n v="1"/>
    <n v="3"/>
    <s v="Medical"/>
    <n v="2"/>
    <x v="0"/>
    <n v="2"/>
    <n v="1"/>
    <x v="6"/>
    <x v="2"/>
    <s v="Divorced"/>
    <n v="2800"/>
    <n v="6"/>
    <x v="0"/>
    <n v="19"/>
    <n v="3"/>
    <n v="3"/>
    <n v="5"/>
    <n v="3"/>
    <x v="1"/>
    <n v="3"/>
    <n v="2"/>
    <n v="0"/>
    <n v="2"/>
    <n v="1"/>
    <x v="2"/>
    <x v="1"/>
    <x v="2"/>
    <n v="933.33333333333337"/>
  </r>
  <r>
    <n v="53"/>
    <x v="1"/>
    <x v="0"/>
    <n v="8"/>
    <n v="3"/>
    <s v="Marketing"/>
    <n v="1"/>
    <x v="1"/>
    <n v="3"/>
    <n v="4"/>
    <x v="0"/>
    <x v="0"/>
    <s v="Married"/>
    <n v="11836"/>
    <n v="5"/>
    <x v="1"/>
    <n v="14"/>
    <n v="3"/>
    <n v="1"/>
    <n v="28"/>
    <n v="3"/>
    <x v="1"/>
    <n v="2"/>
    <n v="0"/>
    <n v="2"/>
    <n v="2"/>
    <n v="0"/>
    <x v="1"/>
    <x v="2"/>
    <x v="1"/>
    <n v="5918"/>
  </r>
  <r>
    <n v="35"/>
    <x v="1"/>
    <x v="1"/>
    <n v="25"/>
    <n v="3"/>
    <s v="Technical Degree"/>
    <n v="4"/>
    <x v="1"/>
    <n v="2"/>
    <n v="3"/>
    <x v="3"/>
    <x v="1"/>
    <s v="Married"/>
    <n v="10903"/>
    <n v="3"/>
    <x v="1"/>
    <n v="16"/>
    <n v="1"/>
    <n v="0"/>
    <n v="16"/>
    <n v="2"/>
    <x v="1"/>
    <n v="13"/>
    <n v="10"/>
    <n v="4"/>
    <n v="8"/>
    <n v="0"/>
    <x v="2"/>
    <x v="2"/>
    <x v="3"/>
    <n v="838.69230769230774"/>
  </r>
  <r>
    <n v="37"/>
    <x v="1"/>
    <x v="0"/>
    <n v="21"/>
    <n v="2"/>
    <s v="Medical"/>
    <n v="3"/>
    <x v="0"/>
    <n v="3"/>
    <n v="1"/>
    <x v="6"/>
    <x v="0"/>
    <s v="Married"/>
    <n v="2973"/>
    <n v="5"/>
    <x v="1"/>
    <n v="15"/>
    <n v="2"/>
    <n v="1"/>
    <n v="10"/>
    <n v="3"/>
    <x v="1"/>
    <n v="5"/>
    <n v="4"/>
    <n v="0"/>
    <n v="0"/>
    <n v="0"/>
    <x v="0"/>
    <x v="1"/>
    <x v="2"/>
    <n v="594.6"/>
  </r>
  <r>
    <n v="53"/>
    <x v="1"/>
    <x v="1"/>
    <n v="23"/>
    <n v="4"/>
    <s v="Life Sciences"/>
    <n v="4"/>
    <x v="0"/>
    <n v="3"/>
    <n v="4"/>
    <x v="7"/>
    <x v="0"/>
    <s v="Single"/>
    <n v="14275"/>
    <n v="6"/>
    <x v="1"/>
    <n v="18"/>
    <n v="3"/>
    <n v="0"/>
    <n v="33"/>
    <n v="0"/>
    <x v="1"/>
    <n v="12"/>
    <n v="9"/>
    <n v="3"/>
    <n v="8"/>
    <n v="0"/>
    <x v="1"/>
    <x v="2"/>
    <x v="3"/>
    <n v="1189.5833333333333"/>
  </r>
  <r>
    <n v="43"/>
    <x v="1"/>
    <x v="1"/>
    <n v="1"/>
    <n v="3"/>
    <s v="Life Sciences"/>
    <n v="4"/>
    <x v="0"/>
    <n v="3"/>
    <n v="2"/>
    <x v="4"/>
    <x v="0"/>
    <s v="Married"/>
    <n v="5562"/>
    <n v="4"/>
    <x v="1"/>
    <n v="13"/>
    <n v="2"/>
    <n v="1"/>
    <n v="12"/>
    <n v="2"/>
    <x v="2"/>
    <n v="5"/>
    <n v="2"/>
    <n v="2"/>
    <n v="2"/>
    <n v="0"/>
    <x v="0"/>
    <x v="0"/>
    <x v="2"/>
    <n v="1112.4000000000001"/>
  </r>
  <r>
    <n v="47"/>
    <x v="1"/>
    <x v="0"/>
    <n v="2"/>
    <n v="2"/>
    <s v="Marketing"/>
    <n v="3"/>
    <x v="0"/>
    <n v="3"/>
    <n v="2"/>
    <x v="0"/>
    <x v="0"/>
    <s v="Married"/>
    <n v="4537"/>
    <n v="0"/>
    <x v="0"/>
    <n v="22"/>
    <n v="1"/>
    <n v="1"/>
    <n v="8"/>
    <n v="2"/>
    <x v="1"/>
    <n v="7"/>
    <n v="6"/>
    <n v="7"/>
    <n v="7"/>
    <n v="0"/>
    <x v="1"/>
    <x v="0"/>
    <x v="0"/>
    <n v="648.14285714285711"/>
  </r>
  <r>
    <n v="37"/>
    <x v="1"/>
    <x v="0"/>
    <n v="19"/>
    <n v="2"/>
    <s v="Medical"/>
    <n v="1"/>
    <x v="1"/>
    <n v="3"/>
    <n v="3"/>
    <x v="0"/>
    <x v="1"/>
    <s v="Single"/>
    <n v="7642"/>
    <n v="1"/>
    <x v="0"/>
    <n v="13"/>
    <n v="4"/>
    <n v="0"/>
    <n v="10"/>
    <n v="2"/>
    <x v="1"/>
    <n v="10"/>
    <n v="0"/>
    <n v="0"/>
    <n v="9"/>
    <n v="0"/>
    <x v="0"/>
    <x v="0"/>
    <x v="0"/>
    <n v="764.2"/>
  </r>
  <r>
    <n v="50"/>
    <x v="1"/>
    <x v="1"/>
    <n v="2"/>
    <n v="4"/>
    <s v="Life Sciences"/>
    <n v="1"/>
    <x v="1"/>
    <n v="3"/>
    <n v="4"/>
    <x v="5"/>
    <x v="3"/>
    <s v="Divorced"/>
    <n v="17924"/>
    <n v="1"/>
    <x v="1"/>
    <n v="11"/>
    <n v="4"/>
    <n v="1"/>
    <n v="31"/>
    <n v="3"/>
    <x v="1"/>
    <n v="31"/>
    <n v="6"/>
    <n v="14"/>
    <n v="7"/>
    <n v="0"/>
    <x v="1"/>
    <x v="2"/>
    <x v="3"/>
    <n v="578.19354838709683"/>
  </r>
  <r>
    <n v="39"/>
    <x v="1"/>
    <x v="2"/>
    <n v="2"/>
    <n v="3"/>
    <s v="Life Sciences"/>
    <n v="4"/>
    <x v="0"/>
    <n v="2"/>
    <n v="2"/>
    <x v="8"/>
    <x v="0"/>
    <s v="Married"/>
    <n v="5204"/>
    <n v="8"/>
    <x v="1"/>
    <n v="11"/>
    <n v="3"/>
    <n v="2"/>
    <n v="13"/>
    <n v="2"/>
    <x v="1"/>
    <n v="5"/>
    <n v="4"/>
    <n v="0"/>
    <n v="4"/>
    <n v="0"/>
    <x v="0"/>
    <x v="0"/>
    <x v="2"/>
    <n v="1040.8"/>
  </r>
  <r>
    <n v="33"/>
    <x v="1"/>
    <x v="2"/>
    <n v="3"/>
    <n v="2"/>
    <s v="Human Resources"/>
    <n v="4"/>
    <x v="1"/>
    <n v="3"/>
    <n v="1"/>
    <x v="8"/>
    <x v="1"/>
    <s v="Divorced"/>
    <n v="2277"/>
    <n v="3"/>
    <x v="0"/>
    <n v="11"/>
    <n v="3"/>
    <n v="1"/>
    <n v="7"/>
    <n v="4"/>
    <x v="3"/>
    <n v="4"/>
    <n v="3"/>
    <n v="0"/>
    <n v="3"/>
    <n v="0"/>
    <x v="2"/>
    <x v="1"/>
    <x v="2"/>
    <n v="569.25"/>
  </r>
  <r>
    <n v="32"/>
    <x v="0"/>
    <x v="1"/>
    <n v="25"/>
    <n v="4"/>
    <s v="Life Sciences"/>
    <n v="1"/>
    <x v="1"/>
    <n v="3"/>
    <n v="1"/>
    <x v="2"/>
    <x v="0"/>
    <s v="Single"/>
    <n v="2795"/>
    <n v="1"/>
    <x v="0"/>
    <n v="24"/>
    <n v="3"/>
    <n v="0"/>
    <n v="1"/>
    <n v="2"/>
    <x v="0"/>
    <n v="1"/>
    <n v="0"/>
    <n v="0"/>
    <n v="1"/>
    <n v="1"/>
    <x v="2"/>
    <x v="1"/>
    <x v="1"/>
    <n v="2795"/>
  </r>
  <r>
    <n v="29"/>
    <x v="1"/>
    <x v="1"/>
    <n v="7"/>
    <n v="1"/>
    <s v="Medical"/>
    <n v="1"/>
    <x v="0"/>
    <n v="2"/>
    <n v="1"/>
    <x v="2"/>
    <x v="0"/>
    <s v="Divorced"/>
    <n v="2532"/>
    <n v="6"/>
    <x v="1"/>
    <n v="14"/>
    <n v="3"/>
    <n v="3"/>
    <n v="8"/>
    <n v="5"/>
    <x v="1"/>
    <n v="4"/>
    <n v="3"/>
    <n v="0"/>
    <n v="3"/>
    <n v="0"/>
    <x v="2"/>
    <x v="1"/>
    <x v="2"/>
    <n v="633"/>
  </r>
  <r>
    <n v="44"/>
    <x v="1"/>
    <x v="1"/>
    <n v="9"/>
    <n v="2"/>
    <s v="Life Sciences"/>
    <n v="2"/>
    <x v="1"/>
    <n v="3"/>
    <n v="1"/>
    <x v="1"/>
    <x v="3"/>
    <s v="Married"/>
    <n v="2559"/>
    <n v="1"/>
    <x v="0"/>
    <n v="13"/>
    <n v="4"/>
    <n v="0"/>
    <n v="8"/>
    <n v="0"/>
    <x v="1"/>
    <n v="8"/>
    <n v="7"/>
    <n v="7"/>
    <n v="1"/>
    <n v="0"/>
    <x v="0"/>
    <x v="1"/>
    <x v="0"/>
    <n v="319.875"/>
  </r>
  <r>
    <n v="28"/>
    <x v="1"/>
    <x v="0"/>
    <n v="5"/>
    <n v="4"/>
    <s v="Medical"/>
    <n v="1"/>
    <x v="1"/>
    <n v="3"/>
    <n v="2"/>
    <x v="0"/>
    <x v="0"/>
    <s v="Single"/>
    <n v="4908"/>
    <n v="1"/>
    <x v="1"/>
    <n v="14"/>
    <n v="2"/>
    <n v="0"/>
    <n v="4"/>
    <n v="3"/>
    <x v="1"/>
    <n v="4"/>
    <n v="2"/>
    <n v="0"/>
    <n v="2"/>
    <n v="0"/>
    <x v="2"/>
    <x v="0"/>
    <x v="2"/>
    <n v="1227"/>
  </r>
  <r>
    <n v="58"/>
    <x v="0"/>
    <x v="1"/>
    <n v="2"/>
    <n v="1"/>
    <s v="Life Sciences"/>
    <n v="4"/>
    <x v="1"/>
    <n v="2"/>
    <n v="1"/>
    <x v="2"/>
    <x v="0"/>
    <s v="Divorced"/>
    <n v="2380"/>
    <n v="9"/>
    <x v="0"/>
    <n v="14"/>
    <n v="4"/>
    <n v="1"/>
    <n v="3"/>
    <n v="3"/>
    <x v="2"/>
    <n v="1"/>
    <n v="0"/>
    <n v="0"/>
    <n v="0"/>
    <n v="1"/>
    <x v="1"/>
    <x v="1"/>
    <x v="1"/>
    <n v="2380"/>
  </r>
  <r>
    <n v="43"/>
    <x v="1"/>
    <x v="1"/>
    <n v="8"/>
    <n v="3"/>
    <s v="Life Sciences"/>
    <n v="1"/>
    <x v="0"/>
    <n v="3"/>
    <n v="2"/>
    <x v="3"/>
    <x v="1"/>
    <s v="Divorced"/>
    <n v="4765"/>
    <n v="4"/>
    <x v="1"/>
    <n v="21"/>
    <n v="3"/>
    <n v="1"/>
    <n v="4"/>
    <n v="2"/>
    <x v="3"/>
    <n v="1"/>
    <n v="0"/>
    <n v="0"/>
    <n v="0"/>
    <n v="0"/>
    <x v="0"/>
    <x v="0"/>
    <x v="1"/>
    <n v="4765"/>
  </r>
  <r>
    <n v="20"/>
    <x v="0"/>
    <x v="0"/>
    <n v="2"/>
    <n v="3"/>
    <s v="Medical"/>
    <n v="3"/>
    <x v="0"/>
    <n v="2"/>
    <n v="1"/>
    <x v="6"/>
    <x v="2"/>
    <s v="Single"/>
    <n v="2044"/>
    <n v="1"/>
    <x v="1"/>
    <n v="13"/>
    <n v="4"/>
    <n v="0"/>
    <n v="2"/>
    <n v="3"/>
    <x v="2"/>
    <n v="2"/>
    <n v="2"/>
    <n v="0"/>
    <n v="2"/>
    <n v="1"/>
    <x v="3"/>
    <x v="1"/>
    <x v="1"/>
    <n v="1022"/>
  </r>
  <r>
    <n v="21"/>
    <x v="0"/>
    <x v="1"/>
    <n v="18"/>
    <n v="1"/>
    <s v="Other"/>
    <n v="4"/>
    <x v="0"/>
    <n v="3"/>
    <n v="1"/>
    <x v="1"/>
    <x v="0"/>
    <s v="Single"/>
    <n v="2693"/>
    <n v="1"/>
    <x v="1"/>
    <n v="19"/>
    <n v="1"/>
    <n v="0"/>
    <n v="1"/>
    <n v="3"/>
    <x v="2"/>
    <n v="1"/>
    <n v="0"/>
    <n v="0"/>
    <n v="0"/>
    <n v="1"/>
    <x v="3"/>
    <x v="1"/>
    <x v="1"/>
    <n v="2693"/>
  </r>
  <r>
    <n v="36"/>
    <x v="1"/>
    <x v="1"/>
    <n v="14"/>
    <n v="1"/>
    <s v="Life Sciences"/>
    <n v="3"/>
    <x v="1"/>
    <n v="3"/>
    <n v="2"/>
    <x v="4"/>
    <x v="0"/>
    <s v="Married"/>
    <n v="6586"/>
    <n v="0"/>
    <x v="0"/>
    <n v="17"/>
    <n v="1"/>
    <n v="1"/>
    <n v="17"/>
    <n v="2"/>
    <x v="2"/>
    <n v="16"/>
    <n v="8"/>
    <n v="4"/>
    <n v="11"/>
    <n v="0"/>
    <x v="0"/>
    <x v="0"/>
    <x v="3"/>
    <n v="411.625"/>
  </r>
  <r>
    <n v="47"/>
    <x v="1"/>
    <x v="0"/>
    <n v="2"/>
    <n v="4"/>
    <s v="Life Sciences"/>
    <n v="4"/>
    <x v="0"/>
    <n v="2"/>
    <n v="1"/>
    <x v="6"/>
    <x v="0"/>
    <s v="Single"/>
    <n v="3294"/>
    <n v="1"/>
    <x v="0"/>
    <n v="18"/>
    <n v="1"/>
    <n v="0"/>
    <n v="3"/>
    <n v="3"/>
    <x v="2"/>
    <n v="3"/>
    <n v="2"/>
    <n v="1"/>
    <n v="2"/>
    <n v="0"/>
    <x v="1"/>
    <x v="1"/>
    <x v="2"/>
    <n v="1098"/>
  </r>
  <r>
    <n v="22"/>
    <x v="0"/>
    <x v="1"/>
    <n v="3"/>
    <n v="1"/>
    <s v="Life Sciences"/>
    <n v="2"/>
    <x v="0"/>
    <n v="3"/>
    <n v="2"/>
    <x v="3"/>
    <x v="2"/>
    <s v="Married"/>
    <n v="4171"/>
    <n v="0"/>
    <x v="0"/>
    <n v="19"/>
    <n v="1"/>
    <n v="1"/>
    <n v="4"/>
    <n v="3"/>
    <x v="3"/>
    <n v="3"/>
    <n v="2"/>
    <n v="0"/>
    <n v="2"/>
    <n v="1"/>
    <x v="3"/>
    <x v="0"/>
    <x v="2"/>
    <n v="1390.3333333333333"/>
  </r>
  <r>
    <n v="41"/>
    <x v="0"/>
    <x v="1"/>
    <n v="2"/>
    <n v="4"/>
    <s v="Life Sciences"/>
    <n v="2"/>
    <x v="0"/>
    <n v="1"/>
    <n v="1"/>
    <x v="2"/>
    <x v="0"/>
    <s v="Divorced"/>
    <n v="2778"/>
    <n v="4"/>
    <x v="0"/>
    <n v="13"/>
    <n v="3"/>
    <n v="1"/>
    <n v="10"/>
    <n v="1"/>
    <x v="2"/>
    <n v="7"/>
    <n v="7"/>
    <n v="1"/>
    <n v="0"/>
    <n v="1"/>
    <x v="0"/>
    <x v="1"/>
    <x v="0"/>
    <n v="396.85714285714283"/>
  </r>
  <r>
    <n v="28"/>
    <x v="1"/>
    <x v="1"/>
    <n v="9"/>
    <n v="3"/>
    <s v="Medical"/>
    <n v="3"/>
    <x v="0"/>
    <n v="3"/>
    <n v="1"/>
    <x v="1"/>
    <x v="2"/>
    <s v="Divorced"/>
    <n v="2377"/>
    <n v="5"/>
    <x v="1"/>
    <n v="18"/>
    <n v="2"/>
    <n v="1"/>
    <n v="6"/>
    <n v="2"/>
    <x v="1"/>
    <n v="2"/>
    <n v="2"/>
    <n v="2"/>
    <n v="2"/>
    <n v="0"/>
    <x v="2"/>
    <x v="1"/>
    <x v="1"/>
    <n v="1188.5"/>
  </r>
  <r>
    <n v="39"/>
    <x v="0"/>
    <x v="1"/>
    <n v="6"/>
    <n v="3"/>
    <s v="Medical"/>
    <n v="4"/>
    <x v="1"/>
    <n v="3"/>
    <n v="1"/>
    <x v="2"/>
    <x v="3"/>
    <s v="Married"/>
    <n v="2404"/>
    <n v="7"/>
    <x v="0"/>
    <n v="21"/>
    <n v="4"/>
    <n v="0"/>
    <n v="8"/>
    <n v="2"/>
    <x v="0"/>
    <n v="2"/>
    <n v="2"/>
    <n v="2"/>
    <n v="2"/>
    <n v="1"/>
    <x v="0"/>
    <x v="1"/>
    <x v="1"/>
    <n v="1202"/>
  </r>
  <r>
    <n v="27"/>
    <x v="1"/>
    <x v="1"/>
    <n v="4"/>
    <n v="3"/>
    <s v="Life Sciences"/>
    <n v="2"/>
    <x v="0"/>
    <n v="3"/>
    <n v="1"/>
    <x v="1"/>
    <x v="2"/>
    <s v="Single"/>
    <n v="2318"/>
    <n v="1"/>
    <x v="1"/>
    <n v="19"/>
    <n v="3"/>
    <n v="0"/>
    <n v="1"/>
    <n v="2"/>
    <x v="1"/>
    <n v="1"/>
    <n v="1"/>
    <n v="0"/>
    <n v="0"/>
    <n v="0"/>
    <x v="2"/>
    <x v="1"/>
    <x v="1"/>
    <n v="2318"/>
  </r>
  <r>
    <n v="34"/>
    <x v="1"/>
    <x v="1"/>
    <n v="10"/>
    <n v="3"/>
    <s v="Life Sciences"/>
    <n v="2"/>
    <x v="1"/>
    <n v="3"/>
    <n v="1"/>
    <x v="2"/>
    <x v="1"/>
    <s v="Divorced"/>
    <n v="2008"/>
    <n v="1"/>
    <x v="1"/>
    <n v="14"/>
    <n v="2"/>
    <n v="2"/>
    <n v="1"/>
    <n v="3"/>
    <x v="1"/>
    <n v="1"/>
    <n v="0"/>
    <n v="1"/>
    <n v="0"/>
    <n v="0"/>
    <x v="2"/>
    <x v="1"/>
    <x v="1"/>
    <n v="2008"/>
  </r>
  <r>
    <n v="42"/>
    <x v="1"/>
    <x v="0"/>
    <n v="14"/>
    <n v="2"/>
    <s v="Medical"/>
    <n v="3"/>
    <x v="0"/>
    <n v="2"/>
    <n v="2"/>
    <x v="0"/>
    <x v="2"/>
    <s v="Single"/>
    <n v="6244"/>
    <n v="7"/>
    <x v="1"/>
    <n v="17"/>
    <n v="1"/>
    <n v="0"/>
    <n v="10"/>
    <n v="6"/>
    <x v="1"/>
    <n v="5"/>
    <n v="4"/>
    <n v="0"/>
    <n v="3"/>
    <n v="0"/>
    <x v="0"/>
    <x v="0"/>
    <x v="2"/>
    <n v="1248.8"/>
  </r>
  <r>
    <n v="33"/>
    <x v="1"/>
    <x v="1"/>
    <n v="1"/>
    <n v="4"/>
    <s v="Other"/>
    <n v="3"/>
    <x v="1"/>
    <n v="2"/>
    <n v="1"/>
    <x v="1"/>
    <x v="3"/>
    <s v="Single"/>
    <n v="2799"/>
    <n v="3"/>
    <x v="0"/>
    <n v="11"/>
    <n v="2"/>
    <n v="0"/>
    <n v="6"/>
    <n v="1"/>
    <x v="1"/>
    <n v="3"/>
    <n v="2"/>
    <n v="0"/>
    <n v="2"/>
    <n v="0"/>
    <x v="2"/>
    <x v="1"/>
    <x v="2"/>
    <n v="933"/>
  </r>
  <r>
    <n v="58"/>
    <x v="1"/>
    <x v="1"/>
    <n v="5"/>
    <n v="3"/>
    <s v="Technical Degree"/>
    <n v="3"/>
    <x v="0"/>
    <n v="2"/>
    <n v="3"/>
    <x v="4"/>
    <x v="1"/>
    <s v="Divorced"/>
    <n v="10552"/>
    <n v="2"/>
    <x v="0"/>
    <n v="13"/>
    <n v="4"/>
    <n v="1"/>
    <n v="24"/>
    <n v="3"/>
    <x v="1"/>
    <n v="6"/>
    <n v="0"/>
    <n v="0"/>
    <n v="4"/>
    <n v="0"/>
    <x v="1"/>
    <x v="2"/>
    <x v="0"/>
    <n v="1758.6666666666667"/>
  </r>
  <r>
    <n v="31"/>
    <x v="1"/>
    <x v="0"/>
    <n v="7"/>
    <n v="4"/>
    <s v="Life Sciences"/>
    <n v="2"/>
    <x v="1"/>
    <n v="2"/>
    <n v="1"/>
    <x v="6"/>
    <x v="2"/>
    <s v="Married"/>
    <n v="2329"/>
    <n v="3"/>
    <x v="1"/>
    <n v="15"/>
    <n v="2"/>
    <n v="0"/>
    <n v="13"/>
    <n v="2"/>
    <x v="3"/>
    <n v="7"/>
    <n v="7"/>
    <n v="5"/>
    <n v="2"/>
    <n v="0"/>
    <x v="2"/>
    <x v="1"/>
    <x v="0"/>
    <n v="332.71428571428572"/>
  </r>
  <r>
    <n v="35"/>
    <x v="1"/>
    <x v="1"/>
    <n v="21"/>
    <n v="1"/>
    <s v="Life Sciences"/>
    <n v="4"/>
    <x v="0"/>
    <n v="3"/>
    <n v="2"/>
    <x v="4"/>
    <x v="0"/>
    <s v="Married"/>
    <n v="4014"/>
    <n v="1"/>
    <x v="0"/>
    <n v="25"/>
    <n v="4"/>
    <n v="1"/>
    <n v="10"/>
    <n v="2"/>
    <x v="0"/>
    <n v="10"/>
    <n v="6"/>
    <n v="0"/>
    <n v="7"/>
    <n v="0"/>
    <x v="2"/>
    <x v="0"/>
    <x v="0"/>
    <n v="401.4"/>
  </r>
  <r>
    <n v="49"/>
    <x v="1"/>
    <x v="1"/>
    <n v="8"/>
    <n v="2"/>
    <s v="Other"/>
    <n v="1"/>
    <x v="0"/>
    <n v="3"/>
    <n v="3"/>
    <x v="2"/>
    <x v="1"/>
    <s v="Married"/>
    <n v="7403"/>
    <n v="4"/>
    <x v="1"/>
    <n v="11"/>
    <n v="3"/>
    <n v="1"/>
    <n v="29"/>
    <n v="3"/>
    <x v="2"/>
    <n v="26"/>
    <n v="9"/>
    <n v="1"/>
    <n v="7"/>
    <n v="0"/>
    <x v="1"/>
    <x v="0"/>
    <x v="3"/>
    <n v="284.73076923076923"/>
  </r>
  <r>
    <n v="48"/>
    <x v="1"/>
    <x v="1"/>
    <n v="20"/>
    <n v="4"/>
    <s v="Medical"/>
    <n v="4"/>
    <x v="1"/>
    <n v="3"/>
    <n v="1"/>
    <x v="1"/>
    <x v="2"/>
    <s v="Married"/>
    <n v="2259"/>
    <n v="4"/>
    <x v="1"/>
    <n v="17"/>
    <n v="1"/>
    <n v="2"/>
    <n v="13"/>
    <n v="2"/>
    <x v="2"/>
    <n v="0"/>
    <n v="0"/>
    <n v="0"/>
    <n v="0"/>
    <n v="0"/>
    <x v="1"/>
    <x v="1"/>
    <x v="1"/>
    <n v="2259"/>
  </r>
  <r>
    <n v="31"/>
    <x v="1"/>
    <x v="0"/>
    <n v="20"/>
    <n v="2"/>
    <s v="Marketing"/>
    <n v="4"/>
    <x v="0"/>
    <n v="3"/>
    <n v="2"/>
    <x v="0"/>
    <x v="2"/>
    <s v="Married"/>
    <n v="6932"/>
    <n v="1"/>
    <x v="1"/>
    <n v="13"/>
    <n v="4"/>
    <n v="1"/>
    <n v="9"/>
    <n v="2"/>
    <x v="2"/>
    <n v="9"/>
    <n v="8"/>
    <n v="0"/>
    <n v="0"/>
    <n v="0"/>
    <x v="2"/>
    <x v="0"/>
    <x v="0"/>
    <n v="770.22222222222217"/>
  </r>
  <r>
    <n v="36"/>
    <x v="1"/>
    <x v="1"/>
    <n v="7"/>
    <n v="4"/>
    <s v="Other"/>
    <n v="2"/>
    <x v="1"/>
    <n v="3"/>
    <n v="1"/>
    <x v="1"/>
    <x v="0"/>
    <s v="Single"/>
    <n v="4678"/>
    <n v="2"/>
    <x v="1"/>
    <n v="18"/>
    <n v="3"/>
    <n v="0"/>
    <n v="8"/>
    <n v="6"/>
    <x v="1"/>
    <n v="6"/>
    <n v="2"/>
    <n v="0"/>
    <n v="1"/>
    <n v="0"/>
    <x v="0"/>
    <x v="0"/>
    <x v="0"/>
    <n v="779.66666666666663"/>
  </r>
  <r>
    <n v="38"/>
    <x v="1"/>
    <x v="1"/>
    <n v="1"/>
    <n v="3"/>
    <s v="Technical Degree"/>
    <n v="4"/>
    <x v="0"/>
    <n v="3"/>
    <n v="3"/>
    <x v="7"/>
    <x v="3"/>
    <s v="Married"/>
    <n v="13582"/>
    <n v="1"/>
    <x v="1"/>
    <n v="13"/>
    <n v="2"/>
    <n v="1"/>
    <n v="15"/>
    <n v="3"/>
    <x v="1"/>
    <n v="15"/>
    <n v="12"/>
    <n v="5"/>
    <n v="11"/>
    <n v="0"/>
    <x v="0"/>
    <x v="2"/>
    <x v="3"/>
    <n v="905.4666666666667"/>
  </r>
  <r>
    <n v="32"/>
    <x v="1"/>
    <x v="1"/>
    <n v="1"/>
    <n v="3"/>
    <s v="Life Sciences"/>
    <n v="3"/>
    <x v="0"/>
    <n v="2"/>
    <n v="1"/>
    <x v="2"/>
    <x v="1"/>
    <s v="Married"/>
    <n v="2332"/>
    <n v="6"/>
    <x v="1"/>
    <n v="20"/>
    <n v="3"/>
    <n v="0"/>
    <n v="5"/>
    <n v="3"/>
    <x v="1"/>
    <n v="3"/>
    <n v="0"/>
    <n v="0"/>
    <n v="2"/>
    <n v="0"/>
    <x v="2"/>
    <x v="1"/>
    <x v="2"/>
    <n v="777.33333333333337"/>
  </r>
  <r>
    <n v="25"/>
    <x v="0"/>
    <x v="0"/>
    <n v="19"/>
    <n v="2"/>
    <s v="Marketing"/>
    <n v="3"/>
    <x v="1"/>
    <n v="2"/>
    <n v="1"/>
    <x v="6"/>
    <x v="1"/>
    <s v="Married"/>
    <n v="2413"/>
    <n v="1"/>
    <x v="0"/>
    <n v="18"/>
    <n v="3"/>
    <n v="3"/>
    <n v="1"/>
    <n v="2"/>
    <x v="1"/>
    <n v="1"/>
    <n v="0"/>
    <n v="0"/>
    <n v="0"/>
    <n v="1"/>
    <x v="3"/>
    <x v="1"/>
    <x v="1"/>
    <n v="2413"/>
  </r>
  <r>
    <n v="40"/>
    <x v="1"/>
    <x v="0"/>
    <n v="10"/>
    <n v="4"/>
    <s v="Marketing"/>
    <n v="1"/>
    <x v="1"/>
    <n v="2"/>
    <n v="3"/>
    <x v="0"/>
    <x v="1"/>
    <s v="Divorced"/>
    <n v="9705"/>
    <n v="2"/>
    <x v="1"/>
    <n v="12"/>
    <n v="2"/>
    <n v="1"/>
    <n v="11"/>
    <n v="2"/>
    <x v="2"/>
    <n v="1"/>
    <n v="0"/>
    <n v="0"/>
    <n v="0"/>
    <n v="0"/>
    <x v="0"/>
    <x v="0"/>
    <x v="1"/>
    <n v="9705"/>
  </r>
  <r>
    <n v="26"/>
    <x v="1"/>
    <x v="0"/>
    <n v="1"/>
    <n v="3"/>
    <s v="Medical"/>
    <n v="3"/>
    <x v="1"/>
    <n v="2"/>
    <n v="2"/>
    <x v="0"/>
    <x v="3"/>
    <s v="Single"/>
    <n v="4294"/>
    <n v="1"/>
    <x v="1"/>
    <n v="12"/>
    <n v="2"/>
    <n v="0"/>
    <n v="7"/>
    <n v="2"/>
    <x v="1"/>
    <n v="7"/>
    <n v="7"/>
    <n v="0"/>
    <n v="7"/>
    <n v="0"/>
    <x v="2"/>
    <x v="0"/>
    <x v="0"/>
    <n v="613.42857142857144"/>
  </r>
  <r>
    <n v="41"/>
    <x v="1"/>
    <x v="1"/>
    <n v="6"/>
    <n v="3"/>
    <s v="Medical"/>
    <n v="4"/>
    <x v="1"/>
    <n v="3"/>
    <n v="1"/>
    <x v="2"/>
    <x v="3"/>
    <s v="Single"/>
    <n v="4721"/>
    <n v="2"/>
    <x v="0"/>
    <n v="13"/>
    <n v="3"/>
    <n v="0"/>
    <n v="20"/>
    <n v="3"/>
    <x v="1"/>
    <n v="18"/>
    <n v="13"/>
    <n v="2"/>
    <n v="17"/>
    <n v="0"/>
    <x v="0"/>
    <x v="0"/>
    <x v="3"/>
    <n v="262.27777777777777"/>
  </r>
  <r>
    <n v="36"/>
    <x v="1"/>
    <x v="1"/>
    <n v="2"/>
    <n v="4"/>
    <s v="Medical"/>
    <n v="3"/>
    <x v="1"/>
    <n v="3"/>
    <n v="1"/>
    <x v="2"/>
    <x v="2"/>
    <s v="Single"/>
    <n v="2519"/>
    <n v="4"/>
    <x v="1"/>
    <n v="21"/>
    <n v="3"/>
    <n v="0"/>
    <n v="16"/>
    <n v="6"/>
    <x v="1"/>
    <n v="11"/>
    <n v="8"/>
    <n v="3"/>
    <n v="9"/>
    <n v="0"/>
    <x v="0"/>
    <x v="1"/>
    <x v="3"/>
    <n v="229"/>
  </r>
  <r>
    <n v="19"/>
    <x v="0"/>
    <x v="0"/>
    <n v="21"/>
    <n v="3"/>
    <s v="Other"/>
    <n v="4"/>
    <x v="1"/>
    <n v="2"/>
    <n v="1"/>
    <x v="6"/>
    <x v="1"/>
    <s v="Single"/>
    <n v="2121"/>
    <n v="1"/>
    <x v="0"/>
    <n v="13"/>
    <n v="2"/>
    <n v="0"/>
    <n v="1"/>
    <n v="3"/>
    <x v="3"/>
    <n v="1"/>
    <n v="0"/>
    <n v="0"/>
    <n v="0"/>
    <n v="1"/>
    <x v="3"/>
    <x v="1"/>
    <x v="1"/>
    <n v="2121"/>
  </r>
  <r>
    <n v="20"/>
    <x v="0"/>
    <x v="1"/>
    <n v="4"/>
    <n v="3"/>
    <s v="Technical Degree"/>
    <n v="1"/>
    <x v="1"/>
    <n v="3"/>
    <n v="1"/>
    <x v="2"/>
    <x v="3"/>
    <s v="Single"/>
    <n v="2973"/>
    <n v="1"/>
    <x v="1"/>
    <n v="19"/>
    <n v="2"/>
    <n v="0"/>
    <n v="1"/>
    <n v="2"/>
    <x v="1"/>
    <n v="1"/>
    <n v="0"/>
    <n v="0"/>
    <n v="0"/>
    <n v="1"/>
    <x v="3"/>
    <x v="1"/>
    <x v="1"/>
    <n v="2973"/>
  </r>
  <r>
    <n v="31"/>
    <x v="1"/>
    <x v="1"/>
    <n v="12"/>
    <n v="3"/>
    <s v="Medical"/>
    <n v="4"/>
    <x v="0"/>
    <n v="3"/>
    <n v="2"/>
    <x v="4"/>
    <x v="0"/>
    <s v="Married"/>
    <n v="5855"/>
    <n v="0"/>
    <x v="0"/>
    <n v="11"/>
    <n v="3"/>
    <n v="2"/>
    <n v="10"/>
    <n v="2"/>
    <x v="0"/>
    <n v="9"/>
    <n v="7"/>
    <n v="8"/>
    <n v="5"/>
    <n v="0"/>
    <x v="2"/>
    <x v="0"/>
    <x v="0"/>
    <n v="650.55555555555554"/>
  </r>
  <r>
    <n v="40"/>
    <x v="1"/>
    <x v="1"/>
    <n v="9"/>
    <n v="4"/>
    <s v="Medical"/>
    <n v="4"/>
    <x v="1"/>
    <n v="3"/>
    <n v="1"/>
    <x v="1"/>
    <x v="1"/>
    <s v="Divorced"/>
    <n v="3617"/>
    <n v="8"/>
    <x v="0"/>
    <n v="14"/>
    <n v="4"/>
    <n v="1"/>
    <n v="3"/>
    <n v="2"/>
    <x v="1"/>
    <n v="1"/>
    <n v="1"/>
    <n v="0"/>
    <n v="0"/>
    <n v="0"/>
    <x v="0"/>
    <x v="1"/>
    <x v="1"/>
    <n v="3617"/>
  </r>
  <r>
    <n v="32"/>
    <x v="1"/>
    <x v="1"/>
    <n v="3"/>
    <n v="4"/>
    <s v="Medical"/>
    <n v="3"/>
    <x v="0"/>
    <n v="3"/>
    <n v="2"/>
    <x v="3"/>
    <x v="3"/>
    <s v="Married"/>
    <n v="6725"/>
    <n v="1"/>
    <x v="1"/>
    <n v="12"/>
    <n v="3"/>
    <n v="1"/>
    <n v="8"/>
    <n v="2"/>
    <x v="3"/>
    <n v="8"/>
    <n v="7"/>
    <n v="6"/>
    <n v="3"/>
    <n v="0"/>
    <x v="2"/>
    <x v="0"/>
    <x v="0"/>
    <n v="840.625"/>
  </r>
  <r>
    <n v="36"/>
    <x v="0"/>
    <x v="0"/>
    <n v="3"/>
    <n v="1"/>
    <s v="Life Sciences"/>
    <n v="3"/>
    <x v="1"/>
    <n v="2"/>
    <n v="3"/>
    <x v="0"/>
    <x v="0"/>
    <s v="Married"/>
    <n v="10325"/>
    <n v="1"/>
    <x v="0"/>
    <n v="11"/>
    <n v="1"/>
    <n v="1"/>
    <n v="16"/>
    <n v="6"/>
    <x v="1"/>
    <n v="16"/>
    <n v="7"/>
    <n v="3"/>
    <n v="7"/>
    <n v="1"/>
    <x v="0"/>
    <x v="2"/>
    <x v="3"/>
    <n v="645.3125"/>
  </r>
  <r>
    <n v="33"/>
    <x v="1"/>
    <x v="1"/>
    <n v="1"/>
    <n v="3"/>
    <s v="Life Sciences"/>
    <n v="2"/>
    <x v="0"/>
    <n v="2"/>
    <n v="2"/>
    <x v="4"/>
    <x v="0"/>
    <s v="Single"/>
    <n v="6949"/>
    <n v="0"/>
    <x v="1"/>
    <n v="14"/>
    <n v="1"/>
    <n v="0"/>
    <n v="6"/>
    <n v="3"/>
    <x v="1"/>
    <n v="5"/>
    <n v="0"/>
    <n v="1"/>
    <n v="4"/>
    <n v="0"/>
    <x v="2"/>
    <x v="0"/>
    <x v="2"/>
    <n v="1389.8"/>
  </r>
  <r>
    <n v="37"/>
    <x v="0"/>
    <x v="0"/>
    <n v="1"/>
    <n v="4"/>
    <s v="Life Sciences"/>
    <n v="1"/>
    <x v="1"/>
    <n v="2"/>
    <n v="3"/>
    <x v="0"/>
    <x v="2"/>
    <s v="Married"/>
    <n v="10609"/>
    <n v="5"/>
    <x v="1"/>
    <n v="11"/>
    <n v="3"/>
    <n v="0"/>
    <n v="17"/>
    <n v="2"/>
    <x v="0"/>
    <n v="14"/>
    <n v="1"/>
    <n v="11"/>
    <n v="7"/>
    <n v="1"/>
    <x v="0"/>
    <x v="2"/>
    <x v="3"/>
    <n v="757.78571428571433"/>
  </r>
  <r>
    <n v="45"/>
    <x v="1"/>
    <x v="1"/>
    <n v="4"/>
    <n v="2"/>
    <s v="Life Sciences"/>
    <n v="3"/>
    <x v="1"/>
    <n v="3"/>
    <n v="2"/>
    <x v="2"/>
    <x v="1"/>
    <s v="Married"/>
    <n v="4447"/>
    <n v="1"/>
    <x v="1"/>
    <n v="12"/>
    <n v="2"/>
    <n v="0"/>
    <n v="9"/>
    <n v="5"/>
    <x v="2"/>
    <n v="9"/>
    <n v="7"/>
    <n v="0"/>
    <n v="8"/>
    <n v="0"/>
    <x v="0"/>
    <x v="0"/>
    <x v="0"/>
    <n v="494.11111111111109"/>
  </r>
  <r>
    <n v="29"/>
    <x v="1"/>
    <x v="0"/>
    <n v="20"/>
    <n v="3"/>
    <s v="Technical Degree"/>
    <n v="3"/>
    <x v="0"/>
    <n v="3"/>
    <n v="1"/>
    <x v="6"/>
    <x v="0"/>
    <s v="Married"/>
    <n v="2157"/>
    <n v="1"/>
    <x v="1"/>
    <n v="15"/>
    <n v="2"/>
    <n v="1"/>
    <n v="3"/>
    <n v="5"/>
    <x v="1"/>
    <n v="3"/>
    <n v="1"/>
    <n v="0"/>
    <n v="2"/>
    <n v="0"/>
    <x v="2"/>
    <x v="1"/>
    <x v="2"/>
    <n v="719"/>
  </r>
  <r>
    <n v="35"/>
    <x v="1"/>
    <x v="0"/>
    <n v="18"/>
    <n v="3"/>
    <s v="Medical"/>
    <n v="3"/>
    <x v="0"/>
    <n v="3"/>
    <n v="2"/>
    <x v="0"/>
    <x v="2"/>
    <s v="Married"/>
    <n v="4601"/>
    <n v="1"/>
    <x v="1"/>
    <n v="16"/>
    <n v="2"/>
    <n v="0"/>
    <n v="5"/>
    <n v="3"/>
    <x v="1"/>
    <n v="5"/>
    <n v="2"/>
    <n v="1"/>
    <n v="0"/>
    <n v="0"/>
    <x v="2"/>
    <x v="0"/>
    <x v="2"/>
    <n v="920.2"/>
  </r>
  <r>
    <n v="52"/>
    <x v="1"/>
    <x v="1"/>
    <n v="1"/>
    <n v="2"/>
    <s v="Life Sciences"/>
    <n v="4"/>
    <x v="1"/>
    <n v="3"/>
    <n v="4"/>
    <x v="5"/>
    <x v="0"/>
    <s v="Married"/>
    <n v="17099"/>
    <n v="2"/>
    <x v="1"/>
    <n v="15"/>
    <n v="2"/>
    <n v="1"/>
    <n v="26"/>
    <n v="2"/>
    <x v="2"/>
    <n v="9"/>
    <n v="8"/>
    <n v="7"/>
    <n v="8"/>
    <n v="0"/>
    <x v="1"/>
    <x v="2"/>
    <x v="0"/>
    <n v="1899.8888888888889"/>
  </r>
  <r>
    <n v="58"/>
    <x v="0"/>
    <x v="1"/>
    <n v="2"/>
    <n v="3"/>
    <s v="Technical Degree"/>
    <n v="4"/>
    <x v="1"/>
    <n v="3"/>
    <n v="1"/>
    <x v="1"/>
    <x v="2"/>
    <s v="Single"/>
    <n v="2479"/>
    <n v="4"/>
    <x v="1"/>
    <n v="24"/>
    <n v="1"/>
    <n v="0"/>
    <n v="7"/>
    <n v="4"/>
    <x v="1"/>
    <n v="1"/>
    <n v="0"/>
    <n v="0"/>
    <n v="0"/>
    <n v="1"/>
    <x v="1"/>
    <x v="1"/>
    <x v="1"/>
    <n v="2479"/>
  </r>
  <r>
    <n v="53"/>
    <x v="1"/>
    <x v="0"/>
    <n v="2"/>
    <n v="2"/>
    <s v="Medical"/>
    <n v="3"/>
    <x v="1"/>
    <n v="3"/>
    <n v="4"/>
    <x v="5"/>
    <x v="2"/>
    <s v="Divorced"/>
    <n v="14852"/>
    <n v="6"/>
    <x v="1"/>
    <n v="13"/>
    <n v="3"/>
    <n v="1"/>
    <n v="22"/>
    <n v="3"/>
    <x v="3"/>
    <n v="17"/>
    <n v="13"/>
    <n v="15"/>
    <n v="2"/>
    <n v="0"/>
    <x v="1"/>
    <x v="2"/>
    <x v="3"/>
    <n v="873.64705882352939"/>
  </r>
  <r>
    <n v="30"/>
    <x v="1"/>
    <x v="0"/>
    <n v="8"/>
    <n v="2"/>
    <s v="Other"/>
    <n v="3"/>
    <x v="1"/>
    <n v="3"/>
    <n v="3"/>
    <x v="0"/>
    <x v="2"/>
    <s v="Divorced"/>
    <n v="7264"/>
    <n v="5"/>
    <x v="1"/>
    <n v="11"/>
    <n v="1"/>
    <n v="1"/>
    <n v="10"/>
    <n v="2"/>
    <x v="3"/>
    <n v="8"/>
    <n v="4"/>
    <n v="7"/>
    <n v="7"/>
    <n v="0"/>
    <x v="2"/>
    <x v="0"/>
    <x v="0"/>
    <n v="908"/>
  </r>
  <r>
    <n v="38"/>
    <x v="1"/>
    <x v="0"/>
    <n v="10"/>
    <n v="3"/>
    <s v="Technical Degree"/>
    <n v="3"/>
    <x v="0"/>
    <n v="3"/>
    <n v="2"/>
    <x v="0"/>
    <x v="0"/>
    <s v="Single"/>
    <n v="5666"/>
    <n v="1"/>
    <x v="0"/>
    <n v="13"/>
    <n v="2"/>
    <n v="0"/>
    <n v="6"/>
    <n v="1"/>
    <x v="1"/>
    <n v="5"/>
    <n v="3"/>
    <n v="1"/>
    <n v="3"/>
    <n v="0"/>
    <x v="0"/>
    <x v="0"/>
    <x v="2"/>
    <n v="1133.2"/>
  </r>
  <r>
    <n v="35"/>
    <x v="1"/>
    <x v="0"/>
    <n v="3"/>
    <n v="4"/>
    <s v="Life Sciences"/>
    <n v="4"/>
    <x v="1"/>
    <n v="3"/>
    <n v="3"/>
    <x v="0"/>
    <x v="0"/>
    <s v="Divorced"/>
    <n v="7823"/>
    <n v="6"/>
    <x v="1"/>
    <n v="13"/>
    <n v="2"/>
    <n v="1"/>
    <n v="12"/>
    <n v="2"/>
    <x v="1"/>
    <n v="10"/>
    <n v="9"/>
    <n v="0"/>
    <n v="8"/>
    <n v="0"/>
    <x v="2"/>
    <x v="0"/>
    <x v="0"/>
    <n v="782.3"/>
  </r>
  <r>
    <n v="39"/>
    <x v="1"/>
    <x v="0"/>
    <n v="2"/>
    <n v="5"/>
    <s v="Life Sciences"/>
    <n v="1"/>
    <x v="1"/>
    <n v="4"/>
    <n v="3"/>
    <x v="0"/>
    <x v="2"/>
    <s v="Single"/>
    <n v="7880"/>
    <n v="0"/>
    <x v="1"/>
    <n v="18"/>
    <n v="4"/>
    <n v="0"/>
    <n v="9"/>
    <n v="3"/>
    <x v="1"/>
    <n v="8"/>
    <n v="7"/>
    <n v="0"/>
    <n v="7"/>
    <n v="0"/>
    <x v="0"/>
    <x v="0"/>
    <x v="0"/>
    <n v="985"/>
  </r>
  <r>
    <n v="40"/>
    <x v="0"/>
    <x v="0"/>
    <n v="24"/>
    <n v="3"/>
    <s v="Life Sciences"/>
    <n v="2"/>
    <x v="0"/>
    <n v="4"/>
    <n v="4"/>
    <x v="0"/>
    <x v="1"/>
    <s v="Single"/>
    <n v="13194"/>
    <n v="4"/>
    <x v="0"/>
    <n v="16"/>
    <n v="4"/>
    <n v="0"/>
    <n v="22"/>
    <n v="2"/>
    <x v="2"/>
    <n v="1"/>
    <n v="0"/>
    <n v="0"/>
    <n v="0"/>
    <n v="1"/>
    <x v="0"/>
    <x v="2"/>
    <x v="1"/>
    <n v="13194"/>
  </r>
  <r>
    <n v="47"/>
    <x v="1"/>
    <x v="1"/>
    <n v="16"/>
    <n v="4"/>
    <s v="Medical"/>
    <n v="3"/>
    <x v="1"/>
    <n v="4"/>
    <n v="2"/>
    <x v="3"/>
    <x v="2"/>
    <s v="Divorced"/>
    <n v="5067"/>
    <n v="1"/>
    <x v="0"/>
    <n v="19"/>
    <n v="3"/>
    <n v="0"/>
    <n v="20"/>
    <n v="3"/>
    <x v="3"/>
    <n v="19"/>
    <n v="10"/>
    <n v="2"/>
    <n v="7"/>
    <n v="0"/>
    <x v="1"/>
    <x v="0"/>
    <x v="3"/>
    <n v="266.68421052631578"/>
  </r>
  <r>
    <n v="36"/>
    <x v="1"/>
    <x v="0"/>
    <n v="8"/>
    <n v="4"/>
    <s v="Technical Degree"/>
    <n v="1"/>
    <x v="1"/>
    <n v="3"/>
    <n v="2"/>
    <x v="0"/>
    <x v="0"/>
    <s v="Divorced"/>
    <n v="5079"/>
    <n v="4"/>
    <x v="1"/>
    <n v="13"/>
    <n v="4"/>
    <n v="2"/>
    <n v="12"/>
    <n v="3"/>
    <x v="1"/>
    <n v="7"/>
    <n v="7"/>
    <n v="0"/>
    <n v="7"/>
    <n v="0"/>
    <x v="0"/>
    <x v="0"/>
    <x v="0"/>
    <n v="725.57142857142856"/>
  </r>
  <r>
    <n v="31"/>
    <x v="0"/>
    <x v="1"/>
    <n v="9"/>
    <n v="2"/>
    <s v="Medical"/>
    <n v="3"/>
    <x v="1"/>
    <n v="2"/>
    <n v="1"/>
    <x v="1"/>
    <x v="3"/>
    <s v="Single"/>
    <n v="2321"/>
    <n v="0"/>
    <x v="0"/>
    <n v="22"/>
    <n v="1"/>
    <n v="0"/>
    <n v="4"/>
    <n v="0"/>
    <x v="1"/>
    <n v="3"/>
    <n v="2"/>
    <n v="1"/>
    <n v="2"/>
    <n v="1"/>
    <x v="2"/>
    <x v="1"/>
    <x v="2"/>
    <n v="773.66666666666663"/>
  </r>
  <r>
    <n v="33"/>
    <x v="1"/>
    <x v="0"/>
    <n v="17"/>
    <n v="3"/>
    <s v="Life Sciences"/>
    <n v="4"/>
    <x v="1"/>
    <n v="3"/>
    <n v="4"/>
    <x v="5"/>
    <x v="2"/>
    <s v="Single"/>
    <n v="17444"/>
    <n v="1"/>
    <x v="1"/>
    <n v="11"/>
    <n v="4"/>
    <n v="0"/>
    <n v="10"/>
    <n v="2"/>
    <x v="1"/>
    <n v="10"/>
    <n v="8"/>
    <n v="6"/>
    <n v="0"/>
    <n v="0"/>
    <x v="2"/>
    <x v="2"/>
    <x v="0"/>
    <n v="1744.4"/>
  </r>
  <r>
    <n v="29"/>
    <x v="0"/>
    <x v="1"/>
    <n v="10"/>
    <n v="3"/>
    <s v="Life Sciences"/>
    <n v="4"/>
    <x v="0"/>
    <n v="2"/>
    <n v="1"/>
    <x v="1"/>
    <x v="3"/>
    <s v="Single"/>
    <n v="2404"/>
    <n v="6"/>
    <x v="0"/>
    <n v="20"/>
    <n v="3"/>
    <n v="0"/>
    <n v="3"/>
    <n v="5"/>
    <x v="1"/>
    <n v="0"/>
    <n v="0"/>
    <n v="0"/>
    <n v="0"/>
    <n v="1"/>
    <x v="2"/>
    <x v="1"/>
    <x v="1"/>
    <n v="2404"/>
  </r>
  <r>
    <n v="33"/>
    <x v="1"/>
    <x v="1"/>
    <n v="13"/>
    <n v="1"/>
    <s v="Life Sciences"/>
    <n v="2"/>
    <x v="0"/>
    <n v="3"/>
    <n v="1"/>
    <x v="1"/>
    <x v="0"/>
    <s v="Single"/>
    <n v="3452"/>
    <n v="3"/>
    <x v="1"/>
    <n v="18"/>
    <n v="1"/>
    <n v="0"/>
    <n v="5"/>
    <n v="4"/>
    <x v="1"/>
    <n v="3"/>
    <n v="2"/>
    <n v="0"/>
    <n v="2"/>
    <n v="0"/>
    <x v="2"/>
    <x v="1"/>
    <x v="2"/>
    <n v="1150.6666666666667"/>
  </r>
  <r>
    <n v="45"/>
    <x v="1"/>
    <x v="1"/>
    <n v="1"/>
    <n v="4"/>
    <s v="Medical"/>
    <n v="4"/>
    <x v="0"/>
    <n v="3"/>
    <n v="1"/>
    <x v="2"/>
    <x v="0"/>
    <s v="Divorced"/>
    <n v="2270"/>
    <n v="3"/>
    <x v="1"/>
    <n v="14"/>
    <n v="4"/>
    <n v="2"/>
    <n v="8"/>
    <n v="2"/>
    <x v="1"/>
    <n v="5"/>
    <n v="3"/>
    <n v="0"/>
    <n v="2"/>
    <n v="0"/>
    <x v="0"/>
    <x v="1"/>
    <x v="2"/>
    <n v="454"/>
  </r>
  <r>
    <n v="50"/>
    <x v="1"/>
    <x v="1"/>
    <n v="1"/>
    <n v="2"/>
    <s v="Medical"/>
    <n v="4"/>
    <x v="1"/>
    <n v="3"/>
    <n v="4"/>
    <x v="7"/>
    <x v="0"/>
    <s v="Divorced"/>
    <n v="17399"/>
    <n v="9"/>
    <x v="1"/>
    <n v="22"/>
    <n v="3"/>
    <n v="1"/>
    <n v="32"/>
    <n v="1"/>
    <x v="2"/>
    <n v="5"/>
    <n v="4"/>
    <n v="1"/>
    <n v="3"/>
    <n v="0"/>
    <x v="1"/>
    <x v="2"/>
    <x v="2"/>
    <n v="3479.8"/>
  </r>
  <r>
    <n v="33"/>
    <x v="1"/>
    <x v="1"/>
    <n v="1"/>
    <n v="4"/>
    <s v="Other"/>
    <n v="3"/>
    <x v="0"/>
    <n v="4"/>
    <n v="2"/>
    <x v="4"/>
    <x v="1"/>
    <s v="Married"/>
    <n v="5488"/>
    <n v="1"/>
    <x v="0"/>
    <n v="13"/>
    <n v="1"/>
    <n v="1"/>
    <n v="6"/>
    <n v="2"/>
    <x v="1"/>
    <n v="6"/>
    <n v="5"/>
    <n v="1"/>
    <n v="2"/>
    <n v="0"/>
    <x v="2"/>
    <x v="0"/>
    <x v="0"/>
    <n v="914.66666666666663"/>
  </r>
  <r>
    <n v="41"/>
    <x v="1"/>
    <x v="1"/>
    <n v="9"/>
    <n v="3"/>
    <s v="Medical"/>
    <n v="1"/>
    <x v="1"/>
    <n v="3"/>
    <n v="5"/>
    <x v="7"/>
    <x v="2"/>
    <s v="Divorced"/>
    <n v="19419"/>
    <n v="2"/>
    <x v="1"/>
    <n v="17"/>
    <n v="2"/>
    <n v="1"/>
    <n v="21"/>
    <n v="2"/>
    <x v="3"/>
    <n v="18"/>
    <n v="16"/>
    <n v="0"/>
    <n v="11"/>
    <n v="0"/>
    <x v="0"/>
    <x v="2"/>
    <x v="3"/>
    <n v="1078.8333333333333"/>
  </r>
  <r>
    <n v="27"/>
    <x v="1"/>
    <x v="1"/>
    <n v="16"/>
    <n v="4"/>
    <s v="Technical Degree"/>
    <n v="3"/>
    <x v="0"/>
    <n v="3"/>
    <n v="1"/>
    <x v="2"/>
    <x v="1"/>
    <s v="Married"/>
    <n v="2811"/>
    <n v="9"/>
    <x v="1"/>
    <n v="14"/>
    <n v="2"/>
    <n v="1"/>
    <n v="4"/>
    <n v="2"/>
    <x v="1"/>
    <n v="2"/>
    <n v="2"/>
    <n v="2"/>
    <n v="2"/>
    <n v="0"/>
    <x v="2"/>
    <x v="1"/>
    <x v="1"/>
    <n v="1405.5"/>
  </r>
  <r>
    <n v="45"/>
    <x v="1"/>
    <x v="1"/>
    <n v="23"/>
    <n v="2"/>
    <s v="Life Sciences"/>
    <n v="4"/>
    <x v="1"/>
    <n v="3"/>
    <n v="2"/>
    <x v="2"/>
    <x v="3"/>
    <s v="Married"/>
    <n v="3633"/>
    <n v="1"/>
    <x v="0"/>
    <n v="15"/>
    <n v="3"/>
    <n v="1"/>
    <n v="9"/>
    <n v="2"/>
    <x v="1"/>
    <n v="9"/>
    <n v="8"/>
    <n v="0"/>
    <n v="8"/>
    <n v="0"/>
    <x v="0"/>
    <x v="1"/>
    <x v="0"/>
    <n v="403.66666666666669"/>
  </r>
  <r>
    <n v="47"/>
    <x v="1"/>
    <x v="0"/>
    <n v="4"/>
    <n v="2"/>
    <s v="Life Sciences"/>
    <n v="4"/>
    <x v="0"/>
    <n v="3"/>
    <n v="2"/>
    <x v="0"/>
    <x v="0"/>
    <s v="Single"/>
    <n v="4163"/>
    <n v="1"/>
    <x v="0"/>
    <n v="17"/>
    <n v="3"/>
    <n v="0"/>
    <n v="9"/>
    <n v="0"/>
    <x v="1"/>
    <n v="9"/>
    <n v="0"/>
    <n v="0"/>
    <n v="7"/>
    <n v="0"/>
    <x v="1"/>
    <x v="0"/>
    <x v="0"/>
    <n v="462.55555555555554"/>
  </r>
  <r>
    <n v="30"/>
    <x v="0"/>
    <x v="1"/>
    <n v="22"/>
    <n v="3"/>
    <s v="Life Sciences"/>
    <n v="1"/>
    <x v="0"/>
    <n v="3"/>
    <n v="1"/>
    <x v="1"/>
    <x v="2"/>
    <s v="Married"/>
    <n v="2132"/>
    <n v="4"/>
    <x v="0"/>
    <n v="11"/>
    <n v="2"/>
    <n v="0"/>
    <n v="7"/>
    <n v="2"/>
    <x v="1"/>
    <n v="5"/>
    <n v="2"/>
    <n v="0"/>
    <n v="1"/>
    <n v="1"/>
    <x v="2"/>
    <x v="1"/>
    <x v="2"/>
    <n v="426.4"/>
  </r>
  <r>
    <n v="50"/>
    <x v="1"/>
    <x v="1"/>
    <n v="24"/>
    <n v="3"/>
    <s v="Life Sciences"/>
    <n v="4"/>
    <x v="1"/>
    <n v="3"/>
    <n v="4"/>
    <x v="3"/>
    <x v="2"/>
    <s v="Married"/>
    <n v="13973"/>
    <n v="3"/>
    <x v="0"/>
    <n v="18"/>
    <n v="4"/>
    <n v="1"/>
    <n v="22"/>
    <n v="2"/>
    <x v="1"/>
    <n v="12"/>
    <n v="11"/>
    <n v="1"/>
    <n v="5"/>
    <n v="0"/>
    <x v="1"/>
    <x v="2"/>
    <x v="3"/>
    <n v="1164.4166666666667"/>
  </r>
  <r>
    <n v="38"/>
    <x v="1"/>
    <x v="1"/>
    <n v="10"/>
    <n v="1"/>
    <s v="Medical"/>
    <n v="3"/>
    <x v="1"/>
    <n v="3"/>
    <n v="1"/>
    <x v="1"/>
    <x v="2"/>
    <s v="Married"/>
    <n v="2684"/>
    <n v="0"/>
    <x v="1"/>
    <n v="17"/>
    <n v="2"/>
    <n v="1"/>
    <n v="3"/>
    <n v="0"/>
    <x v="2"/>
    <n v="2"/>
    <n v="1"/>
    <n v="0"/>
    <n v="2"/>
    <n v="0"/>
    <x v="0"/>
    <x v="1"/>
    <x v="1"/>
    <n v="1342"/>
  </r>
  <r>
    <n v="46"/>
    <x v="1"/>
    <x v="1"/>
    <n v="7"/>
    <n v="2"/>
    <s v="Medical"/>
    <n v="4"/>
    <x v="1"/>
    <n v="3"/>
    <n v="3"/>
    <x v="3"/>
    <x v="2"/>
    <s v="Divorced"/>
    <n v="10845"/>
    <n v="6"/>
    <x v="1"/>
    <n v="13"/>
    <n v="2"/>
    <n v="1"/>
    <n v="13"/>
    <n v="3"/>
    <x v="1"/>
    <n v="8"/>
    <n v="7"/>
    <n v="0"/>
    <n v="7"/>
    <n v="0"/>
    <x v="1"/>
    <x v="2"/>
    <x v="0"/>
    <n v="1355.625"/>
  </r>
  <r>
    <n v="24"/>
    <x v="1"/>
    <x v="1"/>
    <n v="17"/>
    <n v="1"/>
    <s v="Medical"/>
    <n v="4"/>
    <x v="0"/>
    <n v="2"/>
    <n v="2"/>
    <x v="3"/>
    <x v="2"/>
    <s v="Divorced"/>
    <n v="4377"/>
    <n v="1"/>
    <x v="1"/>
    <n v="15"/>
    <n v="2"/>
    <n v="2"/>
    <n v="5"/>
    <n v="6"/>
    <x v="1"/>
    <n v="4"/>
    <n v="2"/>
    <n v="3"/>
    <n v="2"/>
    <n v="0"/>
    <x v="3"/>
    <x v="0"/>
    <x v="2"/>
    <n v="1094.25"/>
  </r>
  <r>
    <n v="35"/>
    <x v="0"/>
    <x v="1"/>
    <n v="14"/>
    <n v="4"/>
    <s v="Other"/>
    <n v="3"/>
    <x v="1"/>
    <n v="2"/>
    <n v="1"/>
    <x v="2"/>
    <x v="1"/>
    <s v="Divorced"/>
    <n v="3743"/>
    <n v="1"/>
    <x v="0"/>
    <n v="24"/>
    <n v="4"/>
    <n v="1"/>
    <n v="5"/>
    <n v="2"/>
    <x v="0"/>
    <n v="4"/>
    <n v="2"/>
    <n v="0"/>
    <n v="2"/>
    <n v="1"/>
    <x v="2"/>
    <x v="1"/>
    <x v="2"/>
    <n v="935.75"/>
  </r>
  <r>
    <n v="31"/>
    <x v="1"/>
    <x v="1"/>
    <n v="1"/>
    <n v="1"/>
    <s v="Life Sciences"/>
    <n v="3"/>
    <x v="0"/>
    <n v="3"/>
    <n v="2"/>
    <x v="3"/>
    <x v="3"/>
    <s v="Married"/>
    <n v="4148"/>
    <n v="1"/>
    <x v="1"/>
    <n v="12"/>
    <n v="3"/>
    <n v="1"/>
    <n v="4"/>
    <n v="1"/>
    <x v="1"/>
    <n v="4"/>
    <n v="3"/>
    <n v="0"/>
    <n v="3"/>
    <n v="0"/>
    <x v="2"/>
    <x v="0"/>
    <x v="2"/>
    <n v="1037"/>
  </r>
  <r>
    <n v="18"/>
    <x v="1"/>
    <x v="1"/>
    <n v="5"/>
    <n v="2"/>
    <s v="Life Sciences"/>
    <n v="2"/>
    <x v="1"/>
    <n v="3"/>
    <n v="1"/>
    <x v="1"/>
    <x v="0"/>
    <s v="Single"/>
    <n v="1051"/>
    <n v="1"/>
    <x v="1"/>
    <n v="15"/>
    <n v="4"/>
    <n v="0"/>
    <n v="0"/>
    <n v="2"/>
    <x v="1"/>
    <n v="0"/>
    <n v="0"/>
    <n v="0"/>
    <n v="0"/>
    <n v="0"/>
    <x v="3"/>
    <x v="1"/>
    <x v="1"/>
    <n v="1051"/>
  </r>
  <r>
    <n v="54"/>
    <x v="1"/>
    <x v="1"/>
    <n v="17"/>
    <n v="3"/>
    <s v="Technical Degree"/>
    <n v="3"/>
    <x v="0"/>
    <n v="3"/>
    <n v="3"/>
    <x v="3"/>
    <x v="2"/>
    <s v="Married"/>
    <n v="10739"/>
    <n v="8"/>
    <x v="1"/>
    <n v="11"/>
    <n v="3"/>
    <n v="1"/>
    <n v="22"/>
    <n v="2"/>
    <x v="1"/>
    <n v="10"/>
    <n v="7"/>
    <n v="0"/>
    <n v="8"/>
    <n v="0"/>
    <x v="1"/>
    <x v="2"/>
    <x v="0"/>
    <n v="1073.9000000000001"/>
  </r>
  <r>
    <n v="35"/>
    <x v="1"/>
    <x v="1"/>
    <n v="25"/>
    <n v="4"/>
    <s v="Medical"/>
    <n v="3"/>
    <x v="0"/>
    <n v="3"/>
    <n v="3"/>
    <x v="4"/>
    <x v="2"/>
    <s v="Divorced"/>
    <n v="10388"/>
    <n v="1"/>
    <x v="0"/>
    <n v="11"/>
    <n v="3"/>
    <n v="1"/>
    <n v="16"/>
    <n v="3"/>
    <x v="2"/>
    <n v="16"/>
    <n v="10"/>
    <n v="10"/>
    <n v="1"/>
    <n v="0"/>
    <x v="2"/>
    <x v="2"/>
    <x v="3"/>
    <n v="649.25"/>
  </r>
  <r>
    <n v="30"/>
    <x v="1"/>
    <x v="1"/>
    <n v="8"/>
    <n v="2"/>
    <s v="Life Sciences"/>
    <n v="2"/>
    <x v="0"/>
    <n v="4"/>
    <n v="3"/>
    <x v="7"/>
    <x v="3"/>
    <s v="Married"/>
    <n v="11416"/>
    <n v="0"/>
    <x v="0"/>
    <n v="12"/>
    <n v="3"/>
    <n v="3"/>
    <n v="9"/>
    <n v="4"/>
    <x v="2"/>
    <n v="8"/>
    <n v="7"/>
    <n v="1"/>
    <n v="7"/>
    <n v="0"/>
    <x v="2"/>
    <x v="2"/>
    <x v="0"/>
    <n v="1427"/>
  </r>
  <r>
    <n v="20"/>
    <x v="0"/>
    <x v="1"/>
    <n v="11"/>
    <n v="3"/>
    <s v="Medical"/>
    <n v="4"/>
    <x v="0"/>
    <n v="2"/>
    <n v="1"/>
    <x v="1"/>
    <x v="3"/>
    <s v="Single"/>
    <n v="2600"/>
    <n v="1"/>
    <x v="0"/>
    <n v="15"/>
    <n v="1"/>
    <n v="0"/>
    <n v="1"/>
    <n v="2"/>
    <x v="1"/>
    <n v="1"/>
    <n v="0"/>
    <n v="0"/>
    <n v="0"/>
    <n v="1"/>
    <x v="3"/>
    <x v="1"/>
    <x v="1"/>
    <n v="2600"/>
  </r>
  <r>
    <n v="30"/>
    <x v="0"/>
    <x v="1"/>
    <n v="5"/>
    <n v="3"/>
    <s v="Medical"/>
    <n v="2"/>
    <x v="0"/>
    <n v="3"/>
    <n v="1"/>
    <x v="2"/>
    <x v="1"/>
    <s v="Single"/>
    <n v="2422"/>
    <n v="0"/>
    <x v="1"/>
    <n v="17"/>
    <n v="1"/>
    <n v="0"/>
    <n v="4"/>
    <n v="3"/>
    <x v="1"/>
    <n v="3"/>
    <n v="2"/>
    <n v="1"/>
    <n v="2"/>
    <n v="1"/>
    <x v="2"/>
    <x v="1"/>
    <x v="2"/>
    <n v="807.33333333333337"/>
  </r>
  <r>
    <n v="26"/>
    <x v="1"/>
    <x v="1"/>
    <n v="2"/>
    <n v="2"/>
    <s v="Medical"/>
    <n v="4"/>
    <x v="1"/>
    <n v="4"/>
    <n v="2"/>
    <x v="3"/>
    <x v="0"/>
    <s v="Married"/>
    <n v="5472"/>
    <n v="1"/>
    <x v="1"/>
    <n v="12"/>
    <n v="2"/>
    <n v="0"/>
    <n v="8"/>
    <n v="2"/>
    <x v="1"/>
    <n v="8"/>
    <n v="7"/>
    <n v="1"/>
    <n v="3"/>
    <n v="0"/>
    <x v="2"/>
    <x v="0"/>
    <x v="0"/>
    <n v="684"/>
  </r>
  <r>
    <n v="22"/>
    <x v="1"/>
    <x v="1"/>
    <n v="8"/>
    <n v="1"/>
    <s v="Life Sciences"/>
    <n v="2"/>
    <x v="1"/>
    <n v="1"/>
    <n v="1"/>
    <x v="2"/>
    <x v="3"/>
    <s v="Married"/>
    <n v="2451"/>
    <n v="1"/>
    <x v="1"/>
    <n v="15"/>
    <n v="1"/>
    <n v="1"/>
    <n v="4"/>
    <n v="3"/>
    <x v="2"/>
    <n v="4"/>
    <n v="3"/>
    <n v="1"/>
    <n v="1"/>
    <n v="0"/>
    <x v="3"/>
    <x v="1"/>
    <x v="2"/>
    <n v="612.75"/>
  </r>
  <r>
    <n v="48"/>
    <x v="1"/>
    <x v="1"/>
    <n v="6"/>
    <n v="3"/>
    <s v="Life Sciences"/>
    <n v="1"/>
    <x v="1"/>
    <n v="2"/>
    <n v="2"/>
    <x v="4"/>
    <x v="2"/>
    <s v="Single"/>
    <n v="4240"/>
    <n v="2"/>
    <x v="1"/>
    <n v="13"/>
    <n v="4"/>
    <n v="0"/>
    <n v="19"/>
    <n v="0"/>
    <x v="1"/>
    <n v="2"/>
    <n v="2"/>
    <n v="2"/>
    <n v="2"/>
    <n v="0"/>
    <x v="1"/>
    <x v="0"/>
    <x v="1"/>
    <n v="2120"/>
  </r>
  <r>
    <n v="48"/>
    <x v="1"/>
    <x v="1"/>
    <n v="4"/>
    <n v="4"/>
    <s v="Life Sciences"/>
    <n v="3"/>
    <x v="1"/>
    <n v="2"/>
    <n v="3"/>
    <x v="4"/>
    <x v="2"/>
    <s v="Single"/>
    <n v="10999"/>
    <n v="7"/>
    <x v="1"/>
    <n v="14"/>
    <n v="2"/>
    <n v="0"/>
    <n v="27"/>
    <n v="3"/>
    <x v="1"/>
    <n v="15"/>
    <n v="11"/>
    <n v="4"/>
    <n v="8"/>
    <n v="0"/>
    <x v="1"/>
    <x v="2"/>
    <x v="3"/>
    <n v="733.26666666666665"/>
  </r>
  <r>
    <n v="41"/>
    <x v="1"/>
    <x v="1"/>
    <n v="7"/>
    <n v="2"/>
    <s v="Medical"/>
    <n v="4"/>
    <x v="0"/>
    <n v="3"/>
    <n v="2"/>
    <x v="3"/>
    <x v="2"/>
    <s v="Single"/>
    <n v="5003"/>
    <n v="6"/>
    <x v="1"/>
    <n v="14"/>
    <n v="2"/>
    <n v="0"/>
    <n v="8"/>
    <n v="6"/>
    <x v="1"/>
    <n v="2"/>
    <n v="2"/>
    <n v="2"/>
    <n v="1"/>
    <n v="0"/>
    <x v="0"/>
    <x v="0"/>
    <x v="1"/>
    <n v="2501.5"/>
  </r>
  <r>
    <n v="39"/>
    <x v="1"/>
    <x v="1"/>
    <n v="1"/>
    <n v="1"/>
    <s v="Life Sciences"/>
    <n v="4"/>
    <x v="0"/>
    <n v="2"/>
    <n v="4"/>
    <x v="3"/>
    <x v="0"/>
    <s v="Married"/>
    <n v="12742"/>
    <n v="1"/>
    <x v="1"/>
    <n v="16"/>
    <n v="3"/>
    <n v="1"/>
    <n v="21"/>
    <n v="3"/>
    <x v="1"/>
    <n v="21"/>
    <n v="6"/>
    <n v="11"/>
    <n v="8"/>
    <n v="0"/>
    <x v="0"/>
    <x v="2"/>
    <x v="3"/>
    <n v="606.76190476190482"/>
  </r>
  <r>
    <n v="27"/>
    <x v="1"/>
    <x v="1"/>
    <n v="2"/>
    <n v="4"/>
    <s v="Life Sciences"/>
    <n v="1"/>
    <x v="0"/>
    <n v="3"/>
    <n v="2"/>
    <x v="3"/>
    <x v="0"/>
    <s v="Married"/>
    <n v="4227"/>
    <n v="0"/>
    <x v="1"/>
    <n v="18"/>
    <n v="2"/>
    <n v="1"/>
    <n v="4"/>
    <n v="2"/>
    <x v="1"/>
    <n v="3"/>
    <n v="2"/>
    <n v="2"/>
    <n v="2"/>
    <n v="0"/>
    <x v="2"/>
    <x v="0"/>
    <x v="2"/>
    <n v="1409"/>
  </r>
  <r>
    <n v="35"/>
    <x v="1"/>
    <x v="1"/>
    <n v="10"/>
    <n v="3"/>
    <s v="Other"/>
    <n v="2"/>
    <x v="1"/>
    <n v="3"/>
    <n v="1"/>
    <x v="2"/>
    <x v="0"/>
    <s v="Divorced"/>
    <n v="3917"/>
    <n v="1"/>
    <x v="1"/>
    <n v="20"/>
    <n v="1"/>
    <n v="1"/>
    <n v="3"/>
    <n v="4"/>
    <x v="2"/>
    <n v="3"/>
    <n v="2"/>
    <n v="1"/>
    <n v="2"/>
    <n v="0"/>
    <x v="2"/>
    <x v="1"/>
    <x v="2"/>
    <n v="1305.6666666666667"/>
  </r>
  <r>
    <n v="42"/>
    <x v="1"/>
    <x v="0"/>
    <n v="5"/>
    <n v="2"/>
    <s v="Marketing"/>
    <n v="4"/>
    <x v="1"/>
    <n v="3"/>
    <n v="5"/>
    <x v="5"/>
    <x v="2"/>
    <s v="Married"/>
    <n v="18303"/>
    <n v="6"/>
    <x v="1"/>
    <n v="13"/>
    <n v="2"/>
    <n v="0"/>
    <n v="21"/>
    <n v="3"/>
    <x v="3"/>
    <n v="1"/>
    <n v="0"/>
    <n v="0"/>
    <n v="0"/>
    <n v="0"/>
    <x v="0"/>
    <x v="2"/>
    <x v="1"/>
    <n v="18303"/>
  </r>
  <r>
    <n v="50"/>
    <x v="1"/>
    <x v="1"/>
    <n v="9"/>
    <n v="3"/>
    <s v="Life Sciences"/>
    <n v="1"/>
    <x v="1"/>
    <n v="3"/>
    <n v="1"/>
    <x v="2"/>
    <x v="0"/>
    <s v="Married"/>
    <n v="2380"/>
    <n v="4"/>
    <x v="1"/>
    <n v="18"/>
    <n v="2"/>
    <n v="0"/>
    <n v="8"/>
    <n v="5"/>
    <x v="1"/>
    <n v="1"/>
    <n v="0"/>
    <n v="0"/>
    <n v="0"/>
    <n v="0"/>
    <x v="1"/>
    <x v="1"/>
    <x v="1"/>
    <n v="2380"/>
  </r>
  <r>
    <n v="59"/>
    <x v="1"/>
    <x v="1"/>
    <n v="2"/>
    <n v="3"/>
    <s v="Life Sciences"/>
    <n v="3"/>
    <x v="0"/>
    <n v="2"/>
    <n v="4"/>
    <x v="3"/>
    <x v="0"/>
    <s v="Single"/>
    <n v="13726"/>
    <n v="3"/>
    <x v="0"/>
    <n v="13"/>
    <n v="1"/>
    <n v="0"/>
    <n v="30"/>
    <n v="4"/>
    <x v="1"/>
    <n v="5"/>
    <n v="3"/>
    <n v="4"/>
    <n v="3"/>
    <n v="0"/>
    <x v="1"/>
    <x v="2"/>
    <x v="2"/>
    <n v="2745.2"/>
  </r>
  <r>
    <n v="37"/>
    <x v="0"/>
    <x v="1"/>
    <n v="11"/>
    <n v="2"/>
    <s v="Medical"/>
    <n v="1"/>
    <x v="0"/>
    <n v="1"/>
    <n v="2"/>
    <x v="4"/>
    <x v="1"/>
    <s v="Married"/>
    <n v="4777"/>
    <n v="5"/>
    <x v="1"/>
    <n v="15"/>
    <n v="1"/>
    <n v="0"/>
    <n v="15"/>
    <n v="2"/>
    <x v="0"/>
    <n v="1"/>
    <n v="0"/>
    <n v="0"/>
    <n v="0"/>
    <n v="1"/>
    <x v="0"/>
    <x v="0"/>
    <x v="1"/>
    <n v="4777"/>
  </r>
  <r>
    <n v="55"/>
    <x v="1"/>
    <x v="1"/>
    <n v="18"/>
    <n v="4"/>
    <s v="Medical"/>
    <n v="3"/>
    <x v="1"/>
    <n v="3"/>
    <n v="2"/>
    <x v="4"/>
    <x v="1"/>
    <s v="Married"/>
    <n v="6385"/>
    <n v="3"/>
    <x v="0"/>
    <n v="14"/>
    <n v="4"/>
    <n v="2"/>
    <n v="17"/>
    <n v="3"/>
    <x v="1"/>
    <n v="8"/>
    <n v="7"/>
    <n v="6"/>
    <n v="7"/>
    <n v="0"/>
    <x v="1"/>
    <x v="0"/>
    <x v="0"/>
    <n v="798.125"/>
  </r>
  <r>
    <n v="41"/>
    <x v="1"/>
    <x v="1"/>
    <n v="7"/>
    <n v="1"/>
    <s v="Life Sciences"/>
    <n v="2"/>
    <x v="0"/>
    <n v="1"/>
    <n v="5"/>
    <x v="7"/>
    <x v="2"/>
    <s v="Divorced"/>
    <n v="19973"/>
    <n v="1"/>
    <x v="1"/>
    <n v="22"/>
    <n v="2"/>
    <n v="2"/>
    <n v="21"/>
    <n v="3"/>
    <x v="1"/>
    <n v="21"/>
    <n v="16"/>
    <n v="5"/>
    <n v="10"/>
    <n v="0"/>
    <x v="0"/>
    <x v="2"/>
    <x v="3"/>
    <n v="951.09523809523807"/>
  </r>
  <r>
    <n v="38"/>
    <x v="1"/>
    <x v="0"/>
    <n v="3"/>
    <n v="4"/>
    <s v="Life Sciences"/>
    <n v="2"/>
    <x v="1"/>
    <n v="3"/>
    <n v="2"/>
    <x v="0"/>
    <x v="0"/>
    <s v="Single"/>
    <n v="6861"/>
    <n v="8"/>
    <x v="0"/>
    <n v="12"/>
    <n v="3"/>
    <n v="0"/>
    <n v="19"/>
    <n v="1"/>
    <x v="1"/>
    <n v="1"/>
    <n v="0"/>
    <n v="0"/>
    <n v="0"/>
    <n v="0"/>
    <x v="0"/>
    <x v="0"/>
    <x v="1"/>
    <n v="6861"/>
  </r>
  <r>
    <n v="26"/>
    <x v="0"/>
    <x v="0"/>
    <n v="29"/>
    <n v="2"/>
    <s v="Medical"/>
    <n v="2"/>
    <x v="1"/>
    <n v="1"/>
    <n v="2"/>
    <x v="0"/>
    <x v="3"/>
    <s v="Single"/>
    <n v="4969"/>
    <n v="8"/>
    <x v="1"/>
    <n v="18"/>
    <n v="4"/>
    <n v="0"/>
    <n v="7"/>
    <n v="6"/>
    <x v="1"/>
    <n v="2"/>
    <n v="2"/>
    <n v="2"/>
    <n v="2"/>
    <n v="1"/>
    <x v="2"/>
    <x v="0"/>
    <x v="1"/>
    <n v="2484.5"/>
  </r>
  <r>
    <n v="52"/>
    <x v="0"/>
    <x v="0"/>
    <n v="2"/>
    <n v="1"/>
    <s v="Marketing"/>
    <n v="1"/>
    <x v="0"/>
    <n v="1"/>
    <n v="5"/>
    <x v="5"/>
    <x v="0"/>
    <s v="Married"/>
    <n v="19845"/>
    <n v="1"/>
    <x v="1"/>
    <n v="15"/>
    <n v="4"/>
    <n v="1"/>
    <n v="33"/>
    <n v="3"/>
    <x v="1"/>
    <n v="32"/>
    <n v="14"/>
    <n v="6"/>
    <n v="9"/>
    <n v="1"/>
    <x v="1"/>
    <x v="2"/>
    <x v="3"/>
    <n v="620.15625"/>
  </r>
  <r>
    <n v="44"/>
    <x v="1"/>
    <x v="0"/>
    <n v="28"/>
    <n v="3"/>
    <s v="Medical"/>
    <n v="4"/>
    <x v="0"/>
    <n v="4"/>
    <n v="4"/>
    <x v="0"/>
    <x v="0"/>
    <s v="Married"/>
    <n v="13320"/>
    <n v="3"/>
    <x v="0"/>
    <n v="18"/>
    <n v="3"/>
    <n v="1"/>
    <n v="23"/>
    <n v="2"/>
    <x v="1"/>
    <n v="12"/>
    <n v="11"/>
    <n v="11"/>
    <n v="11"/>
    <n v="0"/>
    <x v="0"/>
    <x v="2"/>
    <x v="3"/>
    <n v="1110"/>
  </r>
  <r>
    <n v="50"/>
    <x v="1"/>
    <x v="0"/>
    <n v="1"/>
    <n v="3"/>
    <s v="Life Sciences"/>
    <n v="4"/>
    <x v="0"/>
    <n v="3"/>
    <n v="2"/>
    <x v="0"/>
    <x v="2"/>
    <s v="Married"/>
    <n v="6347"/>
    <n v="0"/>
    <x v="1"/>
    <n v="12"/>
    <n v="1"/>
    <n v="1"/>
    <n v="19"/>
    <n v="3"/>
    <x v="1"/>
    <n v="18"/>
    <n v="7"/>
    <n v="0"/>
    <n v="13"/>
    <n v="0"/>
    <x v="1"/>
    <x v="0"/>
    <x v="3"/>
    <n v="352.61111111111109"/>
  </r>
  <r>
    <n v="36"/>
    <x v="0"/>
    <x v="1"/>
    <n v="16"/>
    <n v="4"/>
    <s v="Life Sciences"/>
    <n v="3"/>
    <x v="0"/>
    <n v="4"/>
    <n v="1"/>
    <x v="2"/>
    <x v="3"/>
    <s v="Single"/>
    <n v="2743"/>
    <n v="1"/>
    <x v="1"/>
    <n v="16"/>
    <n v="3"/>
    <n v="0"/>
    <n v="18"/>
    <n v="1"/>
    <x v="1"/>
    <n v="17"/>
    <n v="13"/>
    <n v="15"/>
    <n v="14"/>
    <n v="1"/>
    <x v="0"/>
    <x v="1"/>
    <x v="3"/>
    <n v="161.35294117647058"/>
  </r>
  <r>
    <n v="39"/>
    <x v="1"/>
    <x v="1"/>
    <n v="22"/>
    <n v="3"/>
    <s v="Medical"/>
    <n v="4"/>
    <x v="0"/>
    <n v="3"/>
    <n v="3"/>
    <x v="3"/>
    <x v="3"/>
    <s v="Single"/>
    <n v="10880"/>
    <n v="1"/>
    <x v="0"/>
    <n v="13"/>
    <n v="3"/>
    <n v="0"/>
    <n v="21"/>
    <n v="2"/>
    <x v="1"/>
    <n v="21"/>
    <n v="6"/>
    <n v="2"/>
    <n v="8"/>
    <n v="0"/>
    <x v="0"/>
    <x v="2"/>
    <x v="3"/>
    <n v="518.09523809523807"/>
  </r>
  <r>
    <n v="33"/>
    <x v="1"/>
    <x v="0"/>
    <n v="8"/>
    <n v="1"/>
    <s v="Life Sciences"/>
    <n v="2"/>
    <x v="0"/>
    <n v="2"/>
    <n v="1"/>
    <x v="6"/>
    <x v="0"/>
    <s v="Single"/>
    <n v="2342"/>
    <n v="0"/>
    <x v="1"/>
    <n v="19"/>
    <n v="4"/>
    <n v="0"/>
    <n v="3"/>
    <n v="2"/>
    <x v="2"/>
    <n v="2"/>
    <n v="2"/>
    <n v="2"/>
    <n v="2"/>
    <n v="0"/>
    <x v="2"/>
    <x v="1"/>
    <x v="1"/>
    <n v="1171"/>
  </r>
  <r>
    <n v="45"/>
    <x v="1"/>
    <x v="0"/>
    <n v="11"/>
    <n v="2"/>
    <s v="Life Sciences"/>
    <n v="4"/>
    <x v="0"/>
    <n v="3"/>
    <n v="4"/>
    <x v="5"/>
    <x v="0"/>
    <s v="Married"/>
    <n v="17650"/>
    <n v="3"/>
    <x v="1"/>
    <n v="13"/>
    <n v="2"/>
    <n v="1"/>
    <n v="26"/>
    <n v="4"/>
    <x v="3"/>
    <n v="9"/>
    <n v="3"/>
    <n v="1"/>
    <n v="1"/>
    <n v="0"/>
    <x v="0"/>
    <x v="2"/>
    <x v="0"/>
    <n v="1961.1111111111111"/>
  </r>
  <r>
    <n v="32"/>
    <x v="1"/>
    <x v="1"/>
    <n v="29"/>
    <n v="4"/>
    <s v="Medical"/>
    <n v="4"/>
    <x v="0"/>
    <n v="3"/>
    <n v="1"/>
    <x v="2"/>
    <x v="2"/>
    <s v="Single"/>
    <n v="4025"/>
    <n v="9"/>
    <x v="1"/>
    <n v="12"/>
    <n v="2"/>
    <n v="0"/>
    <n v="10"/>
    <n v="2"/>
    <x v="1"/>
    <n v="8"/>
    <n v="7"/>
    <n v="7"/>
    <n v="7"/>
    <n v="0"/>
    <x v="2"/>
    <x v="0"/>
    <x v="0"/>
    <n v="503.125"/>
  </r>
  <r>
    <n v="34"/>
    <x v="1"/>
    <x v="0"/>
    <n v="1"/>
    <n v="4"/>
    <s v="Marketing"/>
    <n v="2"/>
    <x v="1"/>
    <n v="4"/>
    <n v="2"/>
    <x v="0"/>
    <x v="0"/>
    <s v="Divorced"/>
    <n v="9725"/>
    <n v="0"/>
    <x v="1"/>
    <n v="11"/>
    <n v="4"/>
    <n v="1"/>
    <n v="16"/>
    <n v="2"/>
    <x v="2"/>
    <n v="15"/>
    <n v="1"/>
    <n v="0"/>
    <n v="9"/>
    <n v="0"/>
    <x v="2"/>
    <x v="0"/>
    <x v="3"/>
    <n v="648.33333333333337"/>
  </r>
  <r>
    <n v="59"/>
    <x v="1"/>
    <x v="0"/>
    <n v="1"/>
    <n v="2"/>
    <s v="Technical Degree"/>
    <n v="2"/>
    <x v="1"/>
    <n v="3"/>
    <n v="3"/>
    <x v="5"/>
    <x v="0"/>
    <s v="Married"/>
    <n v="11904"/>
    <n v="3"/>
    <x v="0"/>
    <n v="14"/>
    <n v="3"/>
    <n v="1"/>
    <n v="14"/>
    <n v="1"/>
    <x v="0"/>
    <n v="6"/>
    <n v="4"/>
    <n v="0"/>
    <n v="4"/>
    <n v="0"/>
    <x v="1"/>
    <x v="2"/>
    <x v="0"/>
    <n v="1984"/>
  </r>
  <r>
    <n v="45"/>
    <x v="1"/>
    <x v="2"/>
    <n v="24"/>
    <n v="4"/>
    <s v="Medical"/>
    <n v="2"/>
    <x v="1"/>
    <n v="3"/>
    <n v="1"/>
    <x v="8"/>
    <x v="1"/>
    <s v="Single"/>
    <n v="2177"/>
    <n v="1"/>
    <x v="1"/>
    <n v="16"/>
    <n v="1"/>
    <n v="0"/>
    <n v="6"/>
    <n v="3"/>
    <x v="1"/>
    <n v="6"/>
    <n v="3"/>
    <n v="0"/>
    <n v="4"/>
    <n v="0"/>
    <x v="0"/>
    <x v="1"/>
    <x v="0"/>
    <n v="362.83333333333331"/>
  </r>
  <r>
    <n v="53"/>
    <x v="1"/>
    <x v="0"/>
    <n v="2"/>
    <n v="3"/>
    <s v="Marketing"/>
    <n v="3"/>
    <x v="0"/>
    <n v="2"/>
    <n v="3"/>
    <x v="0"/>
    <x v="1"/>
    <s v="Married"/>
    <n v="7525"/>
    <n v="2"/>
    <x v="1"/>
    <n v="12"/>
    <n v="1"/>
    <n v="1"/>
    <n v="30"/>
    <n v="2"/>
    <x v="1"/>
    <n v="15"/>
    <n v="7"/>
    <n v="6"/>
    <n v="12"/>
    <n v="0"/>
    <x v="1"/>
    <x v="0"/>
    <x v="3"/>
    <n v="501.66666666666669"/>
  </r>
  <r>
    <n v="36"/>
    <x v="0"/>
    <x v="1"/>
    <n v="15"/>
    <n v="3"/>
    <s v="Other"/>
    <n v="1"/>
    <x v="1"/>
    <n v="3"/>
    <n v="2"/>
    <x v="2"/>
    <x v="2"/>
    <s v="Divorced"/>
    <n v="4834"/>
    <n v="7"/>
    <x v="1"/>
    <n v="14"/>
    <n v="2"/>
    <n v="1"/>
    <n v="9"/>
    <n v="3"/>
    <x v="2"/>
    <n v="1"/>
    <n v="0"/>
    <n v="0"/>
    <n v="0"/>
    <n v="1"/>
    <x v="0"/>
    <x v="0"/>
    <x v="1"/>
    <n v="4834"/>
  </r>
  <r>
    <n v="26"/>
    <x v="0"/>
    <x v="1"/>
    <n v="2"/>
    <n v="3"/>
    <s v="Life Sciences"/>
    <n v="1"/>
    <x v="1"/>
    <n v="3"/>
    <n v="1"/>
    <x v="1"/>
    <x v="3"/>
    <s v="Married"/>
    <n v="2042"/>
    <n v="6"/>
    <x v="0"/>
    <n v="14"/>
    <n v="2"/>
    <n v="1"/>
    <n v="6"/>
    <n v="2"/>
    <x v="1"/>
    <n v="3"/>
    <n v="2"/>
    <n v="1"/>
    <n v="2"/>
    <n v="1"/>
    <x v="2"/>
    <x v="1"/>
    <x v="2"/>
    <n v="680.66666666666663"/>
  </r>
  <r>
    <n v="34"/>
    <x v="1"/>
    <x v="0"/>
    <n v="10"/>
    <n v="4"/>
    <s v="Life Sciences"/>
    <n v="3"/>
    <x v="0"/>
    <n v="3"/>
    <n v="1"/>
    <x v="6"/>
    <x v="2"/>
    <s v="Married"/>
    <n v="2220"/>
    <n v="1"/>
    <x v="0"/>
    <n v="19"/>
    <n v="4"/>
    <n v="1"/>
    <n v="1"/>
    <n v="2"/>
    <x v="1"/>
    <n v="1"/>
    <n v="1"/>
    <n v="0"/>
    <n v="0"/>
    <n v="0"/>
    <x v="2"/>
    <x v="1"/>
    <x v="1"/>
    <n v="2220"/>
  </r>
  <r>
    <n v="28"/>
    <x v="1"/>
    <x v="0"/>
    <n v="10"/>
    <n v="1"/>
    <s v="Medical"/>
    <n v="4"/>
    <x v="1"/>
    <n v="3"/>
    <n v="1"/>
    <x v="6"/>
    <x v="1"/>
    <s v="Married"/>
    <n v="1052"/>
    <n v="1"/>
    <x v="1"/>
    <n v="22"/>
    <n v="2"/>
    <n v="0"/>
    <n v="1"/>
    <n v="5"/>
    <x v="1"/>
    <n v="1"/>
    <n v="0"/>
    <n v="0"/>
    <n v="0"/>
    <n v="0"/>
    <x v="2"/>
    <x v="1"/>
    <x v="1"/>
    <n v="1052"/>
  </r>
  <r>
    <n v="38"/>
    <x v="1"/>
    <x v="1"/>
    <n v="3"/>
    <n v="4"/>
    <s v="Other"/>
    <n v="3"/>
    <x v="1"/>
    <n v="3"/>
    <n v="1"/>
    <x v="1"/>
    <x v="2"/>
    <s v="Married"/>
    <n v="2821"/>
    <n v="3"/>
    <x v="1"/>
    <n v="16"/>
    <n v="1"/>
    <n v="1"/>
    <n v="8"/>
    <n v="2"/>
    <x v="1"/>
    <n v="2"/>
    <n v="2"/>
    <n v="2"/>
    <n v="2"/>
    <n v="0"/>
    <x v="0"/>
    <x v="1"/>
    <x v="1"/>
    <n v="1410.5"/>
  </r>
  <r>
    <n v="50"/>
    <x v="1"/>
    <x v="1"/>
    <n v="2"/>
    <n v="4"/>
    <s v="Medical"/>
    <n v="2"/>
    <x v="1"/>
    <n v="3"/>
    <n v="5"/>
    <x v="7"/>
    <x v="2"/>
    <s v="Married"/>
    <n v="19237"/>
    <n v="2"/>
    <x v="0"/>
    <n v="11"/>
    <n v="4"/>
    <n v="1"/>
    <n v="29"/>
    <n v="2"/>
    <x v="2"/>
    <n v="8"/>
    <n v="1"/>
    <n v="7"/>
    <n v="7"/>
    <n v="0"/>
    <x v="1"/>
    <x v="2"/>
    <x v="0"/>
    <n v="2404.625"/>
  </r>
  <r>
    <n v="37"/>
    <x v="1"/>
    <x v="1"/>
    <n v="3"/>
    <n v="3"/>
    <s v="Other"/>
    <n v="4"/>
    <x v="0"/>
    <n v="3"/>
    <n v="2"/>
    <x v="4"/>
    <x v="1"/>
    <s v="Single"/>
    <n v="4107"/>
    <n v="3"/>
    <x v="1"/>
    <n v="15"/>
    <n v="1"/>
    <n v="0"/>
    <n v="8"/>
    <n v="3"/>
    <x v="2"/>
    <n v="4"/>
    <n v="3"/>
    <n v="0"/>
    <n v="1"/>
    <n v="0"/>
    <x v="0"/>
    <x v="0"/>
    <x v="2"/>
    <n v="1026.75"/>
  </r>
  <r>
    <n v="40"/>
    <x v="1"/>
    <x v="0"/>
    <n v="26"/>
    <n v="3"/>
    <s v="Marketing"/>
    <n v="3"/>
    <x v="1"/>
    <n v="3"/>
    <n v="2"/>
    <x v="0"/>
    <x v="3"/>
    <s v="Married"/>
    <n v="8396"/>
    <n v="1"/>
    <x v="1"/>
    <n v="14"/>
    <n v="2"/>
    <n v="1"/>
    <n v="8"/>
    <n v="3"/>
    <x v="2"/>
    <n v="7"/>
    <n v="7"/>
    <n v="7"/>
    <n v="5"/>
    <n v="0"/>
    <x v="0"/>
    <x v="0"/>
    <x v="0"/>
    <n v="1199.4285714285713"/>
  </r>
  <r>
    <n v="26"/>
    <x v="1"/>
    <x v="1"/>
    <n v="1"/>
    <n v="1"/>
    <s v="Medical"/>
    <n v="1"/>
    <x v="0"/>
    <n v="2"/>
    <n v="1"/>
    <x v="1"/>
    <x v="2"/>
    <s v="Divorced"/>
    <n v="2007"/>
    <n v="1"/>
    <x v="1"/>
    <n v="13"/>
    <n v="3"/>
    <n v="2"/>
    <n v="5"/>
    <n v="5"/>
    <x v="1"/>
    <n v="5"/>
    <n v="3"/>
    <n v="1"/>
    <n v="3"/>
    <n v="0"/>
    <x v="2"/>
    <x v="1"/>
    <x v="2"/>
    <n v="401.4"/>
  </r>
  <r>
    <n v="46"/>
    <x v="1"/>
    <x v="1"/>
    <n v="1"/>
    <n v="4"/>
    <s v="Medical"/>
    <n v="4"/>
    <x v="1"/>
    <n v="3"/>
    <n v="5"/>
    <x v="7"/>
    <x v="0"/>
    <s v="Divorced"/>
    <n v="19627"/>
    <n v="9"/>
    <x v="1"/>
    <n v="17"/>
    <n v="4"/>
    <n v="2"/>
    <n v="23"/>
    <n v="0"/>
    <x v="1"/>
    <n v="2"/>
    <n v="2"/>
    <n v="2"/>
    <n v="2"/>
    <n v="0"/>
    <x v="1"/>
    <x v="2"/>
    <x v="1"/>
    <n v="9813.5"/>
  </r>
  <r>
    <n v="54"/>
    <x v="1"/>
    <x v="0"/>
    <n v="2"/>
    <n v="4"/>
    <s v="Life Sciences"/>
    <n v="3"/>
    <x v="0"/>
    <n v="2"/>
    <n v="3"/>
    <x v="0"/>
    <x v="2"/>
    <s v="Married"/>
    <n v="10686"/>
    <n v="6"/>
    <x v="1"/>
    <n v="11"/>
    <n v="2"/>
    <n v="1"/>
    <n v="13"/>
    <n v="4"/>
    <x v="1"/>
    <n v="9"/>
    <n v="4"/>
    <n v="7"/>
    <n v="0"/>
    <n v="0"/>
    <x v="1"/>
    <x v="2"/>
    <x v="0"/>
    <n v="1187.3333333333333"/>
  </r>
  <r>
    <n v="56"/>
    <x v="1"/>
    <x v="1"/>
    <n v="9"/>
    <n v="3"/>
    <s v="Medical"/>
    <n v="1"/>
    <x v="0"/>
    <n v="3"/>
    <n v="1"/>
    <x v="1"/>
    <x v="2"/>
    <s v="Married"/>
    <n v="2942"/>
    <n v="2"/>
    <x v="1"/>
    <n v="19"/>
    <n v="2"/>
    <n v="1"/>
    <n v="18"/>
    <n v="4"/>
    <x v="1"/>
    <n v="5"/>
    <n v="4"/>
    <n v="0"/>
    <n v="3"/>
    <n v="0"/>
    <x v="1"/>
    <x v="1"/>
    <x v="2"/>
    <n v="588.4"/>
  </r>
  <r>
    <n v="36"/>
    <x v="1"/>
    <x v="1"/>
    <n v="12"/>
    <n v="5"/>
    <s v="Medical"/>
    <n v="4"/>
    <x v="0"/>
    <n v="2"/>
    <n v="3"/>
    <x v="3"/>
    <x v="0"/>
    <s v="Single"/>
    <n v="8858"/>
    <n v="0"/>
    <x v="1"/>
    <n v="11"/>
    <n v="2"/>
    <n v="0"/>
    <n v="15"/>
    <n v="2"/>
    <x v="2"/>
    <n v="14"/>
    <n v="8"/>
    <n v="7"/>
    <n v="8"/>
    <n v="0"/>
    <x v="0"/>
    <x v="0"/>
    <x v="3"/>
    <n v="632.71428571428567"/>
  </r>
  <r>
    <n v="55"/>
    <x v="1"/>
    <x v="1"/>
    <n v="2"/>
    <n v="1"/>
    <s v="Medical"/>
    <n v="3"/>
    <x v="1"/>
    <n v="2"/>
    <n v="4"/>
    <x v="5"/>
    <x v="3"/>
    <s v="Single"/>
    <n v="16756"/>
    <n v="7"/>
    <x v="1"/>
    <n v="15"/>
    <n v="2"/>
    <n v="0"/>
    <n v="31"/>
    <n v="3"/>
    <x v="3"/>
    <n v="9"/>
    <n v="7"/>
    <n v="6"/>
    <n v="2"/>
    <n v="0"/>
    <x v="1"/>
    <x v="2"/>
    <x v="0"/>
    <n v="1861.7777777777778"/>
  </r>
  <r>
    <n v="43"/>
    <x v="1"/>
    <x v="0"/>
    <n v="25"/>
    <n v="3"/>
    <s v="Medical"/>
    <n v="3"/>
    <x v="1"/>
    <n v="2"/>
    <n v="3"/>
    <x v="0"/>
    <x v="0"/>
    <s v="Divorced"/>
    <n v="10798"/>
    <n v="5"/>
    <x v="1"/>
    <n v="13"/>
    <n v="3"/>
    <n v="1"/>
    <n v="18"/>
    <n v="5"/>
    <x v="1"/>
    <n v="1"/>
    <n v="0"/>
    <n v="0"/>
    <n v="0"/>
    <n v="0"/>
    <x v="0"/>
    <x v="2"/>
    <x v="1"/>
    <n v="10798"/>
  </r>
  <r>
    <n v="20"/>
    <x v="0"/>
    <x v="0"/>
    <n v="9"/>
    <n v="3"/>
    <s v="Marketing"/>
    <n v="4"/>
    <x v="0"/>
    <n v="3"/>
    <n v="1"/>
    <x v="6"/>
    <x v="0"/>
    <s v="Single"/>
    <n v="2323"/>
    <n v="1"/>
    <x v="0"/>
    <n v="14"/>
    <n v="2"/>
    <n v="0"/>
    <n v="2"/>
    <n v="3"/>
    <x v="1"/>
    <n v="2"/>
    <n v="2"/>
    <n v="0"/>
    <n v="2"/>
    <n v="1"/>
    <x v="3"/>
    <x v="1"/>
    <x v="1"/>
    <n v="1161.5"/>
  </r>
  <r>
    <n v="21"/>
    <x v="0"/>
    <x v="1"/>
    <n v="10"/>
    <n v="3"/>
    <s v="Life Sciences"/>
    <n v="3"/>
    <x v="0"/>
    <n v="2"/>
    <n v="1"/>
    <x v="2"/>
    <x v="3"/>
    <s v="Single"/>
    <n v="1416"/>
    <n v="1"/>
    <x v="1"/>
    <n v="13"/>
    <n v="1"/>
    <n v="0"/>
    <n v="1"/>
    <n v="6"/>
    <x v="2"/>
    <n v="1"/>
    <n v="0"/>
    <n v="1"/>
    <n v="0"/>
    <n v="1"/>
    <x v="3"/>
    <x v="1"/>
    <x v="1"/>
    <n v="1416"/>
  </r>
  <r>
    <n v="46"/>
    <x v="1"/>
    <x v="1"/>
    <n v="8"/>
    <n v="4"/>
    <s v="Life Sciences"/>
    <n v="4"/>
    <x v="0"/>
    <n v="2"/>
    <n v="2"/>
    <x v="1"/>
    <x v="3"/>
    <s v="Divorced"/>
    <n v="4615"/>
    <n v="8"/>
    <x v="0"/>
    <n v="23"/>
    <n v="1"/>
    <n v="3"/>
    <n v="19"/>
    <n v="2"/>
    <x v="1"/>
    <n v="16"/>
    <n v="13"/>
    <n v="1"/>
    <n v="7"/>
    <n v="0"/>
    <x v="1"/>
    <x v="0"/>
    <x v="3"/>
    <n v="288.4375"/>
  </r>
  <r>
    <n v="51"/>
    <x v="0"/>
    <x v="1"/>
    <n v="4"/>
    <n v="4"/>
    <s v="Life Sciences"/>
    <n v="1"/>
    <x v="1"/>
    <n v="3"/>
    <n v="1"/>
    <x v="1"/>
    <x v="2"/>
    <s v="Married"/>
    <n v="2461"/>
    <n v="9"/>
    <x v="0"/>
    <n v="12"/>
    <n v="3"/>
    <n v="3"/>
    <n v="18"/>
    <n v="2"/>
    <x v="3"/>
    <n v="10"/>
    <n v="0"/>
    <n v="2"/>
    <n v="7"/>
    <n v="1"/>
    <x v="1"/>
    <x v="1"/>
    <x v="0"/>
    <n v="246.1"/>
  </r>
  <r>
    <n v="28"/>
    <x v="0"/>
    <x v="1"/>
    <n v="24"/>
    <n v="2"/>
    <s v="Technical Degree"/>
    <n v="2"/>
    <x v="1"/>
    <n v="2"/>
    <n v="3"/>
    <x v="4"/>
    <x v="3"/>
    <s v="Single"/>
    <n v="8722"/>
    <n v="1"/>
    <x v="1"/>
    <n v="12"/>
    <n v="1"/>
    <n v="0"/>
    <n v="10"/>
    <n v="2"/>
    <x v="2"/>
    <n v="10"/>
    <n v="7"/>
    <n v="1"/>
    <n v="9"/>
    <n v="1"/>
    <x v="2"/>
    <x v="0"/>
    <x v="0"/>
    <n v="872.2"/>
  </r>
  <r>
    <n v="26"/>
    <x v="1"/>
    <x v="1"/>
    <n v="1"/>
    <n v="2"/>
    <s v="Medical"/>
    <n v="1"/>
    <x v="1"/>
    <n v="2"/>
    <n v="1"/>
    <x v="2"/>
    <x v="3"/>
    <s v="Married"/>
    <n v="3955"/>
    <n v="1"/>
    <x v="1"/>
    <n v="16"/>
    <n v="1"/>
    <n v="2"/>
    <n v="6"/>
    <n v="2"/>
    <x v="1"/>
    <n v="5"/>
    <n v="3"/>
    <n v="1"/>
    <n v="3"/>
    <n v="0"/>
    <x v="2"/>
    <x v="1"/>
    <x v="2"/>
    <n v="791"/>
  </r>
  <r>
    <n v="30"/>
    <x v="1"/>
    <x v="1"/>
    <n v="20"/>
    <n v="3"/>
    <s v="Other"/>
    <n v="3"/>
    <x v="1"/>
    <n v="3"/>
    <n v="2"/>
    <x v="3"/>
    <x v="3"/>
    <s v="Married"/>
    <n v="9957"/>
    <n v="0"/>
    <x v="1"/>
    <n v="15"/>
    <n v="3"/>
    <n v="1"/>
    <n v="7"/>
    <n v="1"/>
    <x v="2"/>
    <n v="6"/>
    <n v="2"/>
    <n v="0"/>
    <n v="2"/>
    <n v="0"/>
    <x v="2"/>
    <x v="0"/>
    <x v="0"/>
    <n v="1659.5"/>
  </r>
  <r>
    <n v="41"/>
    <x v="1"/>
    <x v="1"/>
    <n v="7"/>
    <n v="2"/>
    <s v="Technical Degree"/>
    <n v="2"/>
    <x v="0"/>
    <n v="4"/>
    <n v="1"/>
    <x v="1"/>
    <x v="2"/>
    <s v="Married"/>
    <n v="3376"/>
    <n v="1"/>
    <x v="1"/>
    <n v="13"/>
    <n v="3"/>
    <n v="0"/>
    <n v="10"/>
    <n v="3"/>
    <x v="1"/>
    <n v="10"/>
    <n v="6"/>
    <n v="0"/>
    <n v="8"/>
    <n v="0"/>
    <x v="0"/>
    <x v="1"/>
    <x v="0"/>
    <n v="337.6"/>
  </r>
  <r>
    <n v="38"/>
    <x v="1"/>
    <x v="1"/>
    <n v="17"/>
    <n v="1"/>
    <s v="Life Sciences"/>
    <n v="3"/>
    <x v="0"/>
    <n v="2"/>
    <n v="3"/>
    <x v="4"/>
    <x v="2"/>
    <s v="Married"/>
    <n v="8823"/>
    <n v="0"/>
    <x v="1"/>
    <n v="18"/>
    <n v="1"/>
    <n v="1"/>
    <n v="20"/>
    <n v="4"/>
    <x v="2"/>
    <n v="19"/>
    <n v="9"/>
    <n v="1"/>
    <n v="9"/>
    <n v="0"/>
    <x v="0"/>
    <x v="0"/>
    <x v="3"/>
    <n v="464.36842105263156"/>
  </r>
  <r>
    <n v="40"/>
    <x v="1"/>
    <x v="1"/>
    <n v="20"/>
    <n v="4"/>
    <s v="Technical Degree"/>
    <n v="1"/>
    <x v="1"/>
    <n v="3"/>
    <n v="3"/>
    <x v="4"/>
    <x v="0"/>
    <s v="Married"/>
    <n v="10322"/>
    <n v="4"/>
    <x v="1"/>
    <n v="20"/>
    <n v="4"/>
    <n v="1"/>
    <n v="14"/>
    <n v="6"/>
    <x v="1"/>
    <n v="11"/>
    <n v="10"/>
    <n v="11"/>
    <n v="1"/>
    <n v="0"/>
    <x v="0"/>
    <x v="2"/>
    <x v="3"/>
    <n v="938.36363636363637"/>
  </r>
  <r>
    <n v="27"/>
    <x v="1"/>
    <x v="1"/>
    <n v="8"/>
    <n v="5"/>
    <s v="Life Sciences"/>
    <n v="1"/>
    <x v="1"/>
    <n v="1"/>
    <n v="1"/>
    <x v="2"/>
    <x v="2"/>
    <s v="Married"/>
    <n v="4621"/>
    <n v="1"/>
    <x v="1"/>
    <n v="19"/>
    <n v="4"/>
    <n v="3"/>
    <n v="3"/>
    <n v="4"/>
    <x v="1"/>
    <n v="3"/>
    <n v="2"/>
    <n v="1"/>
    <n v="2"/>
    <n v="0"/>
    <x v="2"/>
    <x v="0"/>
    <x v="2"/>
    <n v="1540.3333333333333"/>
  </r>
  <r>
    <n v="55"/>
    <x v="1"/>
    <x v="1"/>
    <n v="2"/>
    <n v="1"/>
    <s v="Life Sciences"/>
    <n v="4"/>
    <x v="1"/>
    <n v="3"/>
    <n v="3"/>
    <x v="3"/>
    <x v="1"/>
    <s v="Married"/>
    <n v="10976"/>
    <n v="3"/>
    <x v="1"/>
    <n v="18"/>
    <n v="2"/>
    <n v="1"/>
    <n v="23"/>
    <n v="4"/>
    <x v="1"/>
    <n v="3"/>
    <n v="2"/>
    <n v="1"/>
    <n v="2"/>
    <n v="0"/>
    <x v="1"/>
    <x v="2"/>
    <x v="2"/>
    <n v="3658.6666666666665"/>
  </r>
  <r>
    <n v="28"/>
    <x v="1"/>
    <x v="1"/>
    <n v="10"/>
    <n v="3"/>
    <s v="Other"/>
    <n v="3"/>
    <x v="0"/>
    <n v="3"/>
    <n v="2"/>
    <x v="1"/>
    <x v="2"/>
    <s v="Single"/>
    <n v="3660"/>
    <n v="3"/>
    <x v="1"/>
    <n v="13"/>
    <n v="4"/>
    <n v="0"/>
    <n v="10"/>
    <n v="4"/>
    <x v="3"/>
    <n v="8"/>
    <n v="7"/>
    <n v="1"/>
    <n v="7"/>
    <n v="0"/>
    <x v="2"/>
    <x v="1"/>
    <x v="0"/>
    <n v="457.5"/>
  </r>
  <r>
    <n v="44"/>
    <x v="0"/>
    <x v="2"/>
    <n v="1"/>
    <n v="2"/>
    <s v="Medical"/>
    <n v="2"/>
    <x v="1"/>
    <n v="2"/>
    <n v="3"/>
    <x v="8"/>
    <x v="3"/>
    <s v="Married"/>
    <n v="10482"/>
    <n v="9"/>
    <x v="1"/>
    <n v="14"/>
    <n v="4"/>
    <n v="1"/>
    <n v="24"/>
    <n v="1"/>
    <x v="1"/>
    <n v="20"/>
    <n v="6"/>
    <n v="3"/>
    <n v="6"/>
    <n v="1"/>
    <x v="0"/>
    <x v="2"/>
    <x v="3"/>
    <n v="524.1"/>
  </r>
  <r>
    <n v="33"/>
    <x v="1"/>
    <x v="1"/>
    <n v="5"/>
    <n v="3"/>
    <s v="Life Sciences"/>
    <n v="4"/>
    <x v="1"/>
    <n v="2"/>
    <n v="3"/>
    <x v="4"/>
    <x v="0"/>
    <s v="Divorced"/>
    <n v="7119"/>
    <n v="4"/>
    <x v="1"/>
    <n v="15"/>
    <n v="3"/>
    <n v="1"/>
    <n v="9"/>
    <n v="2"/>
    <x v="1"/>
    <n v="3"/>
    <n v="2"/>
    <n v="1"/>
    <n v="2"/>
    <n v="0"/>
    <x v="2"/>
    <x v="0"/>
    <x v="2"/>
    <n v="2373"/>
  </r>
  <r>
    <n v="35"/>
    <x v="0"/>
    <x v="0"/>
    <n v="4"/>
    <n v="3"/>
    <s v="Technical Degree"/>
    <n v="4"/>
    <x v="1"/>
    <n v="3"/>
    <n v="3"/>
    <x v="0"/>
    <x v="3"/>
    <s v="Single"/>
    <n v="9582"/>
    <n v="0"/>
    <x v="0"/>
    <n v="22"/>
    <n v="1"/>
    <n v="0"/>
    <n v="9"/>
    <n v="2"/>
    <x v="1"/>
    <n v="8"/>
    <n v="7"/>
    <n v="4"/>
    <n v="7"/>
    <n v="1"/>
    <x v="2"/>
    <x v="0"/>
    <x v="0"/>
    <n v="1197.75"/>
  </r>
  <r>
    <n v="33"/>
    <x v="0"/>
    <x v="1"/>
    <n v="29"/>
    <n v="4"/>
    <s v="Medical"/>
    <n v="1"/>
    <x v="0"/>
    <n v="2"/>
    <n v="2"/>
    <x v="1"/>
    <x v="2"/>
    <s v="Single"/>
    <n v="4508"/>
    <n v="1"/>
    <x v="1"/>
    <n v="22"/>
    <n v="2"/>
    <n v="0"/>
    <n v="14"/>
    <n v="4"/>
    <x v="1"/>
    <n v="13"/>
    <n v="7"/>
    <n v="3"/>
    <n v="8"/>
    <n v="1"/>
    <x v="2"/>
    <x v="0"/>
    <x v="3"/>
    <n v="346.76923076923077"/>
  </r>
  <r>
    <n v="28"/>
    <x v="1"/>
    <x v="1"/>
    <n v="15"/>
    <n v="2"/>
    <s v="Life Sciences"/>
    <n v="1"/>
    <x v="1"/>
    <n v="3"/>
    <n v="1"/>
    <x v="2"/>
    <x v="2"/>
    <s v="Divorced"/>
    <n v="2207"/>
    <n v="1"/>
    <x v="1"/>
    <n v="16"/>
    <n v="4"/>
    <n v="1"/>
    <n v="4"/>
    <n v="5"/>
    <x v="2"/>
    <n v="4"/>
    <n v="2"/>
    <n v="2"/>
    <n v="2"/>
    <n v="0"/>
    <x v="2"/>
    <x v="1"/>
    <x v="2"/>
    <n v="551.75"/>
  </r>
  <r>
    <n v="34"/>
    <x v="1"/>
    <x v="1"/>
    <n v="3"/>
    <n v="1"/>
    <s v="Life Sciences"/>
    <n v="1"/>
    <x v="1"/>
    <n v="3"/>
    <n v="2"/>
    <x v="4"/>
    <x v="0"/>
    <s v="Single"/>
    <n v="7756"/>
    <n v="0"/>
    <x v="1"/>
    <n v="17"/>
    <n v="3"/>
    <n v="0"/>
    <n v="7"/>
    <n v="1"/>
    <x v="2"/>
    <n v="6"/>
    <n v="2"/>
    <n v="0"/>
    <n v="4"/>
    <n v="0"/>
    <x v="2"/>
    <x v="0"/>
    <x v="0"/>
    <n v="1292.6666666666667"/>
  </r>
  <r>
    <n v="37"/>
    <x v="1"/>
    <x v="0"/>
    <n v="10"/>
    <n v="4"/>
    <s v="Life Sciences"/>
    <n v="4"/>
    <x v="0"/>
    <n v="2"/>
    <n v="2"/>
    <x v="0"/>
    <x v="0"/>
    <s v="Divorced"/>
    <n v="6694"/>
    <n v="2"/>
    <x v="0"/>
    <n v="14"/>
    <n v="3"/>
    <n v="3"/>
    <n v="8"/>
    <n v="5"/>
    <x v="1"/>
    <n v="1"/>
    <n v="0"/>
    <n v="0"/>
    <n v="0"/>
    <n v="0"/>
    <x v="0"/>
    <x v="0"/>
    <x v="1"/>
    <n v="6694"/>
  </r>
  <r>
    <n v="25"/>
    <x v="0"/>
    <x v="1"/>
    <n v="4"/>
    <n v="1"/>
    <s v="Technical Degree"/>
    <n v="4"/>
    <x v="1"/>
    <n v="3"/>
    <n v="1"/>
    <x v="2"/>
    <x v="0"/>
    <s v="Married"/>
    <n v="3691"/>
    <n v="1"/>
    <x v="0"/>
    <n v="15"/>
    <n v="2"/>
    <n v="1"/>
    <n v="7"/>
    <n v="3"/>
    <x v="3"/>
    <n v="7"/>
    <n v="7"/>
    <n v="5"/>
    <n v="6"/>
    <n v="1"/>
    <x v="3"/>
    <x v="1"/>
    <x v="0"/>
    <n v="527.28571428571433"/>
  </r>
  <r>
    <n v="26"/>
    <x v="0"/>
    <x v="1"/>
    <n v="21"/>
    <n v="3"/>
    <s v="Medical"/>
    <n v="1"/>
    <x v="1"/>
    <n v="3"/>
    <n v="1"/>
    <x v="2"/>
    <x v="2"/>
    <s v="Divorced"/>
    <n v="2377"/>
    <n v="1"/>
    <x v="1"/>
    <n v="20"/>
    <n v="3"/>
    <n v="1"/>
    <n v="1"/>
    <n v="0"/>
    <x v="2"/>
    <n v="1"/>
    <n v="1"/>
    <n v="0"/>
    <n v="0"/>
    <n v="1"/>
    <x v="2"/>
    <x v="1"/>
    <x v="1"/>
    <n v="2377"/>
  </r>
  <r>
    <n v="33"/>
    <x v="0"/>
    <x v="1"/>
    <n v="25"/>
    <n v="3"/>
    <s v="Medical"/>
    <n v="1"/>
    <x v="1"/>
    <n v="2"/>
    <n v="1"/>
    <x v="1"/>
    <x v="1"/>
    <s v="Single"/>
    <n v="2313"/>
    <n v="4"/>
    <x v="0"/>
    <n v="20"/>
    <n v="2"/>
    <n v="0"/>
    <n v="5"/>
    <n v="0"/>
    <x v="1"/>
    <n v="2"/>
    <n v="2"/>
    <n v="2"/>
    <n v="2"/>
    <n v="1"/>
    <x v="2"/>
    <x v="1"/>
    <x v="1"/>
    <n v="1156.5"/>
  </r>
  <r>
    <n v="42"/>
    <x v="1"/>
    <x v="1"/>
    <n v="2"/>
    <n v="2"/>
    <s v="Medical"/>
    <n v="4"/>
    <x v="1"/>
    <n v="3"/>
    <n v="4"/>
    <x v="5"/>
    <x v="3"/>
    <s v="Married"/>
    <n v="17665"/>
    <n v="0"/>
    <x v="1"/>
    <n v="17"/>
    <n v="4"/>
    <n v="1"/>
    <n v="23"/>
    <n v="3"/>
    <x v="1"/>
    <n v="22"/>
    <n v="6"/>
    <n v="13"/>
    <n v="7"/>
    <n v="0"/>
    <x v="0"/>
    <x v="2"/>
    <x v="3"/>
    <n v="802.9545454545455"/>
  </r>
  <r>
    <n v="28"/>
    <x v="0"/>
    <x v="1"/>
    <n v="1"/>
    <n v="3"/>
    <s v="Medical"/>
    <n v="1"/>
    <x v="1"/>
    <n v="2"/>
    <n v="1"/>
    <x v="2"/>
    <x v="1"/>
    <s v="Divorced"/>
    <n v="2596"/>
    <n v="1"/>
    <x v="1"/>
    <n v="15"/>
    <n v="1"/>
    <n v="2"/>
    <n v="1"/>
    <n v="2"/>
    <x v="1"/>
    <n v="1"/>
    <n v="0"/>
    <n v="0"/>
    <n v="0"/>
    <n v="1"/>
    <x v="2"/>
    <x v="1"/>
    <x v="1"/>
    <n v="2596"/>
  </r>
  <r>
    <n v="50"/>
    <x v="0"/>
    <x v="0"/>
    <n v="1"/>
    <n v="4"/>
    <s v="Other"/>
    <n v="4"/>
    <x v="1"/>
    <n v="3"/>
    <n v="2"/>
    <x v="0"/>
    <x v="2"/>
    <s v="Single"/>
    <n v="4728"/>
    <n v="3"/>
    <x v="0"/>
    <n v="14"/>
    <n v="4"/>
    <n v="0"/>
    <n v="5"/>
    <n v="4"/>
    <x v="1"/>
    <n v="0"/>
    <n v="0"/>
    <n v="0"/>
    <n v="0"/>
    <n v="1"/>
    <x v="1"/>
    <x v="0"/>
    <x v="1"/>
    <n v="4728"/>
  </r>
  <r>
    <n v="33"/>
    <x v="1"/>
    <x v="0"/>
    <n v="7"/>
    <n v="3"/>
    <s v="Life Sciences"/>
    <n v="4"/>
    <x v="0"/>
    <n v="3"/>
    <n v="2"/>
    <x v="0"/>
    <x v="1"/>
    <s v="Married"/>
    <n v="4302"/>
    <n v="0"/>
    <x v="1"/>
    <n v="17"/>
    <n v="3"/>
    <n v="1"/>
    <n v="4"/>
    <n v="3"/>
    <x v="1"/>
    <n v="3"/>
    <n v="2"/>
    <n v="0"/>
    <n v="2"/>
    <n v="0"/>
    <x v="2"/>
    <x v="0"/>
    <x v="2"/>
    <n v="1434"/>
  </r>
  <r>
    <n v="34"/>
    <x v="1"/>
    <x v="1"/>
    <n v="3"/>
    <n v="4"/>
    <s v="Life Sciences"/>
    <n v="3"/>
    <x v="1"/>
    <n v="2"/>
    <n v="1"/>
    <x v="1"/>
    <x v="0"/>
    <s v="Married"/>
    <n v="2979"/>
    <n v="3"/>
    <x v="1"/>
    <n v="17"/>
    <n v="4"/>
    <n v="3"/>
    <n v="6"/>
    <n v="2"/>
    <x v="1"/>
    <n v="0"/>
    <n v="0"/>
    <n v="0"/>
    <n v="0"/>
    <n v="0"/>
    <x v="2"/>
    <x v="1"/>
    <x v="1"/>
    <n v="2979"/>
  </r>
  <r>
    <n v="48"/>
    <x v="1"/>
    <x v="1"/>
    <n v="1"/>
    <n v="4"/>
    <s v="Medical"/>
    <n v="1"/>
    <x v="1"/>
    <n v="4"/>
    <n v="4"/>
    <x v="5"/>
    <x v="0"/>
    <s v="Single"/>
    <n v="16885"/>
    <n v="2"/>
    <x v="1"/>
    <n v="22"/>
    <n v="3"/>
    <n v="0"/>
    <n v="27"/>
    <n v="3"/>
    <x v="2"/>
    <n v="5"/>
    <n v="4"/>
    <n v="2"/>
    <n v="1"/>
    <n v="0"/>
    <x v="1"/>
    <x v="2"/>
    <x v="2"/>
    <n v="3377"/>
  </r>
  <r>
    <n v="45"/>
    <x v="1"/>
    <x v="0"/>
    <n v="9"/>
    <n v="4"/>
    <s v="Life Sciences"/>
    <n v="2"/>
    <x v="0"/>
    <n v="2"/>
    <n v="2"/>
    <x v="0"/>
    <x v="2"/>
    <s v="Married"/>
    <n v="5593"/>
    <n v="1"/>
    <x v="1"/>
    <n v="13"/>
    <n v="4"/>
    <n v="1"/>
    <n v="15"/>
    <n v="2"/>
    <x v="1"/>
    <n v="15"/>
    <n v="10"/>
    <n v="4"/>
    <n v="12"/>
    <n v="0"/>
    <x v="0"/>
    <x v="0"/>
    <x v="3"/>
    <n v="372.86666666666667"/>
  </r>
  <r>
    <n v="52"/>
    <x v="1"/>
    <x v="1"/>
    <n v="7"/>
    <n v="4"/>
    <s v="Life Sciences"/>
    <n v="2"/>
    <x v="1"/>
    <n v="3"/>
    <n v="3"/>
    <x v="4"/>
    <x v="1"/>
    <s v="Single"/>
    <n v="10445"/>
    <n v="7"/>
    <x v="1"/>
    <n v="19"/>
    <n v="4"/>
    <n v="0"/>
    <n v="18"/>
    <n v="4"/>
    <x v="1"/>
    <n v="8"/>
    <n v="6"/>
    <n v="4"/>
    <n v="0"/>
    <n v="0"/>
    <x v="1"/>
    <x v="2"/>
    <x v="0"/>
    <n v="1305.625"/>
  </r>
  <r>
    <n v="38"/>
    <x v="1"/>
    <x v="0"/>
    <n v="10"/>
    <n v="4"/>
    <s v="Marketing"/>
    <n v="3"/>
    <x v="1"/>
    <n v="2"/>
    <n v="3"/>
    <x v="0"/>
    <x v="2"/>
    <s v="Divorced"/>
    <n v="8740"/>
    <n v="0"/>
    <x v="0"/>
    <n v="14"/>
    <n v="2"/>
    <n v="2"/>
    <n v="9"/>
    <n v="2"/>
    <x v="1"/>
    <n v="8"/>
    <n v="7"/>
    <n v="2"/>
    <n v="7"/>
    <n v="0"/>
    <x v="0"/>
    <x v="0"/>
    <x v="0"/>
    <n v="1092.5"/>
  </r>
  <r>
    <n v="29"/>
    <x v="1"/>
    <x v="1"/>
    <n v="28"/>
    <n v="4"/>
    <s v="Life Sciences"/>
    <n v="3"/>
    <x v="0"/>
    <n v="3"/>
    <n v="1"/>
    <x v="1"/>
    <x v="0"/>
    <s v="Divorced"/>
    <n v="2514"/>
    <n v="4"/>
    <x v="1"/>
    <n v="22"/>
    <n v="1"/>
    <n v="1"/>
    <n v="11"/>
    <n v="1"/>
    <x v="1"/>
    <n v="7"/>
    <n v="5"/>
    <n v="1"/>
    <n v="7"/>
    <n v="0"/>
    <x v="2"/>
    <x v="1"/>
    <x v="0"/>
    <n v="359.14285714285717"/>
  </r>
  <r>
    <n v="28"/>
    <x v="1"/>
    <x v="1"/>
    <n v="3"/>
    <n v="3"/>
    <s v="Medical"/>
    <n v="4"/>
    <x v="0"/>
    <n v="3"/>
    <n v="3"/>
    <x v="3"/>
    <x v="1"/>
    <s v="Divorced"/>
    <n v="7655"/>
    <n v="0"/>
    <x v="1"/>
    <n v="17"/>
    <n v="2"/>
    <n v="3"/>
    <n v="10"/>
    <n v="3"/>
    <x v="2"/>
    <n v="9"/>
    <n v="7"/>
    <n v="1"/>
    <n v="7"/>
    <n v="0"/>
    <x v="2"/>
    <x v="0"/>
    <x v="0"/>
    <n v="850.55555555555554"/>
  </r>
  <r>
    <n v="46"/>
    <x v="1"/>
    <x v="0"/>
    <n v="3"/>
    <n v="1"/>
    <s v="Marketing"/>
    <n v="1"/>
    <x v="1"/>
    <n v="3"/>
    <n v="4"/>
    <x v="5"/>
    <x v="2"/>
    <s v="Married"/>
    <n v="17465"/>
    <n v="3"/>
    <x v="1"/>
    <n v="12"/>
    <n v="4"/>
    <n v="1"/>
    <n v="23"/>
    <n v="3"/>
    <x v="1"/>
    <n v="12"/>
    <n v="9"/>
    <n v="4"/>
    <n v="9"/>
    <n v="0"/>
    <x v="1"/>
    <x v="2"/>
    <x v="3"/>
    <n v="1455.4166666666667"/>
  </r>
  <r>
    <n v="38"/>
    <x v="1"/>
    <x v="0"/>
    <n v="2"/>
    <n v="2"/>
    <s v="Marketing"/>
    <n v="4"/>
    <x v="1"/>
    <n v="3"/>
    <n v="3"/>
    <x v="0"/>
    <x v="1"/>
    <s v="Single"/>
    <n v="7351"/>
    <n v="7"/>
    <x v="1"/>
    <n v="16"/>
    <n v="3"/>
    <n v="0"/>
    <n v="10"/>
    <n v="2"/>
    <x v="1"/>
    <n v="1"/>
    <n v="0"/>
    <n v="0"/>
    <n v="0"/>
    <n v="0"/>
    <x v="0"/>
    <x v="0"/>
    <x v="1"/>
    <n v="7351"/>
  </r>
  <r>
    <n v="43"/>
    <x v="1"/>
    <x v="1"/>
    <n v="27"/>
    <n v="3"/>
    <s v="Life Sciences"/>
    <n v="3"/>
    <x v="0"/>
    <n v="3"/>
    <n v="3"/>
    <x v="3"/>
    <x v="3"/>
    <s v="Married"/>
    <n v="10820"/>
    <n v="8"/>
    <x v="1"/>
    <n v="11"/>
    <n v="3"/>
    <n v="1"/>
    <n v="18"/>
    <n v="1"/>
    <x v="1"/>
    <n v="8"/>
    <n v="7"/>
    <n v="0"/>
    <n v="1"/>
    <n v="0"/>
    <x v="0"/>
    <x v="2"/>
    <x v="0"/>
    <n v="1352.5"/>
  </r>
  <r>
    <n v="39"/>
    <x v="0"/>
    <x v="1"/>
    <n v="2"/>
    <n v="3"/>
    <s v="Life Sciences"/>
    <n v="1"/>
    <x v="1"/>
    <n v="3"/>
    <n v="4"/>
    <x v="4"/>
    <x v="0"/>
    <s v="Divorced"/>
    <n v="12169"/>
    <n v="7"/>
    <x v="1"/>
    <n v="11"/>
    <n v="4"/>
    <n v="3"/>
    <n v="21"/>
    <n v="4"/>
    <x v="1"/>
    <n v="18"/>
    <n v="7"/>
    <n v="11"/>
    <n v="5"/>
    <n v="1"/>
    <x v="0"/>
    <x v="2"/>
    <x v="3"/>
    <n v="676.05555555555554"/>
  </r>
  <r>
    <n v="40"/>
    <x v="1"/>
    <x v="1"/>
    <n v="14"/>
    <n v="3"/>
    <s v="Medical"/>
    <n v="3"/>
    <x v="1"/>
    <n v="2"/>
    <n v="5"/>
    <x v="7"/>
    <x v="2"/>
    <s v="Single"/>
    <n v="19626"/>
    <n v="1"/>
    <x v="1"/>
    <n v="14"/>
    <n v="1"/>
    <n v="0"/>
    <n v="21"/>
    <n v="2"/>
    <x v="3"/>
    <n v="20"/>
    <n v="7"/>
    <n v="4"/>
    <n v="9"/>
    <n v="0"/>
    <x v="0"/>
    <x v="2"/>
    <x v="3"/>
    <n v="981.3"/>
  </r>
  <r>
    <n v="21"/>
    <x v="1"/>
    <x v="1"/>
    <n v="1"/>
    <n v="1"/>
    <s v="Technical Degree"/>
    <n v="4"/>
    <x v="0"/>
    <n v="2"/>
    <n v="1"/>
    <x v="1"/>
    <x v="1"/>
    <s v="Single"/>
    <n v="2070"/>
    <n v="1"/>
    <x v="0"/>
    <n v="11"/>
    <n v="3"/>
    <n v="0"/>
    <n v="2"/>
    <n v="6"/>
    <x v="3"/>
    <n v="2"/>
    <n v="2"/>
    <n v="2"/>
    <n v="2"/>
    <n v="0"/>
    <x v="3"/>
    <x v="1"/>
    <x v="1"/>
    <n v="1035"/>
  </r>
  <r>
    <n v="39"/>
    <x v="1"/>
    <x v="1"/>
    <n v="9"/>
    <n v="3"/>
    <s v="Life Sciences"/>
    <n v="3"/>
    <x v="1"/>
    <n v="3"/>
    <n v="2"/>
    <x v="2"/>
    <x v="1"/>
    <s v="Single"/>
    <n v="6782"/>
    <n v="9"/>
    <x v="1"/>
    <n v="15"/>
    <n v="3"/>
    <n v="0"/>
    <n v="9"/>
    <n v="2"/>
    <x v="2"/>
    <n v="5"/>
    <n v="4"/>
    <n v="0"/>
    <n v="3"/>
    <n v="0"/>
    <x v="0"/>
    <x v="0"/>
    <x v="2"/>
    <n v="1356.4"/>
  </r>
  <r>
    <n v="36"/>
    <x v="1"/>
    <x v="1"/>
    <n v="18"/>
    <n v="4"/>
    <s v="Life Sciences"/>
    <n v="1"/>
    <x v="1"/>
    <n v="3"/>
    <n v="2"/>
    <x v="3"/>
    <x v="0"/>
    <s v="Single"/>
    <n v="7779"/>
    <n v="2"/>
    <x v="1"/>
    <n v="20"/>
    <n v="1"/>
    <n v="0"/>
    <n v="18"/>
    <n v="0"/>
    <x v="1"/>
    <n v="11"/>
    <n v="9"/>
    <n v="0"/>
    <n v="9"/>
    <n v="0"/>
    <x v="0"/>
    <x v="0"/>
    <x v="3"/>
    <n v="707.18181818181813"/>
  </r>
  <r>
    <n v="31"/>
    <x v="1"/>
    <x v="0"/>
    <n v="20"/>
    <n v="3"/>
    <s v="Life Sciences"/>
    <n v="3"/>
    <x v="1"/>
    <n v="4"/>
    <n v="1"/>
    <x v="6"/>
    <x v="0"/>
    <s v="Married"/>
    <n v="2791"/>
    <n v="0"/>
    <x v="1"/>
    <n v="12"/>
    <n v="1"/>
    <n v="1"/>
    <n v="3"/>
    <n v="4"/>
    <x v="1"/>
    <n v="2"/>
    <n v="2"/>
    <n v="2"/>
    <n v="2"/>
    <n v="0"/>
    <x v="2"/>
    <x v="1"/>
    <x v="1"/>
    <n v="1395.5"/>
  </r>
  <r>
    <n v="28"/>
    <x v="1"/>
    <x v="1"/>
    <n v="2"/>
    <n v="1"/>
    <s v="Life Sciences"/>
    <n v="1"/>
    <x v="1"/>
    <n v="2"/>
    <n v="1"/>
    <x v="1"/>
    <x v="1"/>
    <s v="Married"/>
    <n v="3201"/>
    <n v="0"/>
    <x v="1"/>
    <n v="17"/>
    <n v="1"/>
    <n v="0"/>
    <n v="6"/>
    <n v="2"/>
    <x v="0"/>
    <n v="5"/>
    <n v="3"/>
    <n v="0"/>
    <n v="4"/>
    <n v="0"/>
    <x v="2"/>
    <x v="1"/>
    <x v="2"/>
    <n v="640.20000000000005"/>
  </r>
  <r>
    <n v="35"/>
    <x v="1"/>
    <x v="0"/>
    <n v="11"/>
    <n v="2"/>
    <s v="Marketing"/>
    <n v="4"/>
    <x v="1"/>
    <n v="3"/>
    <n v="2"/>
    <x v="0"/>
    <x v="0"/>
    <s v="Divorced"/>
    <n v="4968"/>
    <n v="1"/>
    <x v="1"/>
    <n v="11"/>
    <n v="4"/>
    <n v="1"/>
    <n v="5"/>
    <n v="3"/>
    <x v="1"/>
    <n v="5"/>
    <n v="2"/>
    <n v="0"/>
    <n v="2"/>
    <n v="0"/>
    <x v="2"/>
    <x v="0"/>
    <x v="2"/>
    <n v="993.6"/>
  </r>
  <r>
    <n v="49"/>
    <x v="1"/>
    <x v="0"/>
    <n v="8"/>
    <n v="4"/>
    <s v="Technical Degree"/>
    <n v="4"/>
    <x v="1"/>
    <n v="2"/>
    <n v="4"/>
    <x v="0"/>
    <x v="1"/>
    <s v="Married"/>
    <n v="13120"/>
    <n v="6"/>
    <x v="1"/>
    <n v="17"/>
    <n v="2"/>
    <n v="1"/>
    <n v="22"/>
    <n v="3"/>
    <x v="1"/>
    <n v="9"/>
    <n v="8"/>
    <n v="2"/>
    <n v="3"/>
    <n v="0"/>
    <x v="1"/>
    <x v="2"/>
    <x v="0"/>
    <n v="1457.7777777777778"/>
  </r>
  <r>
    <n v="34"/>
    <x v="1"/>
    <x v="1"/>
    <n v="2"/>
    <n v="2"/>
    <s v="Life Sciences"/>
    <n v="4"/>
    <x v="1"/>
    <n v="3"/>
    <n v="2"/>
    <x v="3"/>
    <x v="2"/>
    <s v="Single"/>
    <n v="4033"/>
    <n v="2"/>
    <x v="1"/>
    <n v="11"/>
    <n v="4"/>
    <n v="0"/>
    <n v="5"/>
    <n v="3"/>
    <x v="2"/>
    <n v="3"/>
    <n v="2"/>
    <n v="0"/>
    <n v="2"/>
    <n v="0"/>
    <x v="2"/>
    <x v="0"/>
    <x v="2"/>
    <n v="1344.3333333333333"/>
  </r>
  <r>
    <n v="29"/>
    <x v="1"/>
    <x v="1"/>
    <n v="10"/>
    <n v="3"/>
    <s v="Life Sciences"/>
    <n v="4"/>
    <x v="0"/>
    <n v="3"/>
    <n v="1"/>
    <x v="1"/>
    <x v="1"/>
    <s v="Divorced"/>
    <n v="3291"/>
    <n v="0"/>
    <x v="1"/>
    <n v="14"/>
    <n v="4"/>
    <n v="2"/>
    <n v="8"/>
    <n v="2"/>
    <x v="2"/>
    <n v="7"/>
    <n v="5"/>
    <n v="1"/>
    <n v="1"/>
    <n v="0"/>
    <x v="2"/>
    <x v="1"/>
    <x v="0"/>
    <n v="470.14285714285717"/>
  </r>
  <r>
    <n v="42"/>
    <x v="1"/>
    <x v="1"/>
    <n v="29"/>
    <n v="3"/>
    <s v="Medical"/>
    <n v="2"/>
    <x v="1"/>
    <n v="1"/>
    <n v="2"/>
    <x v="2"/>
    <x v="0"/>
    <s v="Single"/>
    <n v="4272"/>
    <n v="4"/>
    <x v="1"/>
    <n v="19"/>
    <n v="1"/>
    <n v="0"/>
    <n v="16"/>
    <n v="3"/>
    <x v="1"/>
    <n v="1"/>
    <n v="0"/>
    <n v="0"/>
    <n v="0"/>
    <n v="0"/>
    <x v="0"/>
    <x v="0"/>
    <x v="1"/>
    <n v="4272"/>
  </r>
  <r>
    <n v="29"/>
    <x v="1"/>
    <x v="1"/>
    <n v="8"/>
    <n v="1"/>
    <s v="Medical"/>
    <n v="2"/>
    <x v="1"/>
    <n v="2"/>
    <n v="2"/>
    <x v="3"/>
    <x v="0"/>
    <s v="Married"/>
    <n v="5056"/>
    <n v="1"/>
    <x v="0"/>
    <n v="15"/>
    <n v="3"/>
    <n v="1"/>
    <n v="10"/>
    <n v="2"/>
    <x v="2"/>
    <n v="10"/>
    <n v="7"/>
    <n v="1"/>
    <n v="2"/>
    <n v="0"/>
    <x v="2"/>
    <x v="0"/>
    <x v="0"/>
    <n v="505.6"/>
  </r>
  <r>
    <n v="38"/>
    <x v="1"/>
    <x v="2"/>
    <n v="1"/>
    <n v="3"/>
    <s v="Human Resources"/>
    <n v="3"/>
    <x v="1"/>
    <n v="4"/>
    <n v="1"/>
    <x v="8"/>
    <x v="2"/>
    <s v="Married"/>
    <n v="2844"/>
    <n v="1"/>
    <x v="1"/>
    <n v="13"/>
    <n v="4"/>
    <n v="1"/>
    <n v="7"/>
    <n v="2"/>
    <x v="3"/>
    <n v="7"/>
    <n v="6"/>
    <n v="5"/>
    <n v="0"/>
    <n v="0"/>
    <x v="0"/>
    <x v="1"/>
    <x v="0"/>
    <n v="406.28571428571428"/>
  </r>
  <r>
    <n v="28"/>
    <x v="1"/>
    <x v="1"/>
    <n v="6"/>
    <n v="3"/>
    <s v="Life Sciences"/>
    <n v="3"/>
    <x v="1"/>
    <n v="2"/>
    <n v="1"/>
    <x v="1"/>
    <x v="2"/>
    <s v="Divorced"/>
    <n v="2703"/>
    <n v="1"/>
    <x v="0"/>
    <n v="14"/>
    <n v="4"/>
    <n v="1"/>
    <n v="3"/>
    <n v="2"/>
    <x v="1"/>
    <n v="3"/>
    <n v="1"/>
    <n v="0"/>
    <n v="2"/>
    <n v="0"/>
    <x v="2"/>
    <x v="1"/>
    <x v="2"/>
    <n v="901"/>
  </r>
  <r>
    <n v="18"/>
    <x v="0"/>
    <x v="1"/>
    <n v="8"/>
    <n v="1"/>
    <s v="Medical"/>
    <n v="3"/>
    <x v="1"/>
    <n v="3"/>
    <n v="1"/>
    <x v="2"/>
    <x v="2"/>
    <s v="Single"/>
    <n v="1904"/>
    <n v="1"/>
    <x v="1"/>
    <n v="12"/>
    <n v="4"/>
    <n v="0"/>
    <n v="0"/>
    <n v="0"/>
    <x v="1"/>
    <n v="0"/>
    <n v="0"/>
    <n v="0"/>
    <n v="0"/>
    <n v="1"/>
    <x v="3"/>
    <x v="1"/>
    <x v="1"/>
    <n v="1904"/>
  </r>
  <r>
    <n v="33"/>
    <x v="0"/>
    <x v="0"/>
    <n v="9"/>
    <n v="4"/>
    <s v="Marketing"/>
    <n v="1"/>
    <x v="0"/>
    <n v="3"/>
    <n v="2"/>
    <x v="0"/>
    <x v="3"/>
    <s v="Single"/>
    <n v="8224"/>
    <n v="0"/>
    <x v="0"/>
    <n v="17"/>
    <n v="1"/>
    <n v="0"/>
    <n v="6"/>
    <n v="3"/>
    <x v="1"/>
    <n v="5"/>
    <n v="2"/>
    <n v="0"/>
    <n v="3"/>
    <n v="1"/>
    <x v="2"/>
    <x v="0"/>
    <x v="2"/>
    <n v="1644.8"/>
  </r>
  <r>
    <n v="41"/>
    <x v="1"/>
    <x v="1"/>
    <n v="12"/>
    <n v="4"/>
    <s v="Life Sciences"/>
    <n v="2"/>
    <x v="1"/>
    <n v="3"/>
    <n v="1"/>
    <x v="2"/>
    <x v="0"/>
    <s v="Married"/>
    <n v="4766"/>
    <n v="3"/>
    <x v="0"/>
    <n v="11"/>
    <n v="1"/>
    <n v="1"/>
    <n v="6"/>
    <n v="4"/>
    <x v="1"/>
    <n v="1"/>
    <n v="0"/>
    <n v="0"/>
    <n v="0"/>
    <n v="0"/>
    <x v="0"/>
    <x v="0"/>
    <x v="1"/>
    <n v="4766"/>
  </r>
  <r>
    <n v="31"/>
    <x v="0"/>
    <x v="1"/>
    <n v="15"/>
    <n v="3"/>
    <s v="Medical"/>
    <n v="3"/>
    <x v="1"/>
    <n v="3"/>
    <n v="1"/>
    <x v="2"/>
    <x v="2"/>
    <s v="Married"/>
    <n v="2610"/>
    <n v="1"/>
    <x v="1"/>
    <n v="12"/>
    <n v="3"/>
    <n v="1"/>
    <n v="2"/>
    <n v="5"/>
    <x v="2"/>
    <n v="2"/>
    <n v="2"/>
    <n v="2"/>
    <n v="2"/>
    <n v="1"/>
    <x v="2"/>
    <x v="1"/>
    <x v="1"/>
    <n v="1305"/>
  </r>
  <r>
    <n v="37"/>
    <x v="1"/>
    <x v="1"/>
    <n v="25"/>
    <n v="2"/>
    <s v="Medical"/>
    <n v="3"/>
    <x v="0"/>
    <n v="2"/>
    <n v="2"/>
    <x v="4"/>
    <x v="0"/>
    <s v="Divorced"/>
    <n v="5731"/>
    <n v="7"/>
    <x v="1"/>
    <n v="13"/>
    <n v="3"/>
    <n v="2"/>
    <n v="9"/>
    <n v="2"/>
    <x v="1"/>
    <n v="6"/>
    <n v="2"/>
    <n v="1"/>
    <n v="3"/>
    <n v="0"/>
    <x v="0"/>
    <x v="0"/>
    <x v="0"/>
    <n v="955.16666666666663"/>
  </r>
  <r>
    <n v="27"/>
    <x v="1"/>
    <x v="1"/>
    <n v="6"/>
    <n v="3"/>
    <s v="Life Sciences"/>
    <n v="4"/>
    <x v="1"/>
    <n v="2"/>
    <n v="1"/>
    <x v="1"/>
    <x v="2"/>
    <s v="Married"/>
    <n v="2539"/>
    <n v="1"/>
    <x v="1"/>
    <n v="13"/>
    <n v="3"/>
    <n v="1"/>
    <n v="4"/>
    <n v="0"/>
    <x v="1"/>
    <n v="4"/>
    <n v="2"/>
    <n v="2"/>
    <n v="2"/>
    <n v="0"/>
    <x v="2"/>
    <x v="1"/>
    <x v="2"/>
    <n v="634.75"/>
  </r>
  <r>
    <n v="34"/>
    <x v="1"/>
    <x v="0"/>
    <n v="9"/>
    <n v="1"/>
    <s v="Life Sciences"/>
    <n v="2"/>
    <x v="0"/>
    <n v="3"/>
    <n v="2"/>
    <x v="0"/>
    <x v="2"/>
    <s v="Married"/>
    <n v="5714"/>
    <n v="1"/>
    <x v="1"/>
    <n v="20"/>
    <n v="1"/>
    <n v="0"/>
    <n v="6"/>
    <n v="3"/>
    <x v="2"/>
    <n v="6"/>
    <n v="5"/>
    <n v="1"/>
    <n v="3"/>
    <n v="0"/>
    <x v="2"/>
    <x v="0"/>
    <x v="0"/>
    <n v="952.33333333333337"/>
  </r>
  <r>
    <n v="35"/>
    <x v="1"/>
    <x v="2"/>
    <n v="8"/>
    <n v="4"/>
    <s v="Technical Degree"/>
    <n v="3"/>
    <x v="1"/>
    <n v="3"/>
    <n v="1"/>
    <x v="8"/>
    <x v="2"/>
    <s v="Single"/>
    <n v="4323"/>
    <n v="1"/>
    <x v="1"/>
    <n v="17"/>
    <n v="2"/>
    <n v="0"/>
    <n v="6"/>
    <n v="2"/>
    <x v="0"/>
    <n v="5"/>
    <n v="4"/>
    <n v="1"/>
    <n v="4"/>
    <n v="0"/>
    <x v="2"/>
    <x v="0"/>
    <x v="2"/>
    <n v="864.6"/>
  </r>
  <r>
    <n v="29"/>
    <x v="0"/>
    <x v="0"/>
    <n v="23"/>
    <n v="1"/>
    <s v="Life Sciences"/>
    <n v="4"/>
    <x v="0"/>
    <n v="2"/>
    <n v="3"/>
    <x v="0"/>
    <x v="3"/>
    <s v="Married"/>
    <n v="7336"/>
    <n v="1"/>
    <x v="1"/>
    <n v="13"/>
    <n v="1"/>
    <n v="1"/>
    <n v="11"/>
    <n v="3"/>
    <x v="0"/>
    <n v="11"/>
    <n v="8"/>
    <n v="3"/>
    <n v="10"/>
    <n v="1"/>
    <x v="2"/>
    <x v="0"/>
    <x v="3"/>
    <n v="666.90909090909088"/>
  </r>
  <r>
    <n v="40"/>
    <x v="1"/>
    <x v="1"/>
    <n v="9"/>
    <n v="4"/>
    <s v="Medical"/>
    <n v="2"/>
    <x v="0"/>
    <n v="3"/>
    <n v="3"/>
    <x v="7"/>
    <x v="2"/>
    <s v="Single"/>
    <n v="13499"/>
    <n v="9"/>
    <x v="1"/>
    <n v="17"/>
    <n v="3"/>
    <n v="0"/>
    <n v="20"/>
    <n v="3"/>
    <x v="2"/>
    <n v="18"/>
    <n v="7"/>
    <n v="2"/>
    <n v="13"/>
    <n v="0"/>
    <x v="0"/>
    <x v="2"/>
    <x v="3"/>
    <n v="749.94444444444446"/>
  </r>
  <r>
    <n v="42"/>
    <x v="0"/>
    <x v="0"/>
    <n v="12"/>
    <n v="3"/>
    <s v="Life Sciences"/>
    <n v="3"/>
    <x v="1"/>
    <n v="3"/>
    <n v="4"/>
    <x v="0"/>
    <x v="3"/>
    <s v="Single"/>
    <n v="13758"/>
    <n v="0"/>
    <x v="0"/>
    <n v="12"/>
    <n v="2"/>
    <n v="0"/>
    <n v="22"/>
    <n v="2"/>
    <x v="2"/>
    <n v="21"/>
    <n v="9"/>
    <n v="13"/>
    <n v="14"/>
    <n v="1"/>
    <x v="0"/>
    <x v="2"/>
    <x v="3"/>
    <n v="655.14285714285711"/>
  </r>
  <r>
    <n v="42"/>
    <x v="1"/>
    <x v="0"/>
    <n v="4"/>
    <n v="4"/>
    <s v="Marketing"/>
    <n v="2"/>
    <x v="1"/>
    <n v="3"/>
    <n v="2"/>
    <x v="0"/>
    <x v="3"/>
    <s v="Single"/>
    <n v="5155"/>
    <n v="7"/>
    <x v="1"/>
    <n v="13"/>
    <n v="4"/>
    <n v="0"/>
    <n v="9"/>
    <n v="3"/>
    <x v="3"/>
    <n v="6"/>
    <n v="4"/>
    <n v="1"/>
    <n v="5"/>
    <n v="0"/>
    <x v="0"/>
    <x v="0"/>
    <x v="0"/>
    <n v="859.16666666666663"/>
  </r>
  <r>
    <n v="35"/>
    <x v="1"/>
    <x v="1"/>
    <n v="1"/>
    <n v="4"/>
    <s v="Medical"/>
    <n v="4"/>
    <x v="1"/>
    <n v="2"/>
    <n v="1"/>
    <x v="2"/>
    <x v="2"/>
    <s v="Married"/>
    <n v="2258"/>
    <n v="6"/>
    <x v="1"/>
    <n v="12"/>
    <n v="2"/>
    <n v="1"/>
    <n v="10"/>
    <n v="2"/>
    <x v="1"/>
    <n v="8"/>
    <n v="0"/>
    <n v="1"/>
    <n v="7"/>
    <n v="0"/>
    <x v="2"/>
    <x v="1"/>
    <x v="0"/>
    <n v="282.25"/>
  </r>
  <r>
    <n v="24"/>
    <x v="1"/>
    <x v="1"/>
    <n v="24"/>
    <n v="3"/>
    <s v="Medical"/>
    <n v="4"/>
    <x v="1"/>
    <n v="3"/>
    <n v="1"/>
    <x v="2"/>
    <x v="1"/>
    <s v="Single"/>
    <n v="3597"/>
    <n v="8"/>
    <x v="1"/>
    <n v="22"/>
    <n v="4"/>
    <n v="0"/>
    <n v="6"/>
    <n v="2"/>
    <x v="1"/>
    <n v="4"/>
    <n v="3"/>
    <n v="1"/>
    <n v="2"/>
    <n v="0"/>
    <x v="3"/>
    <x v="1"/>
    <x v="2"/>
    <n v="899.25"/>
  </r>
  <r>
    <n v="28"/>
    <x v="0"/>
    <x v="1"/>
    <n v="12"/>
    <n v="1"/>
    <s v="Life Sciences"/>
    <n v="3"/>
    <x v="0"/>
    <n v="3"/>
    <n v="1"/>
    <x v="2"/>
    <x v="0"/>
    <s v="Married"/>
    <n v="2515"/>
    <n v="1"/>
    <x v="0"/>
    <n v="11"/>
    <n v="4"/>
    <n v="0"/>
    <n v="1"/>
    <n v="4"/>
    <x v="2"/>
    <n v="1"/>
    <n v="1"/>
    <n v="0"/>
    <n v="0"/>
    <n v="1"/>
    <x v="2"/>
    <x v="1"/>
    <x v="1"/>
    <n v="2515"/>
  </r>
  <r>
    <n v="26"/>
    <x v="1"/>
    <x v="1"/>
    <n v="3"/>
    <n v="4"/>
    <s v="Medical"/>
    <n v="1"/>
    <x v="1"/>
    <n v="4"/>
    <n v="1"/>
    <x v="2"/>
    <x v="0"/>
    <s v="Married"/>
    <n v="4420"/>
    <n v="1"/>
    <x v="1"/>
    <n v="22"/>
    <n v="2"/>
    <n v="1"/>
    <n v="8"/>
    <n v="2"/>
    <x v="1"/>
    <n v="8"/>
    <n v="7"/>
    <n v="0"/>
    <n v="7"/>
    <n v="0"/>
    <x v="2"/>
    <x v="0"/>
    <x v="0"/>
    <n v="552.5"/>
  </r>
  <r>
    <n v="30"/>
    <x v="1"/>
    <x v="0"/>
    <n v="10"/>
    <n v="3"/>
    <s v="Marketing"/>
    <n v="3"/>
    <x v="1"/>
    <n v="2"/>
    <n v="2"/>
    <x v="0"/>
    <x v="2"/>
    <s v="Married"/>
    <n v="6578"/>
    <n v="1"/>
    <x v="1"/>
    <n v="18"/>
    <n v="1"/>
    <n v="1"/>
    <n v="10"/>
    <n v="3"/>
    <x v="1"/>
    <n v="10"/>
    <n v="3"/>
    <n v="1"/>
    <n v="4"/>
    <n v="0"/>
    <x v="2"/>
    <x v="0"/>
    <x v="0"/>
    <n v="657.8"/>
  </r>
  <r>
    <n v="40"/>
    <x v="1"/>
    <x v="1"/>
    <n v="26"/>
    <n v="2"/>
    <s v="Medical"/>
    <n v="3"/>
    <x v="0"/>
    <n v="2"/>
    <n v="2"/>
    <x v="1"/>
    <x v="0"/>
    <s v="Married"/>
    <n v="4422"/>
    <n v="3"/>
    <x v="0"/>
    <n v="13"/>
    <n v="4"/>
    <n v="1"/>
    <n v="16"/>
    <n v="3"/>
    <x v="0"/>
    <n v="1"/>
    <n v="1"/>
    <n v="0"/>
    <n v="0"/>
    <n v="0"/>
    <x v="0"/>
    <x v="0"/>
    <x v="1"/>
    <n v="4422"/>
  </r>
  <r>
    <n v="35"/>
    <x v="1"/>
    <x v="1"/>
    <n v="2"/>
    <n v="3"/>
    <s v="Life Sciences"/>
    <n v="3"/>
    <x v="1"/>
    <n v="2"/>
    <n v="3"/>
    <x v="3"/>
    <x v="1"/>
    <s v="Divorced"/>
    <n v="10274"/>
    <n v="2"/>
    <x v="1"/>
    <n v="18"/>
    <n v="2"/>
    <n v="1"/>
    <n v="15"/>
    <n v="2"/>
    <x v="3"/>
    <n v="7"/>
    <n v="7"/>
    <n v="6"/>
    <n v="4"/>
    <n v="0"/>
    <x v="2"/>
    <x v="2"/>
    <x v="0"/>
    <n v="1467.7142857142858"/>
  </r>
  <r>
    <n v="34"/>
    <x v="1"/>
    <x v="1"/>
    <n v="1"/>
    <n v="3"/>
    <s v="Medical"/>
    <n v="4"/>
    <x v="1"/>
    <n v="2"/>
    <n v="2"/>
    <x v="4"/>
    <x v="3"/>
    <s v="Single"/>
    <n v="5343"/>
    <n v="0"/>
    <x v="1"/>
    <n v="20"/>
    <n v="3"/>
    <n v="0"/>
    <n v="14"/>
    <n v="3"/>
    <x v="1"/>
    <n v="13"/>
    <n v="9"/>
    <n v="4"/>
    <n v="9"/>
    <n v="0"/>
    <x v="2"/>
    <x v="0"/>
    <x v="3"/>
    <n v="411"/>
  </r>
  <r>
    <n v="35"/>
    <x v="1"/>
    <x v="1"/>
    <n v="4"/>
    <n v="4"/>
    <s v="Other"/>
    <n v="4"/>
    <x v="1"/>
    <n v="2"/>
    <n v="1"/>
    <x v="2"/>
    <x v="0"/>
    <s v="Married"/>
    <n v="2376"/>
    <n v="1"/>
    <x v="1"/>
    <n v="13"/>
    <n v="2"/>
    <n v="1"/>
    <n v="2"/>
    <n v="2"/>
    <x v="3"/>
    <n v="2"/>
    <n v="2"/>
    <n v="2"/>
    <n v="2"/>
    <n v="0"/>
    <x v="2"/>
    <x v="1"/>
    <x v="1"/>
    <n v="1188"/>
  </r>
  <r>
    <n v="43"/>
    <x v="0"/>
    <x v="0"/>
    <n v="9"/>
    <n v="3"/>
    <s v="Marketing"/>
    <n v="1"/>
    <x v="0"/>
    <n v="1"/>
    <n v="2"/>
    <x v="0"/>
    <x v="2"/>
    <s v="Single"/>
    <n v="5346"/>
    <n v="8"/>
    <x v="1"/>
    <n v="13"/>
    <n v="2"/>
    <n v="0"/>
    <n v="7"/>
    <n v="2"/>
    <x v="2"/>
    <n v="4"/>
    <n v="3"/>
    <n v="1"/>
    <n v="3"/>
    <n v="1"/>
    <x v="0"/>
    <x v="0"/>
    <x v="2"/>
    <n v="1336.5"/>
  </r>
  <r>
    <n v="32"/>
    <x v="1"/>
    <x v="0"/>
    <n v="2"/>
    <n v="1"/>
    <s v="Life Sciences"/>
    <n v="3"/>
    <x v="0"/>
    <n v="3"/>
    <n v="1"/>
    <x v="6"/>
    <x v="3"/>
    <s v="Divorced"/>
    <n v="2827"/>
    <n v="1"/>
    <x v="1"/>
    <n v="12"/>
    <n v="3"/>
    <n v="3"/>
    <n v="1"/>
    <n v="3"/>
    <x v="1"/>
    <n v="1"/>
    <n v="0"/>
    <n v="0"/>
    <n v="0"/>
    <n v="0"/>
    <x v="2"/>
    <x v="1"/>
    <x v="1"/>
    <n v="2827"/>
  </r>
  <r>
    <n v="56"/>
    <x v="1"/>
    <x v="1"/>
    <n v="4"/>
    <n v="4"/>
    <s v="Technical Degree"/>
    <n v="4"/>
    <x v="0"/>
    <n v="3"/>
    <n v="5"/>
    <x v="5"/>
    <x v="3"/>
    <s v="Divorced"/>
    <n v="19943"/>
    <n v="4"/>
    <x v="1"/>
    <n v="13"/>
    <n v="4"/>
    <n v="1"/>
    <n v="28"/>
    <n v="2"/>
    <x v="1"/>
    <n v="5"/>
    <n v="2"/>
    <n v="4"/>
    <n v="2"/>
    <n v="0"/>
    <x v="1"/>
    <x v="2"/>
    <x v="2"/>
    <n v="3988.6"/>
  </r>
  <r>
    <n v="29"/>
    <x v="1"/>
    <x v="1"/>
    <n v="6"/>
    <n v="1"/>
    <s v="Medical"/>
    <n v="2"/>
    <x v="0"/>
    <n v="3"/>
    <n v="1"/>
    <x v="2"/>
    <x v="0"/>
    <s v="Married"/>
    <n v="3131"/>
    <n v="1"/>
    <x v="1"/>
    <n v="13"/>
    <n v="1"/>
    <n v="1"/>
    <n v="10"/>
    <n v="5"/>
    <x v="1"/>
    <n v="10"/>
    <n v="8"/>
    <n v="0"/>
    <n v="8"/>
    <n v="0"/>
    <x v="2"/>
    <x v="1"/>
    <x v="0"/>
    <n v="313.10000000000002"/>
  </r>
  <r>
    <n v="19"/>
    <x v="1"/>
    <x v="1"/>
    <n v="9"/>
    <n v="2"/>
    <s v="Life Sciences"/>
    <n v="3"/>
    <x v="1"/>
    <n v="3"/>
    <n v="1"/>
    <x v="1"/>
    <x v="3"/>
    <s v="Single"/>
    <n v="2552"/>
    <n v="1"/>
    <x v="1"/>
    <n v="25"/>
    <n v="3"/>
    <n v="0"/>
    <n v="1"/>
    <n v="4"/>
    <x v="1"/>
    <n v="1"/>
    <n v="1"/>
    <n v="0"/>
    <n v="0"/>
    <n v="0"/>
    <x v="3"/>
    <x v="1"/>
    <x v="1"/>
    <n v="2552"/>
  </r>
  <r>
    <n v="45"/>
    <x v="1"/>
    <x v="1"/>
    <n v="7"/>
    <n v="3"/>
    <s v="Medical"/>
    <n v="1"/>
    <x v="0"/>
    <n v="3"/>
    <n v="1"/>
    <x v="1"/>
    <x v="2"/>
    <s v="Married"/>
    <n v="4477"/>
    <n v="4"/>
    <x v="0"/>
    <n v="19"/>
    <n v="3"/>
    <n v="1"/>
    <n v="7"/>
    <n v="2"/>
    <x v="2"/>
    <n v="3"/>
    <n v="2"/>
    <n v="0"/>
    <n v="2"/>
    <n v="0"/>
    <x v="0"/>
    <x v="0"/>
    <x v="2"/>
    <n v="1492.3333333333333"/>
  </r>
  <r>
    <n v="37"/>
    <x v="1"/>
    <x v="1"/>
    <n v="1"/>
    <n v="3"/>
    <s v="Life Sciences"/>
    <n v="4"/>
    <x v="0"/>
    <n v="2"/>
    <n v="2"/>
    <x v="3"/>
    <x v="0"/>
    <s v="Married"/>
    <n v="6474"/>
    <n v="1"/>
    <x v="1"/>
    <n v="13"/>
    <n v="2"/>
    <n v="1"/>
    <n v="14"/>
    <n v="2"/>
    <x v="2"/>
    <n v="14"/>
    <n v="8"/>
    <n v="3"/>
    <n v="11"/>
    <n v="0"/>
    <x v="0"/>
    <x v="0"/>
    <x v="3"/>
    <n v="462.42857142857144"/>
  </r>
  <r>
    <n v="20"/>
    <x v="1"/>
    <x v="1"/>
    <n v="3"/>
    <n v="3"/>
    <s v="Life Sciences"/>
    <n v="1"/>
    <x v="1"/>
    <n v="2"/>
    <n v="1"/>
    <x v="2"/>
    <x v="2"/>
    <s v="Single"/>
    <n v="3033"/>
    <n v="1"/>
    <x v="1"/>
    <n v="12"/>
    <n v="1"/>
    <n v="0"/>
    <n v="2"/>
    <n v="2"/>
    <x v="2"/>
    <n v="2"/>
    <n v="2"/>
    <n v="1"/>
    <n v="2"/>
    <n v="0"/>
    <x v="3"/>
    <x v="1"/>
    <x v="1"/>
    <n v="1516.5"/>
  </r>
  <r>
    <n v="44"/>
    <x v="0"/>
    <x v="1"/>
    <n v="10"/>
    <n v="4"/>
    <s v="Life Sciences"/>
    <n v="3"/>
    <x v="1"/>
    <n v="3"/>
    <n v="1"/>
    <x v="1"/>
    <x v="2"/>
    <s v="Single"/>
    <n v="2936"/>
    <n v="1"/>
    <x v="0"/>
    <n v="11"/>
    <n v="3"/>
    <n v="0"/>
    <n v="6"/>
    <n v="4"/>
    <x v="1"/>
    <n v="6"/>
    <n v="4"/>
    <n v="0"/>
    <n v="2"/>
    <n v="1"/>
    <x v="0"/>
    <x v="1"/>
    <x v="0"/>
    <n v="489.33333333333331"/>
  </r>
  <r>
    <n v="53"/>
    <x v="1"/>
    <x v="1"/>
    <n v="7"/>
    <n v="2"/>
    <s v="Medical"/>
    <n v="4"/>
    <x v="0"/>
    <n v="3"/>
    <n v="5"/>
    <x v="5"/>
    <x v="2"/>
    <s v="Divorced"/>
    <n v="18606"/>
    <n v="3"/>
    <x v="1"/>
    <n v="18"/>
    <n v="2"/>
    <n v="1"/>
    <n v="26"/>
    <n v="6"/>
    <x v="1"/>
    <n v="7"/>
    <n v="7"/>
    <n v="4"/>
    <n v="7"/>
    <n v="0"/>
    <x v="1"/>
    <x v="2"/>
    <x v="0"/>
    <n v="2658"/>
  </r>
  <r>
    <n v="29"/>
    <x v="1"/>
    <x v="1"/>
    <n v="15"/>
    <n v="1"/>
    <s v="Life Sciences"/>
    <n v="2"/>
    <x v="0"/>
    <n v="1"/>
    <n v="1"/>
    <x v="1"/>
    <x v="0"/>
    <s v="Married"/>
    <n v="2168"/>
    <n v="0"/>
    <x v="0"/>
    <n v="18"/>
    <n v="1"/>
    <n v="1"/>
    <n v="6"/>
    <n v="2"/>
    <x v="2"/>
    <n v="5"/>
    <n v="4"/>
    <n v="1"/>
    <n v="3"/>
    <n v="0"/>
    <x v="2"/>
    <x v="1"/>
    <x v="2"/>
    <n v="433.6"/>
  </r>
  <r>
    <n v="22"/>
    <x v="0"/>
    <x v="1"/>
    <n v="3"/>
    <n v="4"/>
    <s v="Life Sciences"/>
    <n v="3"/>
    <x v="1"/>
    <n v="2"/>
    <n v="1"/>
    <x v="1"/>
    <x v="0"/>
    <s v="Married"/>
    <n v="2853"/>
    <n v="0"/>
    <x v="0"/>
    <n v="11"/>
    <n v="2"/>
    <n v="1"/>
    <n v="1"/>
    <n v="5"/>
    <x v="1"/>
    <n v="0"/>
    <n v="0"/>
    <n v="0"/>
    <n v="0"/>
    <n v="1"/>
    <x v="3"/>
    <x v="1"/>
    <x v="1"/>
    <n v="2853"/>
  </r>
  <r>
    <n v="46"/>
    <x v="1"/>
    <x v="0"/>
    <n v="2"/>
    <n v="3"/>
    <s v="Marketing"/>
    <n v="3"/>
    <x v="0"/>
    <n v="3"/>
    <n v="4"/>
    <x v="5"/>
    <x v="3"/>
    <s v="Married"/>
    <n v="17048"/>
    <n v="8"/>
    <x v="1"/>
    <n v="23"/>
    <n v="1"/>
    <n v="0"/>
    <n v="28"/>
    <n v="2"/>
    <x v="1"/>
    <n v="26"/>
    <n v="15"/>
    <n v="15"/>
    <n v="9"/>
    <n v="0"/>
    <x v="1"/>
    <x v="2"/>
    <x v="3"/>
    <n v="655.69230769230774"/>
  </r>
  <r>
    <n v="44"/>
    <x v="1"/>
    <x v="1"/>
    <n v="17"/>
    <n v="3"/>
    <s v="Life Sciences"/>
    <n v="4"/>
    <x v="1"/>
    <n v="1"/>
    <n v="1"/>
    <x v="1"/>
    <x v="2"/>
    <s v="Single"/>
    <n v="2290"/>
    <n v="2"/>
    <x v="1"/>
    <n v="13"/>
    <n v="4"/>
    <n v="0"/>
    <n v="6"/>
    <n v="3"/>
    <x v="1"/>
    <n v="0"/>
    <n v="0"/>
    <n v="0"/>
    <n v="0"/>
    <n v="0"/>
    <x v="0"/>
    <x v="1"/>
    <x v="1"/>
    <n v="2290"/>
  </r>
  <r>
    <n v="33"/>
    <x v="1"/>
    <x v="2"/>
    <n v="2"/>
    <n v="3"/>
    <s v="Human Resources"/>
    <n v="2"/>
    <x v="1"/>
    <n v="3"/>
    <n v="1"/>
    <x v="8"/>
    <x v="2"/>
    <s v="Married"/>
    <n v="3600"/>
    <n v="1"/>
    <x v="1"/>
    <n v="13"/>
    <n v="4"/>
    <n v="1"/>
    <n v="5"/>
    <n v="2"/>
    <x v="1"/>
    <n v="5"/>
    <n v="4"/>
    <n v="1"/>
    <n v="4"/>
    <n v="0"/>
    <x v="2"/>
    <x v="1"/>
    <x v="2"/>
    <n v="720"/>
  </r>
  <r>
    <n v="41"/>
    <x v="0"/>
    <x v="1"/>
    <n v="5"/>
    <n v="2"/>
    <s v="Life Sciences"/>
    <n v="1"/>
    <x v="1"/>
    <n v="2"/>
    <n v="1"/>
    <x v="1"/>
    <x v="3"/>
    <s v="Divorced"/>
    <n v="2107"/>
    <n v="6"/>
    <x v="1"/>
    <n v="17"/>
    <n v="1"/>
    <n v="1"/>
    <n v="5"/>
    <n v="2"/>
    <x v="0"/>
    <n v="1"/>
    <n v="0"/>
    <n v="0"/>
    <n v="0"/>
    <n v="1"/>
    <x v="0"/>
    <x v="1"/>
    <x v="1"/>
    <n v="2107"/>
  </r>
  <r>
    <n v="30"/>
    <x v="1"/>
    <x v="0"/>
    <n v="29"/>
    <n v="4"/>
    <s v="Life Sciences"/>
    <n v="3"/>
    <x v="1"/>
    <n v="3"/>
    <n v="2"/>
    <x v="0"/>
    <x v="3"/>
    <s v="Divorced"/>
    <n v="4115"/>
    <n v="8"/>
    <x v="1"/>
    <n v="19"/>
    <n v="3"/>
    <n v="3"/>
    <n v="8"/>
    <n v="3"/>
    <x v="1"/>
    <n v="4"/>
    <n v="3"/>
    <n v="0"/>
    <n v="3"/>
    <n v="0"/>
    <x v="2"/>
    <x v="0"/>
    <x v="2"/>
    <n v="1028.75"/>
  </r>
  <r>
    <n v="40"/>
    <x v="1"/>
    <x v="0"/>
    <n v="2"/>
    <n v="4"/>
    <s v="Medical"/>
    <n v="2"/>
    <x v="1"/>
    <n v="3"/>
    <n v="2"/>
    <x v="0"/>
    <x v="1"/>
    <s v="Married"/>
    <n v="4327"/>
    <n v="5"/>
    <x v="1"/>
    <n v="12"/>
    <n v="4"/>
    <n v="3"/>
    <n v="5"/>
    <n v="2"/>
    <x v="1"/>
    <n v="0"/>
    <n v="0"/>
    <n v="0"/>
    <n v="0"/>
    <n v="0"/>
    <x v="0"/>
    <x v="0"/>
    <x v="1"/>
    <n v="4327"/>
  </r>
  <r>
    <n v="50"/>
    <x v="1"/>
    <x v="1"/>
    <n v="2"/>
    <n v="3"/>
    <s v="Medical"/>
    <n v="4"/>
    <x v="0"/>
    <n v="3"/>
    <n v="4"/>
    <x v="5"/>
    <x v="3"/>
    <s v="Married"/>
    <n v="17856"/>
    <n v="2"/>
    <x v="1"/>
    <n v="22"/>
    <n v="3"/>
    <n v="1"/>
    <n v="32"/>
    <n v="3"/>
    <x v="1"/>
    <n v="2"/>
    <n v="2"/>
    <n v="2"/>
    <n v="2"/>
    <n v="0"/>
    <x v="1"/>
    <x v="2"/>
    <x v="1"/>
    <n v="8928"/>
  </r>
  <r>
    <n v="28"/>
    <x v="1"/>
    <x v="1"/>
    <n v="19"/>
    <n v="4"/>
    <s v="Medical"/>
    <n v="4"/>
    <x v="1"/>
    <n v="2"/>
    <n v="1"/>
    <x v="2"/>
    <x v="3"/>
    <s v="Married"/>
    <n v="3196"/>
    <n v="1"/>
    <x v="1"/>
    <n v="12"/>
    <n v="3"/>
    <n v="3"/>
    <n v="6"/>
    <n v="2"/>
    <x v="1"/>
    <n v="6"/>
    <n v="5"/>
    <n v="3"/>
    <n v="3"/>
    <n v="0"/>
    <x v="2"/>
    <x v="1"/>
    <x v="0"/>
    <n v="532.66666666666663"/>
  </r>
  <r>
    <n v="46"/>
    <x v="1"/>
    <x v="1"/>
    <n v="15"/>
    <n v="2"/>
    <s v="Life Sciences"/>
    <n v="4"/>
    <x v="1"/>
    <n v="3"/>
    <n v="5"/>
    <x v="7"/>
    <x v="1"/>
    <s v="Married"/>
    <n v="19081"/>
    <n v="5"/>
    <x v="1"/>
    <n v="11"/>
    <n v="1"/>
    <n v="1"/>
    <n v="25"/>
    <n v="2"/>
    <x v="1"/>
    <n v="4"/>
    <n v="2"/>
    <n v="0"/>
    <n v="3"/>
    <n v="0"/>
    <x v="1"/>
    <x v="2"/>
    <x v="2"/>
    <n v="4770.25"/>
  </r>
  <r>
    <n v="35"/>
    <x v="1"/>
    <x v="0"/>
    <n v="17"/>
    <n v="4"/>
    <s v="Life Sciences"/>
    <n v="3"/>
    <x v="1"/>
    <n v="3"/>
    <n v="2"/>
    <x v="0"/>
    <x v="3"/>
    <s v="Married"/>
    <n v="8966"/>
    <n v="3"/>
    <x v="0"/>
    <n v="15"/>
    <n v="4"/>
    <n v="3"/>
    <n v="15"/>
    <n v="2"/>
    <x v="1"/>
    <n v="7"/>
    <n v="7"/>
    <n v="1"/>
    <n v="7"/>
    <n v="0"/>
    <x v="2"/>
    <x v="0"/>
    <x v="0"/>
    <n v="1280.8571428571429"/>
  </r>
  <r>
    <n v="24"/>
    <x v="0"/>
    <x v="1"/>
    <n v="17"/>
    <n v="2"/>
    <s v="Life Sciences"/>
    <n v="4"/>
    <x v="0"/>
    <n v="3"/>
    <n v="1"/>
    <x v="2"/>
    <x v="1"/>
    <s v="Married"/>
    <n v="2210"/>
    <n v="1"/>
    <x v="1"/>
    <n v="13"/>
    <n v="1"/>
    <n v="1"/>
    <n v="1"/>
    <n v="3"/>
    <x v="0"/>
    <n v="1"/>
    <n v="0"/>
    <n v="0"/>
    <n v="0"/>
    <n v="1"/>
    <x v="3"/>
    <x v="1"/>
    <x v="1"/>
    <n v="2210"/>
  </r>
  <r>
    <n v="33"/>
    <x v="1"/>
    <x v="0"/>
    <n v="25"/>
    <n v="3"/>
    <s v="Medical"/>
    <n v="2"/>
    <x v="0"/>
    <n v="3"/>
    <n v="2"/>
    <x v="0"/>
    <x v="2"/>
    <s v="Married"/>
    <n v="4539"/>
    <n v="1"/>
    <x v="1"/>
    <n v="12"/>
    <n v="1"/>
    <n v="1"/>
    <n v="10"/>
    <n v="3"/>
    <x v="2"/>
    <n v="10"/>
    <n v="7"/>
    <n v="0"/>
    <n v="1"/>
    <n v="0"/>
    <x v="2"/>
    <x v="0"/>
    <x v="0"/>
    <n v="453.9"/>
  </r>
  <r>
    <n v="36"/>
    <x v="1"/>
    <x v="1"/>
    <n v="6"/>
    <n v="4"/>
    <s v="Life Sciences"/>
    <n v="3"/>
    <x v="1"/>
    <n v="1"/>
    <n v="1"/>
    <x v="2"/>
    <x v="2"/>
    <s v="Divorced"/>
    <n v="2741"/>
    <n v="1"/>
    <x v="1"/>
    <n v="14"/>
    <n v="3"/>
    <n v="1"/>
    <n v="7"/>
    <n v="4"/>
    <x v="1"/>
    <n v="7"/>
    <n v="7"/>
    <n v="1"/>
    <n v="7"/>
    <n v="0"/>
    <x v="0"/>
    <x v="1"/>
    <x v="0"/>
    <n v="391.57142857142856"/>
  </r>
  <r>
    <n v="30"/>
    <x v="1"/>
    <x v="1"/>
    <n v="7"/>
    <n v="4"/>
    <s v="Life Sciences"/>
    <n v="3"/>
    <x v="1"/>
    <n v="3"/>
    <n v="2"/>
    <x v="2"/>
    <x v="2"/>
    <s v="Divorced"/>
    <n v="3491"/>
    <n v="1"/>
    <x v="1"/>
    <n v="13"/>
    <n v="1"/>
    <n v="3"/>
    <n v="10"/>
    <n v="4"/>
    <x v="2"/>
    <n v="10"/>
    <n v="7"/>
    <n v="8"/>
    <n v="9"/>
    <n v="0"/>
    <x v="2"/>
    <x v="1"/>
    <x v="0"/>
    <n v="349.1"/>
  </r>
  <r>
    <n v="44"/>
    <x v="1"/>
    <x v="1"/>
    <n v="29"/>
    <n v="4"/>
    <s v="Other"/>
    <n v="4"/>
    <x v="1"/>
    <n v="3"/>
    <n v="2"/>
    <x v="1"/>
    <x v="0"/>
    <s v="Single"/>
    <n v="4541"/>
    <n v="1"/>
    <x v="1"/>
    <n v="25"/>
    <n v="2"/>
    <n v="0"/>
    <n v="20"/>
    <n v="3"/>
    <x v="1"/>
    <n v="20"/>
    <n v="11"/>
    <n v="13"/>
    <n v="17"/>
    <n v="0"/>
    <x v="0"/>
    <x v="0"/>
    <x v="3"/>
    <n v="227.05"/>
  </r>
  <r>
    <n v="20"/>
    <x v="1"/>
    <x v="0"/>
    <n v="21"/>
    <n v="3"/>
    <s v="Marketing"/>
    <n v="3"/>
    <x v="1"/>
    <n v="4"/>
    <n v="1"/>
    <x v="6"/>
    <x v="0"/>
    <s v="Single"/>
    <n v="2678"/>
    <n v="1"/>
    <x v="1"/>
    <n v="17"/>
    <n v="4"/>
    <n v="0"/>
    <n v="2"/>
    <n v="2"/>
    <x v="1"/>
    <n v="2"/>
    <n v="1"/>
    <n v="2"/>
    <n v="2"/>
    <n v="0"/>
    <x v="3"/>
    <x v="1"/>
    <x v="1"/>
    <n v="1339"/>
  </r>
  <r>
    <n v="46"/>
    <x v="1"/>
    <x v="1"/>
    <n v="2"/>
    <n v="4"/>
    <s v="Technical Degree"/>
    <n v="4"/>
    <x v="1"/>
    <n v="3"/>
    <n v="2"/>
    <x v="3"/>
    <x v="0"/>
    <s v="Divorced"/>
    <n v="7379"/>
    <n v="2"/>
    <x v="1"/>
    <n v="11"/>
    <n v="3"/>
    <n v="1"/>
    <n v="12"/>
    <n v="3"/>
    <x v="2"/>
    <n v="6"/>
    <n v="3"/>
    <n v="1"/>
    <n v="4"/>
    <n v="0"/>
    <x v="1"/>
    <x v="0"/>
    <x v="0"/>
    <n v="1229.8333333333333"/>
  </r>
  <r>
    <n v="42"/>
    <x v="1"/>
    <x v="2"/>
    <n v="2"/>
    <n v="5"/>
    <s v="Medical"/>
    <n v="4"/>
    <x v="1"/>
    <n v="4"/>
    <n v="2"/>
    <x v="8"/>
    <x v="3"/>
    <s v="Married"/>
    <n v="6272"/>
    <n v="7"/>
    <x v="1"/>
    <n v="16"/>
    <n v="1"/>
    <n v="1"/>
    <n v="10"/>
    <n v="3"/>
    <x v="3"/>
    <n v="4"/>
    <n v="3"/>
    <n v="0"/>
    <n v="3"/>
    <n v="0"/>
    <x v="0"/>
    <x v="0"/>
    <x v="2"/>
    <n v="1568"/>
  </r>
  <r>
    <n v="60"/>
    <x v="1"/>
    <x v="0"/>
    <n v="7"/>
    <n v="4"/>
    <s v="Marketing"/>
    <n v="2"/>
    <x v="1"/>
    <n v="4"/>
    <n v="2"/>
    <x v="0"/>
    <x v="0"/>
    <s v="Divorced"/>
    <n v="5220"/>
    <n v="0"/>
    <x v="0"/>
    <n v="18"/>
    <n v="2"/>
    <n v="1"/>
    <n v="12"/>
    <n v="3"/>
    <x v="1"/>
    <n v="11"/>
    <n v="7"/>
    <n v="1"/>
    <n v="9"/>
    <n v="0"/>
    <x v="1"/>
    <x v="0"/>
    <x v="3"/>
    <n v="474.54545454545456"/>
  </r>
  <r>
    <n v="32"/>
    <x v="1"/>
    <x v="1"/>
    <n v="13"/>
    <n v="3"/>
    <s v="Other"/>
    <n v="3"/>
    <x v="0"/>
    <n v="2"/>
    <n v="1"/>
    <x v="2"/>
    <x v="1"/>
    <s v="Married"/>
    <n v="2743"/>
    <n v="1"/>
    <x v="1"/>
    <n v="20"/>
    <n v="3"/>
    <n v="1"/>
    <n v="2"/>
    <n v="2"/>
    <x v="1"/>
    <n v="2"/>
    <n v="2"/>
    <n v="2"/>
    <n v="2"/>
    <n v="0"/>
    <x v="2"/>
    <x v="1"/>
    <x v="1"/>
    <n v="1371.5"/>
  </r>
  <r>
    <n v="32"/>
    <x v="1"/>
    <x v="1"/>
    <n v="2"/>
    <n v="2"/>
    <s v="Life Sciences"/>
    <n v="4"/>
    <x v="0"/>
    <n v="3"/>
    <n v="2"/>
    <x v="1"/>
    <x v="2"/>
    <s v="Single"/>
    <n v="4998"/>
    <n v="4"/>
    <x v="0"/>
    <n v="14"/>
    <n v="4"/>
    <n v="0"/>
    <n v="10"/>
    <n v="2"/>
    <x v="1"/>
    <n v="8"/>
    <n v="7"/>
    <n v="0"/>
    <n v="7"/>
    <n v="0"/>
    <x v="2"/>
    <x v="0"/>
    <x v="0"/>
    <n v="624.75"/>
  </r>
  <r>
    <n v="36"/>
    <x v="1"/>
    <x v="1"/>
    <n v="1"/>
    <n v="3"/>
    <s v="Technical Degree"/>
    <n v="3"/>
    <x v="0"/>
    <n v="1"/>
    <n v="3"/>
    <x v="3"/>
    <x v="3"/>
    <s v="Divorced"/>
    <n v="10252"/>
    <n v="2"/>
    <x v="0"/>
    <n v="21"/>
    <n v="3"/>
    <n v="1"/>
    <n v="17"/>
    <n v="2"/>
    <x v="1"/>
    <n v="7"/>
    <n v="7"/>
    <n v="7"/>
    <n v="7"/>
    <n v="0"/>
    <x v="0"/>
    <x v="2"/>
    <x v="0"/>
    <n v="1464.5714285714287"/>
  </r>
  <r>
    <n v="33"/>
    <x v="1"/>
    <x v="1"/>
    <n v="9"/>
    <n v="3"/>
    <s v="Medical"/>
    <n v="1"/>
    <x v="1"/>
    <n v="3"/>
    <n v="1"/>
    <x v="1"/>
    <x v="0"/>
    <s v="Married"/>
    <n v="2781"/>
    <n v="0"/>
    <x v="1"/>
    <n v="13"/>
    <n v="2"/>
    <n v="1"/>
    <n v="15"/>
    <n v="5"/>
    <x v="1"/>
    <n v="14"/>
    <n v="10"/>
    <n v="4"/>
    <n v="10"/>
    <n v="0"/>
    <x v="2"/>
    <x v="1"/>
    <x v="3"/>
    <n v="198.64285714285714"/>
  </r>
  <r>
    <n v="40"/>
    <x v="1"/>
    <x v="0"/>
    <n v="10"/>
    <n v="3"/>
    <s v="Technical Degree"/>
    <n v="2"/>
    <x v="0"/>
    <n v="2"/>
    <n v="2"/>
    <x v="0"/>
    <x v="1"/>
    <s v="Divorced"/>
    <n v="6852"/>
    <n v="7"/>
    <x v="1"/>
    <n v="12"/>
    <n v="2"/>
    <n v="1"/>
    <n v="7"/>
    <n v="2"/>
    <x v="3"/>
    <n v="5"/>
    <n v="1"/>
    <n v="1"/>
    <n v="3"/>
    <n v="0"/>
    <x v="0"/>
    <x v="0"/>
    <x v="2"/>
    <n v="1370.4"/>
  </r>
  <r>
    <n v="25"/>
    <x v="1"/>
    <x v="0"/>
    <n v="10"/>
    <n v="4"/>
    <s v="Life Sciences"/>
    <n v="3"/>
    <x v="1"/>
    <n v="3"/>
    <n v="2"/>
    <x v="0"/>
    <x v="0"/>
    <s v="Single"/>
    <n v="4950"/>
    <n v="0"/>
    <x v="1"/>
    <n v="14"/>
    <n v="2"/>
    <n v="0"/>
    <n v="5"/>
    <n v="4"/>
    <x v="1"/>
    <n v="4"/>
    <n v="3"/>
    <n v="1"/>
    <n v="1"/>
    <n v="0"/>
    <x v="3"/>
    <x v="0"/>
    <x v="2"/>
    <n v="1237.5"/>
  </r>
  <r>
    <n v="30"/>
    <x v="1"/>
    <x v="1"/>
    <n v="1"/>
    <n v="3"/>
    <s v="Medical"/>
    <n v="4"/>
    <x v="1"/>
    <n v="3"/>
    <n v="1"/>
    <x v="1"/>
    <x v="1"/>
    <s v="Married"/>
    <n v="3579"/>
    <n v="0"/>
    <x v="0"/>
    <n v="21"/>
    <n v="1"/>
    <n v="1"/>
    <n v="12"/>
    <n v="2"/>
    <x v="1"/>
    <n v="11"/>
    <n v="9"/>
    <n v="5"/>
    <n v="7"/>
    <n v="0"/>
    <x v="2"/>
    <x v="1"/>
    <x v="3"/>
    <n v="325.36363636363637"/>
  </r>
  <r>
    <n v="42"/>
    <x v="1"/>
    <x v="1"/>
    <n v="26"/>
    <n v="5"/>
    <s v="Medical"/>
    <n v="1"/>
    <x v="0"/>
    <n v="3"/>
    <n v="3"/>
    <x v="7"/>
    <x v="3"/>
    <s v="Married"/>
    <n v="13191"/>
    <n v="3"/>
    <x v="0"/>
    <n v="17"/>
    <n v="3"/>
    <n v="0"/>
    <n v="20"/>
    <n v="6"/>
    <x v="1"/>
    <n v="1"/>
    <n v="0"/>
    <n v="0"/>
    <n v="0"/>
    <n v="0"/>
    <x v="0"/>
    <x v="2"/>
    <x v="1"/>
    <n v="13191"/>
  </r>
  <r>
    <n v="35"/>
    <x v="1"/>
    <x v="0"/>
    <n v="8"/>
    <n v="2"/>
    <s v="Marketing"/>
    <n v="3"/>
    <x v="0"/>
    <n v="2"/>
    <n v="3"/>
    <x v="0"/>
    <x v="0"/>
    <s v="Married"/>
    <n v="10377"/>
    <n v="4"/>
    <x v="0"/>
    <n v="11"/>
    <n v="2"/>
    <n v="1"/>
    <n v="16"/>
    <n v="6"/>
    <x v="2"/>
    <n v="13"/>
    <n v="2"/>
    <n v="4"/>
    <n v="12"/>
    <n v="0"/>
    <x v="2"/>
    <x v="2"/>
    <x v="3"/>
    <n v="798.23076923076928"/>
  </r>
  <r>
    <n v="27"/>
    <x v="1"/>
    <x v="1"/>
    <n v="14"/>
    <n v="3"/>
    <s v="Life Sciences"/>
    <n v="1"/>
    <x v="1"/>
    <n v="3"/>
    <n v="1"/>
    <x v="1"/>
    <x v="3"/>
    <s v="Married"/>
    <n v="2235"/>
    <n v="1"/>
    <x v="0"/>
    <n v="14"/>
    <n v="4"/>
    <n v="2"/>
    <n v="9"/>
    <n v="3"/>
    <x v="2"/>
    <n v="9"/>
    <n v="7"/>
    <n v="6"/>
    <n v="8"/>
    <n v="0"/>
    <x v="2"/>
    <x v="1"/>
    <x v="0"/>
    <n v="248.33333333333334"/>
  </r>
  <r>
    <n v="54"/>
    <x v="1"/>
    <x v="1"/>
    <n v="1"/>
    <n v="4"/>
    <s v="Life Sciences"/>
    <n v="4"/>
    <x v="0"/>
    <n v="3"/>
    <n v="3"/>
    <x v="3"/>
    <x v="2"/>
    <s v="Divorced"/>
    <n v="10502"/>
    <n v="7"/>
    <x v="1"/>
    <n v="17"/>
    <n v="1"/>
    <n v="1"/>
    <n v="33"/>
    <n v="2"/>
    <x v="0"/>
    <n v="5"/>
    <n v="4"/>
    <n v="1"/>
    <n v="4"/>
    <n v="0"/>
    <x v="1"/>
    <x v="2"/>
    <x v="2"/>
    <n v="2100.4"/>
  </r>
  <r>
    <n v="44"/>
    <x v="1"/>
    <x v="1"/>
    <n v="2"/>
    <n v="1"/>
    <s v="Life Sciences"/>
    <n v="1"/>
    <x v="0"/>
    <n v="4"/>
    <n v="1"/>
    <x v="1"/>
    <x v="0"/>
    <s v="Married"/>
    <n v="2011"/>
    <n v="1"/>
    <x v="1"/>
    <n v="13"/>
    <n v="4"/>
    <n v="1"/>
    <n v="10"/>
    <n v="5"/>
    <x v="1"/>
    <n v="10"/>
    <n v="5"/>
    <n v="7"/>
    <n v="7"/>
    <n v="0"/>
    <x v="0"/>
    <x v="1"/>
    <x v="0"/>
    <n v="201.1"/>
  </r>
  <r>
    <n v="19"/>
    <x v="0"/>
    <x v="1"/>
    <n v="10"/>
    <n v="3"/>
    <s v="Medical"/>
    <n v="1"/>
    <x v="0"/>
    <n v="2"/>
    <n v="1"/>
    <x v="1"/>
    <x v="1"/>
    <s v="Single"/>
    <n v="1859"/>
    <n v="1"/>
    <x v="0"/>
    <n v="25"/>
    <n v="2"/>
    <n v="0"/>
    <n v="1"/>
    <n v="2"/>
    <x v="3"/>
    <n v="1"/>
    <n v="1"/>
    <n v="0"/>
    <n v="0"/>
    <n v="1"/>
    <x v="3"/>
    <x v="1"/>
    <x v="1"/>
    <n v="1859"/>
  </r>
  <r>
    <n v="29"/>
    <x v="1"/>
    <x v="1"/>
    <n v="1"/>
    <n v="3"/>
    <s v="Life Sciences"/>
    <n v="1"/>
    <x v="0"/>
    <n v="3"/>
    <n v="1"/>
    <x v="1"/>
    <x v="0"/>
    <s v="Divorced"/>
    <n v="3760"/>
    <n v="1"/>
    <x v="1"/>
    <n v="15"/>
    <n v="1"/>
    <n v="3"/>
    <n v="3"/>
    <n v="5"/>
    <x v="1"/>
    <n v="3"/>
    <n v="2"/>
    <n v="1"/>
    <n v="2"/>
    <n v="0"/>
    <x v="2"/>
    <x v="1"/>
    <x v="2"/>
    <n v="1253.3333333333333"/>
  </r>
  <r>
    <n v="54"/>
    <x v="1"/>
    <x v="1"/>
    <n v="3"/>
    <n v="3"/>
    <s v="Life Sciences"/>
    <n v="4"/>
    <x v="1"/>
    <n v="3"/>
    <n v="4"/>
    <x v="7"/>
    <x v="0"/>
    <s v="Married"/>
    <n v="17779"/>
    <n v="3"/>
    <x v="1"/>
    <n v="14"/>
    <n v="1"/>
    <n v="0"/>
    <n v="36"/>
    <n v="2"/>
    <x v="1"/>
    <n v="10"/>
    <n v="9"/>
    <n v="0"/>
    <n v="9"/>
    <n v="0"/>
    <x v="1"/>
    <x v="2"/>
    <x v="0"/>
    <n v="1777.9"/>
  </r>
  <r>
    <n v="31"/>
    <x v="1"/>
    <x v="1"/>
    <n v="11"/>
    <n v="2"/>
    <s v="Medical"/>
    <n v="3"/>
    <x v="1"/>
    <n v="3"/>
    <n v="2"/>
    <x v="4"/>
    <x v="3"/>
    <s v="Married"/>
    <n v="6833"/>
    <n v="1"/>
    <x v="0"/>
    <n v="12"/>
    <n v="4"/>
    <n v="0"/>
    <n v="6"/>
    <n v="2"/>
    <x v="2"/>
    <n v="6"/>
    <n v="5"/>
    <n v="0"/>
    <n v="1"/>
    <n v="0"/>
    <x v="2"/>
    <x v="0"/>
    <x v="0"/>
    <n v="1138.8333333333333"/>
  </r>
  <r>
    <n v="31"/>
    <x v="1"/>
    <x v="1"/>
    <n v="24"/>
    <n v="3"/>
    <s v="Medical"/>
    <n v="3"/>
    <x v="0"/>
    <n v="2"/>
    <n v="2"/>
    <x v="4"/>
    <x v="3"/>
    <s v="Single"/>
    <n v="6812"/>
    <n v="1"/>
    <x v="1"/>
    <n v="19"/>
    <n v="2"/>
    <n v="0"/>
    <n v="10"/>
    <n v="2"/>
    <x v="1"/>
    <n v="10"/>
    <n v="9"/>
    <n v="1"/>
    <n v="8"/>
    <n v="0"/>
    <x v="2"/>
    <x v="0"/>
    <x v="0"/>
    <n v="681.2"/>
  </r>
  <r>
    <n v="59"/>
    <x v="1"/>
    <x v="0"/>
    <n v="3"/>
    <n v="3"/>
    <s v="Life Sciences"/>
    <n v="3"/>
    <x v="0"/>
    <n v="2"/>
    <n v="2"/>
    <x v="0"/>
    <x v="0"/>
    <s v="Single"/>
    <n v="5171"/>
    <n v="5"/>
    <x v="1"/>
    <n v="17"/>
    <n v="4"/>
    <n v="0"/>
    <n v="13"/>
    <n v="2"/>
    <x v="1"/>
    <n v="6"/>
    <n v="1"/>
    <n v="0"/>
    <n v="5"/>
    <n v="0"/>
    <x v="1"/>
    <x v="0"/>
    <x v="0"/>
    <n v="861.83333333333337"/>
  </r>
  <r>
    <n v="43"/>
    <x v="1"/>
    <x v="1"/>
    <n v="3"/>
    <n v="3"/>
    <s v="Life Sciences"/>
    <n v="3"/>
    <x v="1"/>
    <n v="1"/>
    <n v="5"/>
    <x v="7"/>
    <x v="0"/>
    <s v="Married"/>
    <n v="19740"/>
    <n v="3"/>
    <x v="1"/>
    <n v="14"/>
    <n v="2"/>
    <n v="1"/>
    <n v="25"/>
    <n v="2"/>
    <x v="1"/>
    <n v="8"/>
    <n v="7"/>
    <n v="0"/>
    <n v="7"/>
    <n v="0"/>
    <x v="0"/>
    <x v="2"/>
    <x v="0"/>
    <n v="2467.5"/>
  </r>
  <r>
    <n v="49"/>
    <x v="1"/>
    <x v="1"/>
    <n v="4"/>
    <n v="2"/>
    <s v="Medical"/>
    <n v="1"/>
    <x v="1"/>
    <n v="2"/>
    <n v="5"/>
    <x v="5"/>
    <x v="2"/>
    <s v="Married"/>
    <n v="18711"/>
    <n v="2"/>
    <x v="1"/>
    <n v="13"/>
    <n v="3"/>
    <n v="1"/>
    <n v="23"/>
    <n v="2"/>
    <x v="3"/>
    <n v="1"/>
    <n v="0"/>
    <n v="0"/>
    <n v="0"/>
    <n v="0"/>
    <x v="1"/>
    <x v="2"/>
    <x v="1"/>
    <n v="18711"/>
  </r>
  <r>
    <n v="36"/>
    <x v="1"/>
    <x v="1"/>
    <n v="3"/>
    <n v="3"/>
    <s v="Technical Degree"/>
    <n v="3"/>
    <x v="1"/>
    <n v="3"/>
    <n v="1"/>
    <x v="1"/>
    <x v="1"/>
    <s v="Married"/>
    <n v="3692"/>
    <n v="1"/>
    <x v="1"/>
    <n v="12"/>
    <n v="3"/>
    <n v="0"/>
    <n v="12"/>
    <n v="2"/>
    <x v="2"/>
    <n v="11"/>
    <n v="10"/>
    <n v="0"/>
    <n v="7"/>
    <n v="0"/>
    <x v="0"/>
    <x v="1"/>
    <x v="3"/>
    <n v="335.63636363636363"/>
  </r>
  <r>
    <n v="48"/>
    <x v="1"/>
    <x v="1"/>
    <n v="2"/>
    <n v="2"/>
    <s v="Technical Degree"/>
    <n v="4"/>
    <x v="1"/>
    <n v="4"/>
    <n v="1"/>
    <x v="2"/>
    <x v="1"/>
    <s v="Single"/>
    <n v="2559"/>
    <n v="5"/>
    <x v="1"/>
    <n v="11"/>
    <n v="3"/>
    <n v="0"/>
    <n v="7"/>
    <n v="4"/>
    <x v="2"/>
    <n v="1"/>
    <n v="0"/>
    <n v="0"/>
    <n v="0"/>
    <n v="0"/>
    <x v="1"/>
    <x v="1"/>
    <x v="1"/>
    <n v="2559"/>
  </r>
  <r>
    <n v="27"/>
    <x v="1"/>
    <x v="1"/>
    <n v="4"/>
    <n v="2"/>
    <s v="Life Sciences"/>
    <n v="1"/>
    <x v="1"/>
    <n v="3"/>
    <n v="1"/>
    <x v="1"/>
    <x v="2"/>
    <s v="Divorced"/>
    <n v="2517"/>
    <n v="1"/>
    <x v="1"/>
    <n v="11"/>
    <n v="2"/>
    <n v="3"/>
    <n v="5"/>
    <n v="2"/>
    <x v="1"/>
    <n v="5"/>
    <n v="3"/>
    <n v="0"/>
    <n v="3"/>
    <n v="0"/>
    <x v="2"/>
    <x v="1"/>
    <x v="2"/>
    <n v="503.4"/>
  </r>
  <r>
    <n v="29"/>
    <x v="1"/>
    <x v="1"/>
    <n v="7"/>
    <n v="3"/>
    <s v="Life Sciences"/>
    <n v="3"/>
    <x v="1"/>
    <n v="3"/>
    <n v="2"/>
    <x v="4"/>
    <x v="0"/>
    <s v="Divorced"/>
    <n v="6623"/>
    <n v="1"/>
    <x v="0"/>
    <n v="11"/>
    <n v="2"/>
    <n v="2"/>
    <n v="6"/>
    <n v="2"/>
    <x v="1"/>
    <n v="6"/>
    <n v="0"/>
    <n v="1"/>
    <n v="0"/>
    <n v="0"/>
    <x v="2"/>
    <x v="0"/>
    <x v="0"/>
    <n v="1103.8333333333333"/>
  </r>
  <r>
    <n v="48"/>
    <x v="1"/>
    <x v="1"/>
    <n v="1"/>
    <n v="3"/>
    <s v="Life Sciences"/>
    <n v="4"/>
    <x v="1"/>
    <n v="2"/>
    <n v="5"/>
    <x v="7"/>
    <x v="0"/>
    <s v="Single"/>
    <n v="18265"/>
    <n v="6"/>
    <x v="1"/>
    <n v="12"/>
    <n v="3"/>
    <n v="0"/>
    <n v="25"/>
    <n v="3"/>
    <x v="3"/>
    <n v="1"/>
    <n v="0"/>
    <n v="0"/>
    <n v="0"/>
    <n v="0"/>
    <x v="1"/>
    <x v="2"/>
    <x v="1"/>
    <n v="18265"/>
  </r>
  <r>
    <n v="29"/>
    <x v="1"/>
    <x v="1"/>
    <n v="1"/>
    <n v="3"/>
    <s v="Life Sciences"/>
    <n v="4"/>
    <x v="0"/>
    <n v="2"/>
    <n v="4"/>
    <x v="7"/>
    <x v="0"/>
    <s v="Divorced"/>
    <n v="16124"/>
    <n v="3"/>
    <x v="1"/>
    <n v="14"/>
    <n v="2"/>
    <n v="2"/>
    <n v="9"/>
    <n v="2"/>
    <x v="2"/>
    <n v="7"/>
    <n v="7"/>
    <n v="1"/>
    <n v="7"/>
    <n v="0"/>
    <x v="2"/>
    <x v="2"/>
    <x v="0"/>
    <n v="2303.4285714285716"/>
  </r>
  <r>
    <n v="34"/>
    <x v="1"/>
    <x v="1"/>
    <n v="20"/>
    <n v="3"/>
    <s v="Technical Degree"/>
    <n v="3"/>
    <x v="0"/>
    <n v="4"/>
    <n v="1"/>
    <x v="1"/>
    <x v="2"/>
    <s v="Married"/>
    <n v="2585"/>
    <n v="0"/>
    <x v="1"/>
    <n v="17"/>
    <n v="4"/>
    <n v="0"/>
    <n v="2"/>
    <n v="5"/>
    <x v="2"/>
    <n v="1"/>
    <n v="0"/>
    <n v="0"/>
    <n v="0"/>
    <n v="0"/>
    <x v="2"/>
    <x v="1"/>
    <x v="1"/>
    <n v="2585"/>
  </r>
  <r>
    <n v="44"/>
    <x v="1"/>
    <x v="0"/>
    <n v="5"/>
    <n v="3"/>
    <s v="Marketing"/>
    <n v="2"/>
    <x v="1"/>
    <n v="3"/>
    <n v="5"/>
    <x v="5"/>
    <x v="1"/>
    <s v="Married"/>
    <n v="18213"/>
    <n v="7"/>
    <x v="1"/>
    <n v="11"/>
    <n v="3"/>
    <n v="1"/>
    <n v="26"/>
    <n v="5"/>
    <x v="1"/>
    <n v="22"/>
    <n v="9"/>
    <n v="3"/>
    <n v="10"/>
    <n v="0"/>
    <x v="0"/>
    <x v="2"/>
    <x v="3"/>
    <n v="827.86363636363637"/>
  </r>
  <r>
    <n v="33"/>
    <x v="1"/>
    <x v="0"/>
    <n v="10"/>
    <n v="5"/>
    <s v="Marketing"/>
    <n v="4"/>
    <x v="1"/>
    <n v="4"/>
    <n v="3"/>
    <x v="0"/>
    <x v="2"/>
    <s v="Divorced"/>
    <n v="8380"/>
    <n v="0"/>
    <x v="0"/>
    <n v="14"/>
    <n v="4"/>
    <n v="2"/>
    <n v="10"/>
    <n v="3"/>
    <x v="1"/>
    <n v="9"/>
    <n v="8"/>
    <n v="0"/>
    <n v="8"/>
    <n v="0"/>
    <x v="2"/>
    <x v="0"/>
    <x v="0"/>
    <n v="931.11111111111109"/>
  </r>
  <r>
    <n v="19"/>
    <x v="1"/>
    <x v="1"/>
    <n v="25"/>
    <n v="3"/>
    <s v="Life Sciences"/>
    <n v="2"/>
    <x v="0"/>
    <n v="4"/>
    <n v="1"/>
    <x v="1"/>
    <x v="0"/>
    <s v="Single"/>
    <n v="2994"/>
    <n v="1"/>
    <x v="0"/>
    <n v="12"/>
    <n v="4"/>
    <n v="0"/>
    <n v="1"/>
    <n v="2"/>
    <x v="1"/>
    <n v="1"/>
    <n v="0"/>
    <n v="0"/>
    <n v="1"/>
    <n v="0"/>
    <x v="3"/>
    <x v="1"/>
    <x v="1"/>
    <n v="2994"/>
  </r>
  <r>
    <n v="23"/>
    <x v="1"/>
    <x v="1"/>
    <n v="1"/>
    <n v="2"/>
    <s v="Life Sciences"/>
    <n v="4"/>
    <x v="1"/>
    <n v="3"/>
    <n v="1"/>
    <x v="1"/>
    <x v="2"/>
    <s v="Married"/>
    <n v="1223"/>
    <n v="1"/>
    <x v="1"/>
    <n v="22"/>
    <n v="4"/>
    <n v="1"/>
    <n v="1"/>
    <n v="2"/>
    <x v="1"/>
    <n v="1"/>
    <n v="0"/>
    <n v="0"/>
    <n v="1"/>
    <n v="0"/>
    <x v="3"/>
    <x v="1"/>
    <x v="1"/>
    <n v="1223"/>
  </r>
  <r>
    <n v="25"/>
    <x v="0"/>
    <x v="0"/>
    <n v="24"/>
    <n v="1"/>
    <s v="Life Sciences"/>
    <n v="3"/>
    <x v="1"/>
    <n v="1"/>
    <n v="1"/>
    <x v="6"/>
    <x v="0"/>
    <s v="Single"/>
    <n v="1118"/>
    <n v="1"/>
    <x v="0"/>
    <n v="14"/>
    <n v="4"/>
    <n v="0"/>
    <n v="1"/>
    <n v="4"/>
    <x v="1"/>
    <n v="1"/>
    <n v="0"/>
    <n v="1"/>
    <n v="0"/>
    <n v="1"/>
    <x v="3"/>
    <x v="1"/>
    <x v="1"/>
    <n v="1118"/>
  </r>
  <r>
    <n v="26"/>
    <x v="1"/>
    <x v="1"/>
    <n v="4"/>
    <n v="2"/>
    <s v="Life Sciences"/>
    <n v="3"/>
    <x v="1"/>
    <n v="3"/>
    <n v="1"/>
    <x v="1"/>
    <x v="0"/>
    <s v="Single"/>
    <n v="2875"/>
    <n v="1"/>
    <x v="0"/>
    <n v="20"/>
    <n v="2"/>
    <n v="0"/>
    <n v="8"/>
    <n v="2"/>
    <x v="2"/>
    <n v="8"/>
    <n v="5"/>
    <n v="2"/>
    <n v="2"/>
    <n v="0"/>
    <x v="2"/>
    <x v="1"/>
    <x v="0"/>
    <n v="359.375"/>
  </r>
  <r>
    <n v="45"/>
    <x v="0"/>
    <x v="0"/>
    <n v="2"/>
    <n v="3"/>
    <s v="Marketing"/>
    <n v="1"/>
    <x v="0"/>
    <n v="1"/>
    <n v="5"/>
    <x v="5"/>
    <x v="1"/>
    <s v="Single"/>
    <n v="18824"/>
    <n v="2"/>
    <x v="0"/>
    <n v="16"/>
    <n v="1"/>
    <n v="0"/>
    <n v="26"/>
    <n v="2"/>
    <x v="1"/>
    <n v="24"/>
    <n v="10"/>
    <n v="1"/>
    <n v="11"/>
    <n v="1"/>
    <x v="0"/>
    <x v="2"/>
    <x v="3"/>
    <n v="784.33333333333337"/>
  </r>
  <r>
    <n v="55"/>
    <x v="1"/>
    <x v="1"/>
    <n v="8"/>
    <n v="1"/>
    <s v="Medical"/>
    <n v="4"/>
    <x v="1"/>
    <n v="2"/>
    <n v="4"/>
    <x v="4"/>
    <x v="1"/>
    <s v="Divorced"/>
    <n v="13577"/>
    <n v="1"/>
    <x v="0"/>
    <n v="15"/>
    <n v="4"/>
    <n v="1"/>
    <n v="34"/>
    <n v="3"/>
    <x v="1"/>
    <n v="33"/>
    <n v="9"/>
    <n v="15"/>
    <n v="0"/>
    <n v="0"/>
    <x v="1"/>
    <x v="2"/>
    <x v="3"/>
    <n v="411.42424242424244"/>
  </r>
  <r>
    <n v="21"/>
    <x v="0"/>
    <x v="1"/>
    <n v="10"/>
    <n v="2"/>
    <s v="Life Sciences"/>
    <n v="1"/>
    <x v="0"/>
    <n v="2"/>
    <n v="1"/>
    <x v="2"/>
    <x v="2"/>
    <s v="Single"/>
    <n v="2625"/>
    <n v="1"/>
    <x v="1"/>
    <n v="20"/>
    <n v="3"/>
    <n v="0"/>
    <n v="2"/>
    <n v="2"/>
    <x v="0"/>
    <n v="2"/>
    <n v="2"/>
    <n v="2"/>
    <n v="2"/>
    <n v="1"/>
    <x v="3"/>
    <x v="1"/>
    <x v="1"/>
    <n v="1312.5"/>
  </r>
  <r>
    <n v="46"/>
    <x v="1"/>
    <x v="0"/>
    <n v="4"/>
    <n v="2"/>
    <s v="Marketing"/>
    <n v="4"/>
    <x v="0"/>
    <n v="2"/>
    <n v="5"/>
    <x v="5"/>
    <x v="1"/>
    <s v="Married"/>
    <n v="18789"/>
    <n v="2"/>
    <x v="1"/>
    <n v="14"/>
    <n v="3"/>
    <n v="1"/>
    <n v="26"/>
    <n v="2"/>
    <x v="1"/>
    <n v="11"/>
    <n v="4"/>
    <n v="0"/>
    <n v="8"/>
    <n v="0"/>
    <x v="1"/>
    <x v="2"/>
    <x v="3"/>
    <n v="1708.090909090909"/>
  </r>
  <r>
    <n v="34"/>
    <x v="1"/>
    <x v="0"/>
    <n v="2"/>
    <n v="3"/>
    <s v="Marketing"/>
    <n v="3"/>
    <x v="0"/>
    <n v="3"/>
    <n v="2"/>
    <x v="0"/>
    <x v="3"/>
    <s v="Single"/>
    <n v="4538"/>
    <n v="0"/>
    <x v="0"/>
    <n v="12"/>
    <n v="4"/>
    <n v="0"/>
    <n v="4"/>
    <n v="3"/>
    <x v="1"/>
    <n v="3"/>
    <n v="2"/>
    <n v="0"/>
    <n v="2"/>
    <n v="0"/>
    <x v="2"/>
    <x v="0"/>
    <x v="2"/>
    <n v="1512.6666666666667"/>
  </r>
  <r>
    <n v="51"/>
    <x v="1"/>
    <x v="0"/>
    <n v="9"/>
    <n v="3"/>
    <s v="Life Sciences"/>
    <n v="4"/>
    <x v="1"/>
    <n v="3"/>
    <n v="5"/>
    <x v="5"/>
    <x v="1"/>
    <s v="Divorced"/>
    <n v="19847"/>
    <n v="4"/>
    <x v="0"/>
    <n v="24"/>
    <n v="1"/>
    <n v="1"/>
    <n v="31"/>
    <n v="5"/>
    <x v="2"/>
    <n v="29"/>
    <n v="10"/>
    <n v="11"/>
    <n v="10"/>
    <n v="0"/>
    <x v="1"/>
    <x v="2"/>
    <x v="3"/>
    <n v="684.37931034482756"/>
  </r>
  <r>
    <n v="59"/>
    <x v="1"/>
    <x v="1"/>
    <n v="18"/>
    <n v="4"/>
    <s v="Medical"/>
    <n v="4"/>
    <x v="1"/>
    <n v="3"/>
    <n v="3"/>
    <x v="3"/>
    <x v="0"/>
    <s v="Single"/>
    <n v="10512"/>
    <n v="6"/>
    <x v="1"/>
    <n v="12"/>
    <n v="4"/>
    <n v="0"/>
    <n v="25"/>
    <n v="6"/>
    <x v="2"/>
    <n v="9"/>
    <n v="7"/>
    <n v="5"/>
    <n v="4"/>
    <n v="0"/>
    <x v="1"/>
    <x v="2"/>
    <x v="0"/>
    <n v="1168"/>
  </r>
  <r>
    <n v="34"/>
    <x v="1"/>
    <x v="1"/>
    <n v="19"/>
    <n v="3"/>
    <s v="Medical"/>
    <n v="3"/>
    <x v="0"/>
    <n v="3"/>
    <n v="2"/>
    <x v="2"/>
    <x v="1"/>
    <s v="Divorced"/>
    <n v="4444"/>
    <n v="4"/>
    <x v="1"/>
    <n v="13"/>
    <n v="3"/>
    <n v="2"/>
    <n v="15"/>
    <n v="2"/>
    <x v="3"/>
    <n v="11"/>
    <n v="8"/>
    <n v="5"/>
    <n v="10"/>
    <n v="0"/>
    <x v="2"/>
    <x v="0"/>
    <x v="3"/>
    <n v="404"/>
  </r>
  <r>
    <n v="28"/>
    <x v="1"/>
    <x v="1"/>
    <n v="1"/>
    <n v="4"/>
    <s v="Medical"/>
    <n v="4"/>
    <x v="1"/>
    <n v="3"/>
    <n v="1"/>
    <x v="2"/>
    <x v="2"/>
    <s v="Single"/>
    <n v="2154"/>
    <n v="0"/>
    <x v="0"/>
    <n v="11"/>
    <n v="3"/>
    <n v="0"/>
    <n v="5"/>
    <n v="2"/>
    <x v="2"/>
    <n v="4"/>
    <n v="2"/>
    <n v="0"/>
    <n v="2"/>
    <n v="0"/>
    <x v="2"/>
    <x v="1"/>
    <x v="2"/>
    <n v="538.5"/>
  </r>
  <r>
    <n v="44"/>
    <x v="1"/>
    <x v="1"/>
    <n v="4"/>
    <n v="2"/>
    <s v="Life Sciences"/>
    <n v="3"/>
    <x v="1"/>
    <n v="4"/>
    <n v="5"/>
    <x v="5"/>
    <x v="3"/>
    <s v="Divorced"/>
    <n v="19190"/>
    <n v="1"/>
    <x v="1"/>
    <n v="14"/>
    <n v="4"/>
    <n v="2"/>
    <n v="26"/>
    <n v="4"/>
    <x v="2"/>
    <n v="25"/>
    <n v="9"/>
    <n v="14"/>
    <n v="13"/>
    <n v="0"/>
    <x v="0"/>
    <x v="2"/>
    <x v="3"/>
    <n v="767.6"/>
  </r>
  <r>
    <n v="34"/>
    <x v="1"/>
    <x v="2"/>
    <n v="11"/>
    <n v="3"/>
    <s v="Life Sciences"/>
    <n v="3"/>
    <x v="1"/>
    <n v="2"/>
    <n v="2"/>
    <x v="8"/>
    <x v="1"/>
    <s v="Married"/>
    <n v="4490"/>
    <n v="4"/>
    <x v="1"/>
    <n v="11"/>
    <n v="4"/>
    <n v="2"/>
    <n v="14"/>
    <n v="5"/>
    <x v="3"/>
    <n v="10"/>
    <n v="9"/>
    <n v="1"/>
    <n v="8"/>
    <n v="0"/>
    <x v="2"/>
    <x v="0"/>
    <x v="0"/>
    <n v="449"/>
  </r>
  <r>
    <n v="35"/>
    <x v="1"/>
    <x v="1"/>
    <n v="6"/>
    <n v="1"/>
    <s v="Life Sciences"/>
    <n v="3"/>
    <x v="1"/>
    <n v="3"/>
    <n v="1"/>
    <x v="1"/>
    <x v="2"/>
    <s v="Married"/>
    <n v="3506"/>
    <n v="0"/>
    <x v="0"/>
    <n v="14"/>
    <n v="4"/>
    <n v="0"/>
    <n v="4"/>
    <n v="3"/>
    <x v="1"/>
    <n v="3"/>
    <n v="2"/>
    <n v="2"/>
    <n v="2"/>
    <n v="0"/>
    <x v="2"/>
    <x v="1"/>
    <x v="2"/>
    <n v="1168.6666666666667"/>
  </r>
  <r>
    <n v="42"/>
    <x v="1"/>
    <x v="1"/>
    <n v="7"/>
    <n v="4"/>
    <s v="Medical"/>
    <n v="2"/>
    <x v="0"/>
    <n v="4"/>
    <n v="2"/>
    <x v="1"/>
    <x v="1"/>
    <s v="Married"/>
    <n v="2372"/>
    <n v="6"/>
    <x v="0"/>
    <n v="16"/>
    <n v="4"/>
    <n v="0"/>
    <n v="18"/>
    <n v="2"/>
    <x v="1"/>
    <n v="1"/>
    <n v="0"/>
    <n v="0"/>
    <n v="0"/>
    <n v="0"/>
    <x v="0"/>
    <x v="1"/>
    <x v="1"/>
    <n v="2372"/>
  </r>
  <r>
    <n v="43"/>
    <x v="1"/>
    <x v="0"/>
    <n v="4"/>
    <n v="4"/>
    <s v="Marketing"/>
    <n v="4"/>
    <x v="0"/>
    <n v="2"/>
    <n v="3"/>
    <x v="0"/>
    <x v="0"/>
    <s v="Single"/>
    <n v="10231"/>
    <n v="3"/>
    <x v="1"/>
    <n v="14"/>
    <n v="4"/>
    <n v="0"/>
    <n v="23"/>
    <n v="3"/>
    <x v="3"/>
    <n v="21"/>
    <n v="7"/>
    <n v="15"/>
    <n v="17"/>
    <n v="0"/>
    <x v="0"/>
    <x v="2"/>
    <x v="3"/>
    <n v="487.1904761904762"/>
  </r>
  <r>
    <n v="36"/>
    <x v="1"/>
    <x v="1"/>
    <n v="2"/>
    <n v="4"/>
    <s v="Life Sciences"/>
    <n v="3"/>
    <x v="0"/>
    <n v="3"/>
    <n v="2"/>
    <x v="3"/>
    <x v="1"/>
    <s v="Single"/>
    <n v="5410"/>
    <n v="9"/>
    <x v="0"/>
    <n v="11"/>
    <n v="4"/>
    <n v="0"/>
    <n v="18"/>
    <n v="2"/>
    <x v="1"/>
    <n v="16"/>
    <n v="14"/>
    <n v="5"/>
    <n v="12"/>
    <n v="0"/>
    <x v="0"/>
    <x v="0"/>
    <x v="3"/>
    <n v="338.125"/>
  </r>
  <r>
    <n v="44"/>
    <x v="0"/>
    <x v="1"/>
    <n v="15"/>
    <n v="3"/>
    <s v="Medical"/>
    <n v="1"/>
    <x v="0"/>
    <n v="3"/>
    <n v="3"/>
    <x v="4"/>
    <x v="0"/>
    <s v="Married"/>
    <n v="7978"/>
    <n v="1"/>
    <x v="1"/>
    <n v="11"/>
    <n v="4"/>
    <n v="1"/>
    <n v="10"/>
    <n v="2"/>
    <x v="1"/>
    <n v="10"/>
    <n v="7"/>
    <n v="0"/>
    <n v="5"/>
    <n v="1"/>
    <x v="0"/>
    <x v="0"/>
    <x v="0"/>
    <n v="797.8"/>
  </r>
  <r>
    <n v="28"/>
    <x v="1"/>
    <x v="1"/>
    <n v="2"/>
    <n v="3"/>
    <s v="Life Sciences"/>
    <n v="4"/>
    <x v="1"/>
    <n v="2"/>
    <n v="1"/>
    <x v="2"/>
    <x v="0"/>
    <s v="Married"/>
    <n v="3867"/>
    <n v="1"/>
    <x v="0"/>
    <n v="12"/>
    <n v="2"/>
    <n v="1"/>
    <n v="2"/>
    <n v="2"/>
    <x v="1"/>
    <n v="2"/>
    <n v="2"/>
    <n v="2"/>
    <n v="2"/>
    <n v="0"/>
    <x v="2"/>
    <x v="1"/>
    <x v="1"/>
    <n v="1933.5"/>
  </r>
  <r>
    <n v="51"/>
    <x v="1"/>
    <x v="1"/>
    <n v="6"/>
    <n v="2"/>
    <s v="Medical"/>
    <n v="2"/>
    <x v="0"/>
    <n v="2"/>
    <n v="1"/>
    <x v="2"/>
    <x v="2"/>
    <s v="Single"/>
    <n v="2838"/>
    <n v="0"/>
    <x v="1"/>
    <n v="14"/>
    <n v="2"/>
    <n v="0"/>
    <n v="8"/>
    <n v="6"/>
    <x v="2"/>
    <n v="7"/>
    <n v="0"/>
    <n v="7"/>
    <n v="7"/>
    <n v="0"/>
    <x v="1"/>
    <x v="1"/>
    <x v="0"/>
    <n v="405.42857142857144"/>
  </r>
  <r>
    <n v="30"/>
    <x v="1"/>
    <x v="1"/>
    <n v="9"/>
    <n v="2"/>
    <s v="Medical"/>
    <n v="3"/>
    <x v="0"/>
    <n v="3"/>
    <n v="2"/>
    <x v="3"/>
    <x v="2"/>
    <s v="Single"/>
    <n v="4695"/>
    <n v="7"/>
    <x v="0"/>
    <n v="18"/>
    <n v="3"/>
    <n v="0"/>
    <n v="10"/>
    <n v="3"/>
    <x v="1"/>
    <n v="8"/>
    <n v="4"/>
    <n v="1"/>
    <n v="7"/>
    <n v="0"/>
    <x v="2"/>
    <x v="0"/>
    <x v="0"/>
    <n v="586.875"/>
  </r>
  <r>
    <n v="29"/>
    <x v="0"/>
    <x v="1"/>
    <n v="7"/>
    <n v="3"/>
    <s v="Technical Degree"/>
    <n v="2"/>
    <x v="0"/>
    <n v="3"/>
    <n v="1"/>
    <x v="2"/>
    <x v="2"/>
    <s v="Divorced"/>
    <n v="3339"/>
    <n v="3"/>
    <x v="0"/>
    <n v="13"/>
    <n v="1"/>
    <n v="2"/>
    <n v="10"/>
    <n v="2"/>
    <x v="1"/>
    <n v="7"/>
    <n v="7"/>
    <n v="7"/>
    <n v="7"/>
    <n v="1"/>
    <x v="2"/>
    <x v="1"/>
    <x v="0"/>
    <n v="477"/>
  </r>
  <r>
    <n v="28"/>
    <x v="1"/>
    <x v="1"/>
    <n v="1"/>
    <n v="3"/>
    <s v="Technical Degree"/>
    <n v="4"/>
    <x v="1"/>
    <n v="3"/>
    <n v="1"/>
    <x v="1"/>
    <x v="3"/>
    <s v="Single"/>
    <n v="2080"/>
    <n v="2"/>
    <x v="1"/>
    <n v="11"/>
    <n v="2"/>
    <n v="0"/>
    <n v="5"/>
    <n v="2"/>
    <x v="2"/>
    <n v="3"/>
    <n v="2"/>
    <n v="1"/>
    <n v="2"/>
    <n v="0"/>
    <x v="2"/>
    <x v="1"/>
    <x v="2"/>
    <n v="693.33333333333337"/>
  </r>
  <r>
    <n v="25"/>
    <x v="1"/>
    <x v="1"/>
    <n v="1"/>
    <n v="3"/>
    <s v="Medical"/>
    <n v="4"/>
    <x v="0"/>
    <n v="3"/>
    <n v="1"/>
    <x v="1"/>
    <x v="1"/>
    <s v="Single"/>
    <n v="2096"/>
    <n v="1"/>
    <x v="1"/>
    <n v="18"/>
    <n v="4"/>
    <n v="0"/>
    <n v="2"/>
    <n v="3"/>
    <x v="2"/>
    <n v="2"/>
    <n v="2"/>
    <n v="2"/>
    <n v="1"/>
    <n v="0"/>
    <x v="3"/>
    <x v="1"/>
    <x v="1"/>
    <n v="1048"/>
  </r>
  <r>
    <n v="32"/>
    <x v="1"/>
    <x v="0"/>
    <n v="8"/>
    <n v="3"/>
    <s v="Medical"/>
    <n v="3"/>
    <x v="1"/>
    <n v="4"/>
    <n v="2"/>
    <x v="0"/>
    <x v="0"/>
    <s v="Married"/>
    <n v="6209"/>
    <n v="1"/>
    <x v="1"/>
    <n v="15"/>
    <n v="3"/>
    <n v="2"/>
    <n v="10"/>
    <n v="4"/>
    <x v="3"/>
    <n v="10"/>
    <n v="7"/>
    <n v="0"/>
    <n v="8"/>
    <n v="0"/>
    <x v="2"/>
    <x v="0"/>
    <x v="0"/>
    <n v="620.9"/>
  </r>
  <r>
    <n v="45"/>
    <x v="1"/>
    <x v="1"/>
    <n v="25"/>
    <n v="3"/>
    <s v="Medical"/>
    <n v="2"/>
    <x v="0"/>
    <n v="3"/>
    <n v="5"/>
    <x v="5"/>
    <x v="1"/>
    <s v="Single"/>
    <n v="18061"/>
    <n v="3"/>
    <x v="1"/>
    <n v="22"/>
    <n v="3"/>
    <n v="0"/>
    <n v="22"/>
    <n v="4"/>
    <x v="1"/>
    <n v="0"/>
    <n v="0"/>
    <n v="0"/>
    <n v="0"/>
    <n v="0"/>
    <x v="0"/>
    <x v="2"/>
    <x v="1"/>
    <n v="18061"/>
  </r>
  <r>
    <n v="39"/>
    <x v="1"/>
    <x v="1"/>
    <n v="13"/>
    <n v="4"/>
    <s v="Medical"/>
    <n v="3"/>
    <x v="0"/>
    <n v="2"/>
    <n v="4"/>
    <x v="5"/>
    <x v="1"/>
    <s v="Divorced"/>
    <n v="17123"/>
    <n v="6"/>
    <x v="0"/>
    <n v="13"/>
    <n v="4"/>
    <n v="2"/>
    <n v="21"/>
    <n v="4"/>
    <x v="1"/>
    <n v="19"/>
    <n v="9"/>
    <n v="15"/>
    <n v="2"/>
    <n v="0"/>
    <x v="0"/>
    <x v="2"/>
    <x v="3"/>
    <n v="901.21052631578948"/>
  </r>
  <r>
    <n v="58"/>
    <x v="1"/>
    <x v="1"/>
    <n v="23"/>
    <n v="4"/>
    <s v="Life Sciences"/>
    <n v="1"/>
    <x v="1"/>
    <n v="3"/>
    <n v="1"/>
    <x v="1"/>
    <x v="2"/>
    <s v="Divorced"/>
    <n v="2372"/>
    <n v="1"/>
    <x v="1"/>
    <n v="12"/>
    <n v="4"/>
    <n v="2"/>
    <n v="2"/>
    <n v="3"/>
    <x v="1"/>
    <n v="2"/>
    <n v="2"/>
    <n v="2"/>
    <n v="2"/>
    <n v="0"/>
    <x v="1"/>
    <x v="1"/>
    <x v="1"/>
    <n v="1186"/>
  </r>
  <r>
    <n v="32"/>
    <x v="0"/>
    <x v="1"/>
    <n v="7"/>
    <n v="2"/>
    <s v="Life Sciences"/>
    <n v="4"/>
    <x v="1"/>
    <n v="3"/>
    <n v="2"/>
    <x v="2"/>
    <x v="2"/>
    <s v="Married"/>
    <n v="4883"/>
    <n v="1"/>
    <x v="1"/>
    <n v="18"/>
    <n v="1"/>
    <n v="1"/>
    <n v="10"/>
    <n v="3"/>
    <x v="1"/>
    <n v="10"/>
    <n v="4"/>
    <n v="1"/>
    <n v="1"/>
    <n v="1"/>
    <x v="2"/>
    <x v="0"/>
    <x v="0"/>
    <n v="488.3"/>
  </r>
  <r>
    <n v="39"/>
    <x v="0"/>
    <x v="1"/>
    <n v="23"/>
    <n v="3"/>
    <s v="Medical"/>
    <n v="3"/>
    <x v="1"/>
    <n v="3"/>
    <n v="1"/>
    <x v="1"/>
    <x v="3"/>
    <s v="Single"/>
    <n v="3904"/>
    <n v="0"/>
    <x v="1"/>
    <n v="13"/>
    <n v="1"/>
    <n v="0"/>
    <n v="6"/>
    <n v="2"/>
    <x v="1"/>
    <n v="5"/>
    <n v="2"/>
    <n v="0"/>
    <n v="3"/>
    <n v="1"/>
    <x v="0"/>
    <x v="1"/>
    <x v="2"/>
    <n v="780.8"/>
  </r>
  <r>
    <n v="30"/>
    <x v="1"/>
    <x v="1"/>
    <n v="6"/>
    <n v="3"/>
    <s v="Technical Degree"/>
    <n v="1"/>
    <x v="0"/>
    <n v="2"/>
    <n v="2"/>
    <x v="2"/>
    <x v="0"/>
    <s v="Married"/>
    <n v="4627"/>
    <n v="0"/>
    <x v="1"/>
    <n v="12"/>
    <n v="1"/>
    <n v="1"/>
    <n v="10"/>
    <n v="6"/>
    <x v="1"/>
    <n v="9"/>
    <n v="2"/>
    <n v="6"/>
    <n v="7"/>
    <n v="0"/>
    <x v="2"/>
    <x v="0"/>
    <x v="0"/>
    <n v="514.11111111111109"/>
  </r>
  <r>
    <n v="36"/>
    <x v="1"/>
    <x v="1"/>
    <n v="10"/>
    <n v="4"/>
    <s v="Technical Degree"/>
    <n v="4"/>
    <x v="0"/>
    <n v="3"/>
    <n v="3"/>
    <x v="4"/>
    <x v="2"/>
    <s v="Married"/>
    <n v="7094"/>
    <n v="3"/>
    <x v="1"/>
    <n v="12"/>
    <n v="1"/>
    <n v="0"/>
    <n v="10"/>
    <n v="0"/>
    <x v="1"/>
    <n v="7"/>
    <n v="7"/>
    <n v="1"/>
    <n v="7"/>
    <n v="0"/>
    <x v="0"/>
    <x v="0"/>
    <x v="0"/>
    <n v="1013.4285714285714"/>
  </r>
  <r>
    <n v="46"/>
    <x v="1"/>
    <x v="2"/>
    <n v="1"/>
    <n v="2"/>
    <s v="Life Sciences"/>
    <n v="4"/>
    <x v="0"/>
    <n v="3"/>
    <n v="1"/>
    <x v="8"/>
    <x v="3"/>
    <s v="Single"/>
    <n v="3423"/>
    <n v="6"/>
    <x v="1"/>
    <n v="12"/>
    <n v="3"/>
    <n v="0"/>
    <n v="10"/>
    <n v="3"/>
    <x v="3"/>
    <n v="7"/>
    <n v="6"/>
    <n v="5"/>
    <n v="7"/>
    <n v="0"/>
    <x v="1"/>
    <x v="1"/>
    <x v="0"/>
    <n v="489"/>
  </r>
  <r>
    <n v="28"/>
    <x v="1"/>
    <x v="1"/>
    <n v="1"/>
    <n v="3"/>
    <s v="Life Sciences"/>
    <n v="3"/>
    <x v="0"/>
    <n v="1"/>
    <n v="2"/>
    <x v="2"/>
    <x v="0"/>
    <s v="Married"/>
    <n v="6674"/>
    <n v="0"/>
    <x v="1"/>
    <n v="11"/>
    <n v="1"/>
    <n v="3"/>
    <n v="10"/>
    <n v="6"/>
    <x v="1"/>
    <n v="9"/>
    <n v="8"/>
    <n v="7"/>
    <n v="5"/>
    <n v="0"/>
    <x v="2"/>
    <x v="0"/>
    <x v="0"/>
    <n v="741.55555555555554"/>
  </r>
  <r>
    <n v="50"/>
    <x v="1"/>
    <x v="1"/>
    <n v="28"/>
    <n v="3"/>
    <s v="Life Sciences"/>
    <n v="4"/>
    <x v="0"/>
    <n v="3"/>
    <n v="4"/>
    <x v="7"/>
    <x v="3"/>
    <s v="Married"/>
    <n v="16880"/>
    <n v="4"/>
    <x v="0"/>
    <n v="11"/>
    <n v="2"/>
    <n v="0"/>
    <n v="25"/>
    <n v="2"/>
    <x v="1"/>
    <n v="3"/>
    <n v="2"/>
    <n v="1"/>
    <n v="2"/>
    <n v="0"/>
    <x v="1"/>
    <x v="2"/>
    <x v="2"/>
    <n v="5626.666666666667"/>
  </r>
  <r>
    <n v="40"/>
    <x v="0"/>
    <x v="0"/>
    <n v="25"/>
    <n v="4"/>
    <s v="Marketing"/>
    <n v="4"/>
    <x v="1"/>
    <n v="2"/>
    <n v="3"/>
    <x v="0"/>
    <x v="1"/>
    <s v="Single"/>
    <n v="9094"/>
    <n v="2"/>
    <x v="0"/>
    <n v="12"/>
    <n v="3"/>
    <n v="0"/>
    <n v="9"/>
    <n v="2"/>
    <x v="1"/>
    <n v="5"/>
    <n v="4"/>
    <n v="1"/>
    <n v="0"/>
    <n v="1"/>
    <x v="0"/>
    <x v="0"/>
    <x v="2"/>
    <n v="1818.8"/>
  </r>
  <r>
    <n v="52"/>
    <x v="0"/>
    <x v="0"/>
    <n v="5"/>
    <n v="3"/>
    <s v="Life Sciences"/>
    <n v="2"/>
    <x v="1"/>
    <n v="3"/>
    <n v="3"/>
    <x v="0"/>
    <x v="1"/>
    <s v="Single"/>
    <n v="8446"/>
    <n v="9"/>
    <x v="0"/>
    <n v="19"/>
    <n v="3"/>
    <n v="0"/>
    <n v="10"/>
    <n v="2"/>
    <x v="2"/>
    <n v="8"/>
    <n v="7"/>
    <n v="7"/>
    <n v="7"/>
    <n v="1"/>
    <x v="1"/>
    <x v="0"/>
    <x v="0"/>
    <n v="1055.75"/>
  </r>
  <r>
    <n v="30"/>
    <x v="1"/>
    <x v="1"/>
    <n v="17"/>
    <n v="4"/>
    <s v="Medical"/>
    <n v="2"/>
    <x v="0"/>
    <n v="3"/>
    <n v="3"/>
    <x v="5"/>
    <x v="3"/>
    <s v="Married"/>
    <n v="11916"/>
    <n v="1"/>
    <x v="0"/>
    <n v="23"/>
    <n v="4"/>
    <n v="2"/>
    <n v="9"/>
    <n v="2"/>
    <x v="1"/>
    <n v="9"/>
    <n v="1"/>
    <n v="0"/>
    <n v="8"/>
    <n v="0"/>
    <x v="2"/>
    <x v="2"/>
    <x v="0"/>
    <n v="1324"/>
  </r>
  <r>
    <n v="39"/>
    <x v="1"/>
    <x v="1"/>
    <n v="18"/>
    <n v="2"/>
    <s v="Life Sciences"/>
    <n v="1"/>
    <x v="1"/>
    <n v="3"/>
    <n v="2"/>
    <x v="3"/>
    <x v="2"/>
    <s v="Single"/>
    <n v="4534"/>
    <n v="0"/>
    <x v="1"/>
    <n v="11"/>
    <n v="1"/>
    <n v="0"/>
    <n v="9"/>
    <n v="6"/>
    <x v="1"/>
    <n v="8"/>
    <n v="7"/>
    <n v="1"/>
    <n v="7"/>
    <n v="0"/>
    <x v="0"/>
    <x v="0"/>
    <x v="0"/>
    <n v="566.75"/>
  </r>
  <r>
    <n v="31"/>
    <x v="1"/>
    <x v="0"/>
    <n v="2"/>
    <n v="4"/>
    <s v="Life Sciences"/>
    <n v="4"/>
    <x v="0"/>
    <n v="3"/>
    <n v="3"/>
    <x v="0"/>
    <x v="2"/>
    <s v="Divorced"/>
    <n v="9852"/>
    <n v="1"/>
    <x v="0"/>
    <n v="19"/>
    <n v="1"/>
    <n v="1"/>
    <n v="10"/>
    <n v="5"/>
    <x v="2"/>
    <n v="10"/>
    <n v="8"/>
    <n v="9"/>
    <n v="6"/>
    <n v="0"/>
    <x v="2"/>
    <x v="0"/>
    <x v="0"/>
    <n v="985.2"/>
  </r>
  <r>
    <n v="41"/>
    <x v="1"/>
    <x v="0"/>
    <n v="10"/>
    <n v="2"/>
    <s v="Medical"/>
    <n v="3"/>
    <x v="1"/>
    <n v="1"/>
    <n v="2"/>
    <x v="0"/>
    <x v="1"/>
    <s v="Single"/>
    <n v="6151"/>
    <n v="1"/>
    <x v="1"/>
    <n v="13"/>
    <n v="1"/>
    <n v="0"/>
    <n v="19"/>
    <n v="4"/>
    <x v="1"/>
    <n v="19"/>
    <n v="2"/>
    <n v="11"/>
    <n v="9"/>
    <n v="0"/>
    <x v="0"/>
    <x v="0"/>
    <x v="3"/>
    <n v="323.73684210526318"/>
  </r>
  <r>
    <n v="31"/>
    <x v="0"/>
    <x v="0"/>
    <n v="1"/>
    <n v="3"/>
    <s v="Life Sciences"/>
    <n v="4"/>
    <x v="0"/>
    <n v="3"/>
    <n v="1"/>
    <x v="6"/>
    <x v="1"/>
    <s v="Single"/>
    <n v="2302"/>
    <n v="1"/>
    <x v="0"/>
    <n v="11"/>
    <n v="1"/>
    <n v="0"/>
    <n v="3"/>
    <n v="2"/>
    <x v="3"/>
    <n v="3"/>
    <n v="2"/>
    <n v="2"/>
    <n v="2"/>
    <n v="1"/>
    <x v="2"/>
    <x v="1"/>
    <x v="2"/>
    <n v="767.33333333333337"/>
  </r>
  <r>
    <n v="44"/>
    <x v="0"/>
    <x v="1"/>
    <n v="3"/>
    <n v="3"/>
    <s v="Life Sciences"/>
    <n v="1"/>
    <x v="1"/>
    <n v="3"/>
    <n v="1"/>
    <x v="2"/>
    <x v="3"/>
    <s v="Married"/>
    <n v="2362"/>
    <n v="4"/>
    <x v="1"/>
    <n v="12"/>
    <n v="3"/>
    <n v="0"/>
    <n v="10"/>
    <n v="4"/>
    <x v="3"/>
    <n v="3"/>
    <n v="2"/>
    <n v="1"/>
    <n v="2"/>
    <n v="1"/>
    <x v="0"/>
    <x v="1"/>
    <x v="2"/>
    <n v="787.33333333333337"/>
  </r>
  <r>
    <n v="42"/>
    <x v="1"/>
    <x v="1"/>
    <n v="2"/>
    <n v="1"/>
    <s v="Life Sciences"/>
    <n v="3"/>
    <x v="1"/>
    <n v="3"/>
    <n v="4"/>
    <x v="5"/>
    <x v="2"/>
    <s v="Married"/>
    <n v="17861"/>
    <n v="0"/>
    <x v="0"/>
    <n v="13"/>
    <n v="4"/>
    <n v="0"/>
    <n v="21"/>
    <n v="3"/>
    <x v="2"/>
    <n v="20"/>
    <n v="8"/>
    <n v="2"/>
    <n v="10"/>
    <n v="0"/>
    <x v="0"/>
    <x v="2"/>
    <x v="3"/>
    <n v="893.05"/>
  </r>
  <r>
    <n v="55"/>
    <x v="1"/>
    <x v="1"/>
    <n v="2"/>
    <n v="2"/>
    <s v="Medical"/>
    <n v="4"/>
    <x v="0"/>
    <n v="1"/>
    <n v="5"/>
    <x v="5"/>
    <x v="2"/>
    <s v="Married"/>
    <n v="19187"/>
    <n v="4"/>
    <x v="1"/>
    <n v="14"/>
    <n v="4"/>
    <n v="1"/>
    <n v="23"/>
    <n v="5"/>
    <x v="1"/>
    <n v="19"/>
    <n v="9"/>
    <n v="9"/>
    <n v="11"/>
    <n v="0"/>
    <x v="1"/>
    <x v="2"/>
    <x v="3"/>
    <n v="1009.8421052631579"/>
  </r>
  <r>
    <n v="56"/>
    <x v="1"/>
    <x v="2"/>
    <n v="8"/>
    <n v="4"/>
    <s v="Life Sciences"/>
    <n v="4"/>
    <x v="1"/>
    <n v="3"/>
    <n v="5"/>
    <x v="5"/>
    <x v="1"/>
    <s v="Single"/>
    <n v="19717"/>
    <n v="6"/>
    <x v="1"/>
    <n v="14"/>
    <n v="1"/>
    <n v="0"/>
    <n v="36"/>
    <n v="4"/>
    <x v="1"/>
    <n v="7"/>
    <n v="3"/>
    <n v="7"/>
    <n v="7"/>
    <n v="0"/>
    <x v="1"/>
    <x v="2"/>
    <x v="0"/>
    <n v="2816.7142857142858"/>
  </r>
  <r>
    <n v="40"/>
    <x v="1"/>
    <x v="1"/>
    <n v="16"/>
    <n v="2"/>
    <s v="Life Sciences"/>
    <n v="3"/>
    <x v="1"/>
    <n v="3"/>
    <n v="1"/>
    <x v="1"/>
    <x v="2"/>
    <s v="Divorced"/>
    <n v="3544"/>
    <n v="9"/>
    <x v="1"/>
    <n v="16"/>
    <n v="2"/>
    <n v="1"/>
    <n v="6"/>
    <n v="0"/>
    <x v="1"/>
    <n v="4"/>
    <n v="2"/>
    <n v="0"/>
    <n v="0"/>
    <n v="0"/>
    <x v="0"/>
    <x v="1"/>
    <x v="2"/>
    <n v="886"/>
  </r>
  <r>
    <n v="34"/>
    <x v="1"/>
    <x v="1"/>
    <n v="9"/>
    <n v="3"/>
    <s v="Life Sciences"/>
    <n v="4"/>
    <x v="1"/>
    <n v="3"/>
    <n v="3"/>
    <x v="4"/>
    <x v="0"/>
    <s v="Divorced"/>
    <n v="8500"/>
    <n v="0"/>
    <x v="1"/>
    <n v="11"/>
    <n v="4"/>
    <n v="1"/>
    <n v="10"/>
    <n v="0"/>
    <x v="2"/>
    <n v="9"/>
    <n v="7"/>
    <n v="1"/>
    <n v="6"/>
    <n v="0"/>
    <x v="2"/>
    <x v="0"/>
    <x v="0"/>
    <n v="944.44444444444446"/>
  </r>
  <r>
    <n v="40"/>
    <x v="1"/>
    <x v="1"/>
    <n v="2"/>
    <n v="3"/>
    <s v="Life Sciences"/>
    <n v="3"/>
    <x v="1"/>
    <n v="3"/>
    <n v="2"/>
    <x v="1"/>
    <x v="0"/>
    <s v="Single"/>
    <n v="4661"/>
    <n v="1"/>
    <x v="1"/>
    <n v="13"/>
    <n v="3"/>
    <n v="0"/>
    <n v="9"/>
    <n v="4"/>
    <x v="1"/>
    <n v="9"/>
    <n v="8"/>
    <n v="8"/>
    <n v="8"/>
    <n v="0"/>
    <x v="0"/>
    <x v="0"/>
    <x v="0"/>
    <n v="517.88888888888891"/>
  </r>
  <r>
    <n v="41"/>
    <x v="1"/>
    <x v="0"/>
    <n v="1"/>
    <n v="3"/>
    <s v="Marketing"/>
    <n v="3"/>
    <x v="0"/>
    <n v="3"/>
    <n v="2"/>
    <x v="0"/>
    <x v="3"/>
    <s v="Divorced"/>
    <n v="4103"/>
    <n v="0"/>
    <x v="1"/>
    <n v="17"/>
    <n v="4"/>
    <n v="1"/>
    <n v="10"/>
    <n v="2"/>
    <x v="1"/>
    <n v="9"/>
    <n v="3"/>
    <n v="1"/>
    <n v="7"/>
    <n v="0"/>
    <x v="0"/>
    <x v="0"/>
    <x v="0"/>
    <n v="455.88888888888891"/>
  </r>
  <r>
    <n v="35"/>
    <x v="1"/>
    <x v="1"/>
    <n v="4"/>
    <n v="4"/>
    <s v="Life Sciences"/>
    <n v="3"/>
    <x v="1"/>
    <n v="3"/>
    <n v="2"/>
    <x v="1"/>
    <x v="2"/>
    <s v="Single"/>
    <n v="4249"/>
    <n v="1"/>
    <x v="0"/>
    <n v="11"/>
    <n v="2"/>
    <n v="0"/>
    <n v="9"/>
    <n v="3"/>
    <x v="1"/>
    <n v="9"/>
    <n v="6"/>
    <n v="1"/>
    <n v="1"/>
    <n v="0"/>
    <x v="2"/>
    <x v="0"/>
    <x v="0"/>
    <n v="472.11111111111109"/>
  </r>
  <r>
    <n v="51"/>
    <x v="1"/>
    <x v="2"/>
    <n v="5"/>
    <n v="3"/>
    <s v="Life Sciences"/>
    <n v="3"/>
    <x v="1"/>
    <n v="3"/>
    <n v="4"/>
    <x v="5"/>
    <x v="1"/>
    <s v="Divorced"/>
    <n v="14026"/>
    <n v="1"/>
    <x v="0"/>
    <n v="11"/>
    <n v="2"/>
    <n v="1"/>
    <n v="33"/>
    <n v="2"/>
    <x v="1"/>
    <n v="33"/>
    <n v="9"/>
    <n v="0"/>
    <n v="10"/>
    <n v="0"/>
    <x v="1"/>
    <x v="2"/>
    <x v="3"/>
    <n v="425.030303030303"/>
  </r>
  <r>
    <n v="38"/>
    <x v="1"/>
    <x v="0"/>
    <n v="2"/>
    <n v="2"/>
    <s v="Life Sciences"/>
    <n v="2"/>
    <x v="0"/>
    <n v="3"/>
    <n v="2"/>
    <x v="0"/>
    <x v="3"/>
    <s v="Divorced"/>
    <n v="6893"/>
    <n v="3"/>
    <x v="1"/>
    <n v="15"/>
    <n v="4"/>
    <n v="1"/>
    <n v="11"/>
    <n v="3"/>
    <x v="1"/>
    <n v="7"/>
    <n v="7"/>
    <n v="1"/>
    <n v="7"/>
    <n v="0"/>
    <x v="0"/>
    <x v="0"/>
    <x v="0"/>
    <n v="984.71428571428567"/>
  </r>
  <r>
    <n v="34"/>
    <x v="1"/>
    <x v="0"/>
    <n v="15"/>
    <n v="2"/>
    <s v="Medical"/>
    <n v="3"/>
    <x v="0"/>
    <n v="3"/>
    <n v="2"/>
    <x v="0"/>
    <x v="3"/>
    <s v="Single"/>
    <n v="6125"/>
    <n v="1"/>
    <x v="1"/>
    <n v="12"/>
    <n v="4"/>
    <n v="0"/>
    <n v="10"/>
    <n v="6"/>
    <x v="3"/>
    <n v="10"/>
    <n v="8"/>
    <n v="9"/>
    <n v="6"/>
    <n v="0"/>
    <x v="2"/>
    <x v="0"/>
    <x v="0"/>
    <n v="612.5"/>
  </r>
  <r>
    <n v="25"/>
    <x v="1"/>
    <x v="1"/>
    <n v="19"/>
    <n v="1"/>
    <s v="Medical"/>
    <n v="4"/>
    <x v="1"/>
    <n v="3"/>
    <n v="1"/>
    <x v="2"/>
    <x v="0"/>
    <s v="Married"/>
    <n v="3669"/>
    <n v="3"/>
    <x v="1"/>
    <n v="11"/>
    <n v="3"/>
    <n v="3"/>
    <n v="7"/>
    <n v="6"/>
    <x v="2"/>
    <n v="3"/>
    <n v="2"/>
    <n v="1"/>
    <n v="2"/>
    <n v="0"/>
    <x v="3"/>
    <x v="1"/>
    <x v="2"/>
    <n v="1223"/>
  </r>
  <r>
    <n v="58"/>
    <x v="0"/>
    <x v="1"/>
    <n v="7"/>
    <n v="4"/>
    <s v="Medical"/>
    <n v="3"/>
    <x v="0"/>
    <n v="2"/>
    <n v="3"/>
    <x v="3"/>
    <x v="3"/>
    <s v="Married"/>
    <n v="10008"/>
    <n v="7"/>
    <x v="0"/>
    <n v="14"/>
    <n v="4"/>
    <n v="0"/>
    <n v="31"/>
    <n v="0"/>
    <x v="2"/>
    <n v="10"/>
    <n v="9"/>
    <n v="5"/>
    <n v="9"/>
    <n v="1"/>
    <x v="1"/>
    <x v="2"/>
    <x v="0"/>
    <n v="1000.8"/>
  </r>
  <r>
    <n v="40"/>
    <x v="1"/>
    <x v="1"/>
    <n v="1"/>
    <n v="4"/>
    <s v="Life Sciences"/>
    <n v="2"/>
    <x v="1"/>
    <n v="3"/>
    <n v="1"/>
    <x v="2"/>
    <x v="1"/>
    <s v="Married"/>
    <n v="2387"/>
    <n v="3"/>
    <x v="1"/>
    <n v="22"/>
    <n v="3"/>
    <n v="1"/>
    <n v="7"/>
    <n v="3"/>
    <x v="1"/>
    <n v="4"/>
    <n v="2"/>
    <n v="0"/>
    <n v="3"/>
    <n v="0"/>
    <x v="0"/>
    <x v="1"/>
    <x v="2"/>
    <n v="596.75"/>
  </r>
  <r>
    <n v="36"/>
    <x v="1"/>
    <x v="0"/>
    <n v="7"/>
    <n v="3"/>
    <s v="Marketing"/>
    <n v="1"/>
    <x v="0"/>
    <n v="4"/>
    <n v="2"/>
    <x v="0"/>
    <x v="3"/>
    <s v="Married"/>
    <n v="4639"/>
    <n v="2"/>
    <x v="1"/>
    <n v="16"/>
    <n v="4"/>
    <n v="1"/>
    <n v="17"/>
    <n v="2"/>
    <x v="2"/>
    <n v="15"/>
    <n v="7"/>
    <n v="6"/>
    <n v="13"/>
    <n v="0"/>
    <x v="0"/>
    <x v="0"/>
    <x v="3"/>
    <n v="309.26666666666665"/>
  </r>
  <r>
    <n v="48"/>
    <x v="1"/>
    <x v="1"/>
    <n v="4"/>
    <n v="3"/>
    <s v="Life Sciences"/>
    <n v="4"/>
    <x v="1"/>
    <n v="3"/>
    <n v="3"/>
    <x v="3"/>
    <x v="0"/>
    <s v="Single"/>
    <n v="7898"/>
    <n v="1"/>
    <x v="1"/>
    <n v="11"/>
    <n v="3"/>
    <n v="0"/>
    <n v="11"/>
    <n v="2"/>
    <x v="1"/>
    <n v="10"/>
    <n v="9"/>
    <n v="0"/>
    <n v="8"/>
    <n v="0"/>
    <x v="1"/>
    <x v="0"/>
    <x v="0"/>
    <n v="789.8"/>
  </r>
  <r>
    <n v="27"/>
    <x v="1"/>
    <x v="0"/>
    <n v="11"/>
    <n v="3"/>
    <s v="Medical"/>
    <n v="3"/>
    <x v="0"/>
    <n v="4"/>
    <n v="1"/>
    <x v="6"/>
    <x v="0"/>
    <s v="Married"/>
    <n v="2534"/>
    <n v="8"/>
    <x v="1"/>
    <n v="14"/>
    <n v="2"/>
    <n v="1"/>
    <n v="5"/>
    <n v="4"/>
    <x v="1"/>
    <n v="1"/>
    <n v="0"/>
    <n v="0"/>
    <n v="0"/>
    <n v="0"/>
    <x v="2"/>
    <x v="1"/>
    <x v="1"/>
    <n v="2534"/>
  </r>
  <r>
    <n v="51"/>
    <x v="1"/>
    <x v="1"/>
    <n v="11"/>
    <n v="2"/>
    <s v="Technical Degree"/>
    <n v="4"/>
    <x v="0"/>
    <n v="2"/>
    <n v="4"/>
    <x v="3"/>
    <x v="1"/>
    <s v="Single"/>
    <n v="13142"/>
    <n v="3"/>
    <x v="1"/>
    <n v="16"/>
    <n v="2"/>
    <n v="0"/>
    <n v="29"/>
    <n v="1"/>
    <x v="2"/>
    <n v="5"/>
    <n v="2"/>
    <n v="0"/>
    <n v="3"/>
    <n v="0"/>
    <x v="1"/>
    <x v="2"/>
    <x v="2"/>
    <n v="2628.4"/>
  </r>
  <r>
    <n v="18"/>
    <x v="1"/>
    <x v="1"/>
    <n v="1"/>
    <n v="3"/>
    <s v="Life Sciences"/>
    <n v="4"/>
    <x v="0"/>
    <n v="3"/>
    <n v="1"/>
    <x v="2"/>
    <x v="0"/>
    <s v="Single"/>
    <n v="1611"/>
    <n v="1"/>
    <x v="1"/>
    <n v="15"/>
    <n v="3"/>
    <n v="0"/>
    <n v="0"/>
    <n v="5"/>
    <x v="3"/>
    <n v="0"/>
    <n v="0"/>
    <n v="0"/>
    <n v="0"/>
    <n v="0"/>
    <x v="3"/>
    <x v="1"/>
    <x v="1"/>
    <n v="1611"/>
  </r>
  <r>
    <n v="35"/>
    <x v="1"/>
    <x v="1"/>
    <n v="1"/>
    <n v="3"/>
    <s v="Medical"/>
    <n v="4"/>
    <x v="0"/>
    <n v="2"/>
    <n v="2"/>
    <x v="2"/>
    <x v="0"/>
    <s v="Married"/>
    <n v="5363"/>
    <n v="0"/>
    <x v="1"/>
    <n v="12"/>
    <n v="2"/>
    <n v="1"/>
    <n v="10"/>
    <n v="0"/>
    <x v="1"/>
    <n v="9"/>
    <n v="7"/>
    <n v="0"/>
    <n v="0"/>
    <n v="0"/>
    <x v="2"/>
    <x v="0"/>
    <x v="0"/>
    <n v="595.88888888888891"/>
  </r>
  <r>
    <n v="27"/>
    <x v="1"/>
    <x v="0"/>
    <n v="2"/>
    <n v="1"/>
    <s v="Life Sciences"/>
    <n v="4"/>
    <x v="1"/>
    <n v="1"/>
    <n v="2"/>
    <x v="0"/>
    <x v="0"/>
    <s v="Single"/>
    <n v="5071"/>
    <n v="3"/>
    <x v="1"/>
    <n v="20"/>
    <n v="2"/>
    <n v="0"/>
    <n v="8"/>
    <n v="3"/>
    <x v="1"/>
    <n v="6"/>
    <n v="2"/>
    <n v="0"/>
    <n v="0"/>
    <n v="0"/>
    <x v="2"/>
    <x v="0"/>
    <x v="0"/>
    <n v="845.16666666666663"/>
  </r>
  <r>
    <n v="55"/>
    <x v="0"/>
    <x v="0"/>
    <n v="13"/>
    <n v="4"/>
    <s v="Marketing"/>
    <n v="1"/>
    <x v="1"/>
    <n v="4"/>
    <n v="4"/>
    <x v="0"/>
    <x v="2"/>
    <s v="Single"/>
    <n v="13695"/>
    <n v="6"/>
    <x v="0"/>
    <n v="17"/>
    <n v="3"/>
    <n v="0"/>
    <n v="24"/>
    <n v="2"/>
    <x v="2"/>
    <n v="19"/>
    <n v="7"/>
    <n v="3"/>
    <n v="8"/>
    <n v="1"/>
    <x v="1"/>
    <x v="2"/>
    <x v="3"/>
    <n v="720.78947368421052"/>
  </r>
  <r>
    <n v="56"/>
    <x v="1"/>
    <x v="1"/>
    <n v="23"/>
    <n v="3"/>
    <s v="Life Sciences"/>
    <n v="4"/>
    <x v="1"/>
    <n v="3"/>
    <n v="4"/>
    <x v="3"/>
    <x v="1"/>
    <s v="Married"/>
    <n v="13402"/>
    <n v="4"/>
    <x v="0"/>
    <n v="12"/>
    <n v="1"/>
    <n v="1"/>
    <n v="33"/>
    <n v="0"/>
    <x v="1"/>
    <n v="19"/>
    <n v="16"/>
    <n v="15"/>
    <n v="9"/>
    <n v="0"/>
    <x v="1"/>
    <x v="2"/>
    <x v="3"/>
    <n v="705.36842105263156"/>
  </r>
  <r>
    <n v="34"/>
    <x v="1"/>
    <x v="1"/>
    <n v="26"/>
    <n v="1"/>
    <s v="Technical Degree"/>
    <n v="1"/>
    <x v="0"/>
    <n v="2"/>
    <n v="1"/>
    <x v="1"/>
    <x v="2"/>
    <s v="Divorced"/>
    <n v="2029"/>
    <n v="1"/>
    <x v="1"/>
    <n v="20"/>
    <n v="3"/>
    <n v="3"/>
    <n v="5"/>
    <n v="2"/>
    <x v="1"/>
    <n v="5"/>
    <n v="4"/>
    <n v="0"/>
    <n v="0"/>
    <n v="0"/>
    <x v="2"/>
    <x v="1"/>
    <x v="2"/>
    <n v="405.8"/>
  </r>
  <r>
    <n v="40"/>
    <x v="1"/>
    <x v="1"/>
    <n v="2"/>
    <n v="1"/>
    <s v="Medical"/>
    <n v="2"/>
    <x v="0"/>
    <n v="4"/>
    <n v="2"/>
    <x v="4"/>
    <x v="2"/>
    <s v="Divorced"/>
    <n v="6377"/>
    <n v="5"/>
    <x v="1"/>
    <n v="20"/>
    <n v="2"/>
    <n v="3"/>
    <n v="15"/>
    <n v="0"/>
    <x v="1"/>
    <n v="12"/>
    <n v="11"/>
    <n v="11"/>
    <n v="8"/>
    <n v="0"/>
    <x v="0"/>
    <x v="0"/>
    <x v="3"/>
    <n v="531.41666666666663"/>
  </r>
  <r>
    <n v="34"/>
    <x v="1"/>
    <x v="1"/>
    <n v="29"/>
    <n v="3"/>
    <s v="Medical"/>
    <n v="2"/>
    <x v="1"/>
    <n v="3"/>
    <n v="2"/>
    <x v="2"/>
    <x v="2"/>
    <s v="Married"/>
    <n v="5429"/>
    <n v="4"/>
    <x v="1"/>
    <n v="13"/>
    <n v="1"/>
    <n v="2"/>
    <n v="10"/>
    <n v="1"/>
    <x v="1"/>
    <n v="8"/>
    <n v="7"/>
    <n v="7"/>
    <n v="7"/>
    <n v="0"/>
    <x v="2"/>
    <x v="0"/>
    <x v="0"/>
    <n v="678.625"/>
  </r>
  <r>
    <n v="31"/>
    <x v="0"/>
    <x v="0"/>
    <n v="2"/>
    <n v="3"/>
    <s v="Life Sciences"/>
    <n v="3"/>
    <x v="0"/>
    <n v="2"/>
    <n v="1"/>
    <x v="6"/>
    <x v="0"/>
    <s v="Single"/>
    <n v="2785"/>
    <n v="7"/>
    <x v="1"/>
    <n v="14"/>
    <n v="3"/>
    <n v="0"/>
    <n v="3"/>
    <n v="3"/>
    <x v="3"/>
    <n v="1"/>
    <n v="0"/>
    <n v="0"/>
    <n v="0"/>
    <n v="1"/>
    <x v="2"/>
    <x v="1"/>
    <x v="1"/>
    <n v="2785"/>
  </r>
  <r>
    <n v="35"/>
    <x v="0"/>
    <x v="0"/>
    <n v="18"/>
    <n v="4"/>
    <s v="Marketing"/>
    <n v="4"/>
    <x v="0"/>
    <n v="3"/>
    <n v="2"/>
    <x v="0"/>
    <x v="2"/>
    <s v="Married"/>
    <n v="4614"/>
    <n v="0"/>
    <x v="0"/>
    <n v="18"/>
    <n v="3"/>
    <n v="1"/>
    <n v="5"/>
    <n v="0"/>
    <x v="2"/>
    <n v="4"/>
    <n v="2"/>
    <n v="3"/>
    <n v="2"/>
    <n v="1"/>
    <x v="2"/>
    <x v="0"/>
    <x v="2"/>
    <n v="1153.5"/>
  </r>
  <r>
    <n v="38"/>
    <x v="1"/>
    <x v="1"/>
    <n v="7"/>
    <n v="3"/>
    <s v="Life Sciences"/>
    <n v="4"/>
    <x v="1"/>
    <n v="4"/>
    <n v="1"/>
    <x v="1"/>
    <x v="2"/>
    <s v="Divorced"/>
    <n v="2610"/>
    <n v="1"/>
    <x v="1"/>
    <n v="11"/>
    <n v="4"/>
    <n v="3"/>
    <n v="4"/>
    <n v="2"/>
    <x v="1"/>
    <n v="4"/>
    <n v="2"/>
    <n v="0"/>
    <n v="3"/>
    <n v="0"/>
    <x v="0"/>
    <x v="1"/>
    <x v="2"/>
    <n v="652.5"/>
  </r>
  <r>
    <n v="34"/>
    <x v="1"/>
    <x v="1"/>
    <n v="2"/>
    <n v="4"/>
    <s v="Technical Degree"/>
    <n v="3"/>
    <x v="0"/>
    <n v="3"/>
    <n v="2"/>
    <x v="4"/>
    <x v="0"/>
    <s v="Single"/>
    <n v="6687"/>
    <n v="1"/>
    <x v="1"/>
    <n v="11"/>
    <n v="4"/>
    <n v="0"/>
    <n v="14"/>
    <n v="2"/>
    <x v="3"/>
    <n v="14"/>
    <n v="11"/>
    <n v="4"/>
    <n v="11"/>
    <n v="0"/>
    <x v="2"/>
    <x v="0"/>
    <x v="3"/>
    <n v="477.64285714285717"/>
  </r>
  <r>
    <n v="28"/>
    <x v="1"/>
    <x v="0"/>
    <n v="26"/>
    <n v="3"/>
    <s v="Life Sciences"/>
    <n v="3"/>
    <x v="1"/>
    <n v="2"/>
    <n v="2"/>
    <x v="0"/>
    <x v="3"/>
    <s v="Married"/>
    <n v="4724"/>
    <n v="1"/>
    <x v="1"/>
    <n v="11"/>
    <n v="3"/>
    <n v="1"/>
    <n v="5"/>
    <n v="0"/>
    <x v="1"/>
    <n v="5"/>
    <n v="3"/>
    <n v="0"/>
    <n v="4"/>
    <n v="0"/>
    <x v="2"/>
    <x v="0"/>
    <x v="2"/>
    <n v="944.8"/>
  </r>
  <r>
    <n v="31"/>
    <x v="0"/>
    <x v="1"/>
    <n v="22"/>
    <n v="4"/>
    <s v="Medical"/>
    <n v="4"/>
    <x v="1"/>
    <n v="3"/>
    <n v="2"/>
    <x v="3"/>
    <x v="2"/>
    <s v="Married"/>
    <n v="6179"/>
    <n v="1"/>
    <x v="0"/>
    <n v="15"/>
    <n v="4"/>
    <n v="2"/>
    <n v="10"/>
    <n v="3"/>
    <x v="2"/>
    <n v="10"/>
    <n v="2"/>
    <n v="6"/>
    <n v="7"/>
    <n v="1"/>
    <x v="2"/>
    <x v="0"/>
    <x v="0"/>
    <n v="617.9"/>
  </r>
  <r>
    <n v="39"/>
    <x v="1"/>
    <x v="0"/>
    <n v="21"/>
    <n v="4"/>
    <s v="Life Sciences"/>
    <n v="1"/>
    <x v="1"/>
    <n v="2"/>
    <n v="2"/>
    <x v="0"/>
    <x v="0"/>
    <s v="Married"/>
    <n v="6120"/>
    <n v="3"/>
    <x v="0"/>
    <n v="12"/>
    <n v="4"/>
    <n v="2"/>
    <n v="8"/>
    <n v="2"/>
    <x v="3"/>
    <n v="5"/>
    <n v="4"/>
    <n v="1"/>
    <n v="4"/>
    <n v="0"/>
    <x v="0"/>
    <x v="0"/>
    <x v="2"/>
    <n v="1224"/>
  </r>
  <r>
    <n v="51"/>
    <x v="1"/>
    <x v="0"/>
    <n v="2"/>
    <n v="3"/>
    <s v="Marketing"/>
    <n v="2"/>
    <x v="1"/>
    <n v="3"/>
    <n v="3"/>
    <x v="0"/>
    <x v="1"/>
    <s v="Married"/>
    <n v="10596"/>
    <n v="2"/>
    <x v="1"/>
    <n v="11"/>
    <n v="2"/>
    <n v="0"/>
    <n v="14"/>
    <n v="5"/>
    <x v="1"/>
    <n v="4"/>
    <n v="2"/>
    <n v="3"/>
    <n v="2"/>
    <n v="0"/>
    <x v="1"/>
    <x v="2"/>
    <x v="2"/>
    <n v="2649"/>
  </r>
  <r>
    <n v="41"/>
    <x v="1"/>
    <x v="1"/>
    <n v="22"/>
    <n v="3"/>
    <s v="Life Sciences"/>
    <n v="4"/>
    <x v="0"/>
    <n v="3"/>
    <n v="2"/>
    <x v="1"/>
    <x v="0"/>
    <s v="Divorced"/>
    <n v="5467"/>
    <n v="3"/>
    <x v="0"/>
    <n v="14"/>
    <n v="1"/>
    <n v="2"/>
    <n v="12"/>
    <n v="4"/>
    <x v="2"/>
    <n v="6"/>
    <n v="2"/>
    <n v="3"/>
    <n v="3"/>
    <n v="0"/>
    <x v="0"/>
    <x v="0"/>
    <x v="0"/>
    <n v="911.16666666666663"/>
  </r>
  <r>
    <n v="37"/>
    <x v="1"/>
    <x v="1"/>
    <n v="4"/>
    <n v="1"/>
    <s v="Life Sciences"/>
    <n v="3"/>
    <x v="1"/>
    <n v="3"/>
    <n v="1"/>
    <x v="1"/>
    <x v="2"/>
    <s v="Married"/>
    <n v="2996"/>
    <n v="7"/>
    <x v="0"/>
    <n v="15"/>
    <n v="4"/>
    <n v="0"/>
    <n v="8"/>
    <n v="2"/>
    <x v="1"/>
    <n v="6"/>
    <n v="4"/>
    <n v="1"/>
    <n v="3"/>
    <n v="0"/>
    <x v="0"/>
    <x v="1"/>
    <x v="0"/>
    <n v="499.33333333333331"/>
  </r>
  <r>
    <n v="33"/>
    <x v="1"/>
    <x v="0"/>
    <n v="5"/>
    <n v="1"/>
    <s v="Life Sciences"/>
    <n v="2"/>
    <x v="1"/>
    <n v="3"/>
    <n v="2"/>
    <x v="0"/>
    <x v="0"/>
    <s v="Married"/>
    <n v="9998"/>
    <n v="6"/>
    <x v="1"/>
    <n v="13"/>
    <n v="1"/>
    <n v="0"/>
    <n v="8"/>
    <n v="2"/>
    <x v="3"/>
    <n v="5"/>
    <n v="4"/>
    <n v="1"/>
    <n v="2"/>
    <n v="0"/>
    <x v="2"/>
    <x v="0"/>
    <x v="2"/>
    <n v="1999.6"/>
  </r>
  <r>
    <n v="32"/>
    <x v="1"/>
    <x v="0"/>
    <n v="2"/>
    <n v="1"/>
    <s v="Marketing"/>
    <n v="3"/>
    <x v="1"/>
    <n v="3"/>
    <n v="2"/>
    <x v="0"/>
    <x v="1"/>
    <s v="Married"/>
    <n v="4078"/>
    <n v="0"/>
    <x v="0"/>
    <n v="13"/>
    <n v="1"/>
    <n v="3"/>
    <n v="4"/>
    <n v="3"/>
    <x v="2"/>
    <n v="3"/>
    <n v="2"/>
    <n v="1"/>
    <n v="2"/>
    <n v="0"/>
    <x v="2"/>
    <x v="0"/>
    <x v="2"/>
    <n v="1359.3333333333333"/>
  </r>
  <r>
    <n v="39"/>
    <x v="1"/>
    <x v="1"/>
    <n v="25"/>
    <n v="2"/>
    <s v="Life Sciences"/>
    <n v="3"/>
    <x v="1"/>
    <n v="3"/>
    <n v="3"/>
    <x v="4"/>
    <x v="2"/>
    <s v="Married"/>
    <n v="10920"/>
    <n v="3"/>
    <x v="1"/>
    <n v="21"/>
    <n v="2"/>
    <n v="1"/>
    <n v="13"/>
    <n v="2"/>
    <x v="1"/>
    <n v="6"/>
    <n v="4"/>
    <n v="0"/>
    <n v="5"/>
    <n v="0"/>
    <x v="0"/>
    <x v="2"/>
    <x v="0"/>
    <n v="1820"/>
  </r>
  <r>
    <n v="25"/>
    <x v="1"/>
    <x v="0"/>
    <n v="18"/>
    <n v="1"/>
    <s v="Life Sciences"/>
    <n v="1"/>
    <x v="1"/>
    <n v="4"/>
    <n v="2"/>
    <x v="0"/>
    <x v="2"/>
    <s v="Married"/>
    <n v="6232"/>
    <n v="2"/>
    <x v="1"/>
    <n v="11"/>
    <n v="2"/>
    <n v="0"/>
    <n v="6"/>
    <n v="3"/>
    <x v="2"/>
    <n v="3"/>
    <n v="2"/>
    <n v="1"/>
    <n v="2"/>
    <n v="0"/>
    <x v="3"/>
    <x v="0"/>
    <x v="2"/>
    <n v="2077.3333333333335"/>
  </r>
  <r>
    <n v="52"/>
    <x v="1"/>
    <x v="1"/>
    <n v="28"/>
    <n v="2"/>
    <s v="Medical"/>
    <n v="4"/>
    <x v="0"/>
    <n v="4"/>
    <n v="4"/>
    <x v="3"/>
    <x v="2"/>
    <s v="Married"/>
    <n v="13247"/>
    <n v="2"/>
    <x v="0"/>
    <n v="11"/>
    <n v="2"/>
    <n v="1"/>
    <n v="24"/>
    <n v="3"/>
    <x v="2"/>
    <n v="5"/>
    <n v="3"/>
    <n v="0"/>
    <n v="2"/>
    <n v="0"/>
    <x v="1"/>
    <x v="2"/>
    <x v="2"/>
    <n v="2649.4"/>
  </r>
  <r>
    <n v="43"/>
    <x v="1"/>
    <x v="1"/>
    <n v="6"/>
    <n v="3"/>
    <s v="Medical"/>
    <n v="1"/>
    <x v="0"/>
    <n v="2"/>
    <n v="2"/>
    <x v="1"/>
    <x v="2"/>
    <s v="Single"/>
    <n v="4081"/>
    <n v="1"/>
    <x v="0"/>
    <n v="14"/>
    <n v="1"/>
    <n v="0"/>
    <n v="20"/>
    <n v="3"/>
    <x v="0"/>
    <n v="20"/>
    <n v="7"/>
    <n v="1"/>
    <n v="8"/>
    <n v="0"/>
    <x v="0"/>
    <x v="0"/>
    <x v="3"/>
    <n v="204.05"/>
  </r>
  <r>
    <n v="27"/>
    <x v="1"/>
    <x v="0"/>
    <n v="10"/>
    <n v="3"/>
    <s v="Marketing"/>
    <n v="4"/>
    <x v="0"/>
    <n v="2"/>
    <n v="2"/>
    <x v="0"/>
    <x v="0"/>
    <s v="Married"/>
    <n v="5769"/>
    <n v="1"/>
    <x v="0"/>
    <n v="11"/>
    <n v="4"/>
    <n v="0"/>
    <n v="6"/>
    <n v="3"/>
    <x v="1"/>
    <n v="6"/>
    <n v="2"/>
    <n v="4"/>
    <n v="4"/>
    <n v="0"/>
    <x v="2"/>
    <x v="0"/>
    <x v="0"/>
    <n v="961.5"/>
  </r>
  <r>
    <n v="27"/>
    <x v="0"/>
    <x v="1"/>
    <n v="17"/>
    <n v="4"/>
    <s v="Life Sciences"/>
    <n v="4"/>
    <x v="0"/>
    <n v="3"/>
    <n v="1"/>
    <x v="1"/>
    <x v="2"/>
    <s v="Single"/>
    <n v="2394"/>
    <n v="1"/>
    <x v="0"/>
    <n v="13"/>
    <n v="4"/>
    <n v="0"/>
    <n v="8"/>
    <n v="2"/>
    <x v="1"/>
    <n v="8"/>
    <n v="2"/>
    <n v="7"/>
    <n v="7"/>
    <n v="1"/>
    <x v="2"/>
    <x v="1"/>
    <x v="0"/>
    <n v="299.25"/>
  </r>
  <r>
    <n v="26"/>
    <x v="1"/>
    <x v="1"/>
    <n v="2"/>
    <n v="1"/>
    <s v="Medical"/>
    <n v="1"/>
    <x v="1"/>
    <n v="2"/>
    <n v="1"/>
    <x v="1"/>
    <x v="0"/>
    <s v="Single"/>
    <n v="3904"/>
    <n v="0"/>
    <x v="1"/>
    <n v="12"/>
    <n v="4"/>
    <n v="0"/>
    <n v="5"/>
    <n v="2"/>
    <x v="1"/>
    <n v="4"/>
    <n v="3"/>
    <n v="1"/>
    <n v="1"/>
    <n v="0"/>
    <x v="2"/>
    <x v="1"/>
    <x v="2"/>
    <n v="976"/>
  </r>
  <r>
    <n v="42"/>
    <x v="1"/>
    <x v="2"/>
    <n v="10"/>
    <n v="3"/>
    <s v="Human Resources"/>
    <n v="3"/>
    <x v="0"/>
    <n v="3"/>
    <n v="4"/>
    <x v="5"/>
    <x v="3"/>
    <s v="Married"/>
    <n v="16799"/>
    <n v="0"/>
    <x v="1"/>
    <n v="14"/>
    <n v="3"/>
    <n v="1"/>
    <n v="21"/>
    <n v="5"/>
    <x v="1"/>
    <n v="20"/>
    <n v="7"/>
    <n v="0"/>
    <n v="9"/>
    <n v="0"/>
    <x v="0"/>
    <x v="2"/>
    <x v="3"/>
    <n v="839.95"/>
  </r>
  <r>
    <n v="52"/>
    <x v="1"/>
    <x v="1"/>
    <n v="8"/>
    <n v="4"/>
    <s v="Other"/>
    <n v="3"/>
    <x v="0"/>
    <n v="3"/>
    <n v="1"/>
    <x v="2"/>
    <x v="3"/>
    <s v="Married"/>
    <n v="2950"/>
    <n v="9"/>
    <x v="1"/>
    <n v="13"/>
    <n v="3"/>
    <n v="0"/>
    <n v="12"/>
    <n v="2"/>
    <x v="0"/>
    <n v="5"/>
    <n v="4"/>
    <n v="0"/>
    <n v="4"/>
    <n v="0"/>
    <x v="1"/>
    <x v="1"/>
    <x v="2"/>
    <n v="590"/>
  </r>
  <r>
    <n v="37"/>
    <x v="1"/>
    <x v="1"/>
    <n v="11"/>
    <n v="3"/>
    <s v="Medical"/>
    <n v="1"/>
    <x v="0"/>
    <n v="3"/>
    <n v="1"/>
    <x v="2"/>
    <x v="2"/>
    <s v="Single"/>
    <n v="3629"/>
    <n v="4"/>
    <x v="1"/>
    <n v="18"/>
    <n v="1"/>
    <n v="0"/>
    <n v="8"/>
    <n v="6"/>
    <x v="1"/>
    <n v="3"/>
    <n v="2"/>
    <n v="0"/>
    <n v="2"/>
    <n v="0"/>
    <x v="0"/>
    <x v="1"/>
    <x v="2"/>
    <n v="1209.6666666666667"/>
  </r>
  <r>
    <n v="35"/>
    <x v="1"/>
    <x v="1"/>
    <n v="18"/>
    <n v="2"/>
    <s v="Life Sciences"/>
    <n v="3"/>
    <x v="1"/>
    <n v="3"/>
    <n v="3"/>
    <x v="3"/>
    <x v="0"/>
    <s v="Single"/>
    <n v="9362"/>
    <n v="2"/>
    <x v="1"/>
    <n v="11"/>
    <n v="3"/>
    <n v="0"/>
    <n v="10"/>
    <n v="2"/>
    <x v="1"/>
    <n v="2"/>
    <n v="2"/>
    <n v="2"/>
    <n v="2"/>
    <n v="0"/>
    <x v="2"/>
    <x v="0"/>
    <x v="1"/>
    <n v="4681"/>
  </r>
  <r>
    <n v="25"/>
    <x v="1"/>
    <x v="1"/>
    <n v="1"/>
    <n v="3"/>
    <s v="Technical Degree"/>
    <n v="1"/>
    <x v="1"/>
    <n v="3"/>
    <n v="1"/>
    <x v="2"/>
    <x v="0"/>
    <s v="Married"/>
    <n v="3229"/>
    <n v="4"/>
    <x v="1"/>
    <n v="11"/>
    <n v="2"/>
    <n v="1"/>
    <n v="7"/>
    <n v="2"/>
    <x v="2"/>
    <n v="3"/>
    <n v="2"/>
    <n v="0"/>
    <n v="2"/>
    <n v="0"/>
    <x v="3"/>
    <x v="1"/>
    <x v="2"/>
    <n v="1076.3333333333333"/>
  </r>
  <r>
    <n v="26"/>
    <x v="1"/>
    <x v="1"/>
    <n v="7"/>
    <n v="3"/>
    <s v="Other"/>
    <n v="3"/>
    <x v="1"/>
    <n v="4"/>
    <n v="1"/>
    <x v="2"/>
    <x v="3"/>
    <s v="Single"/>
    <n v="3578"/>
    <n v="0"/>
    <x v="1"/>
    <n v="12"/>
    <n v="4"/>
    <n v="0"/>
    <n v="8"/>
    <n v="2"/>
    <x v="1"/>
    <n v="7"/>
    <n v="7"/>
    <n v="0"/>
    <n v="7"/>
    <n v="0"/>
    <x v="2"/>
    <x v="1"/>
    <x v="0"/>
    <n v="511.14285714285717"/>
  </r>
  <r>
    <n v="29"/>
    <x v="1"/>
    <x v="2"/>
    <n v="17"/>
    <n v="3"/>
    <s v="Other"/>
    <n v="2"/>
    <x v="1"/>
    <n v="2"/>
    <n v="3"/>
    <x v="8"/>
    <x v="3"/>
    <s v="Single"/>
    <n v="7988"/>
    <n v="1"/>
    <x v="1"/>
    <n v="13"/>
    <n v="1"/>
    <n v="0"/>
    <n v="10"/>
    <n v="3"/>
    <x v="2"/>
    <n v="10"/>
    <n v="9"/>
    <n v="0"/>
    <n v="9"/>
    <n v="0"/>
    <x v="2"/>
    <x v="0"/>
    <x v="0"/>
    <n v="798.8"/>
  </r>
  <r>
    <n v="49"/>
    <x v="0"/>
    <x v="1"/>
    <n v="28"/>
    <n v="2"/>
    <s v="Life Sciences"/>
    <n v="1"/>
    <x v="1"/>
    <n v="2"/>
    <n v="2"/>
    <x v="2"/>
    <x v="3"/>
    <s v="Single"/>
    <n v="4284"/>
    <n v="3"/>
    <x v="1"/>
    <n v="20"/>
    <n v="1"/>
    <n v="0"/>
    <n v="20"/>
    <n v="2"/>
    <x v="1"/>
    <n v="4"/>
    <n v="3"/>
    <n v="1"/>
    <n v="3"/>
    <n v="1"/>
    <x v="1"/>
    <x v="0"/>
    <x v="2"/>
    <n v="1071"/>
  </r>
  <r>
    <n v="29"/>
    <x v="0"/>
    <x v="1"/>
    <n v="14"/>
    <n v="1"/>
    <s v="Other"/>
    <n v="3"/>
    <x v="0"/>
    <n v="3"/>
    <n v="3"/>
    <x v="4"/>
    <x v="0"/>
    <s v="Single"/>
    <n v="7553"/>
    <n v="0"/>
    <x v="0"/>
    <n v="12"/>
    <n v="1"/>
    <n v="0"/>
    <n v="9"/>
    <n v="1"/>
    <x v="1"/>
    <n v="8"/>
    <n v="7"/>
    <n v="7"/>
    <n v="7"/>
    <n v="1"/>
    <x v="2"/>
    <x v="0"/>
    <x v="0"/>
    <n v="944.125"/>
  </r>
  <r>
    <n v="54"/>
    <x v="1"/>
    <x v="1"/>
    <n v="1"/>
    <n v="3"/>
    <s v="Medical"/>
    <n v="4"/>
    <x v="0"/>
    <n v="3"/>
    <n v="4"/>
    <x v="7"/>
    <x v="0"/>
    <s v="Single"/>
    <n v="17328"/>
    <n v="6"/>
    <x v="1"/>
    <n v="19"/>
    <n v="4"/>
    <n v="0"/>
    <n v="29"/>
    <n v="3"/>
    <x v="2"/>
    <n v="20"/>
    <n v="7"/>
    <n v="12"/>
    <n v="7"/>
    <n v="0"/>
    <x v="1"/>
    <x v="2"/>
    <x v="3"/>
    <n v="866.4"/>
  </r>
  <r>
    <n v="58"/>
    <x v="1"/>
    <x v="1"/>
    <n v="1"/>
    <n v="3"/>
    <s v="Medical"/>
    <n v="4"/>
    <x v="0"/>
    <n v="3"/>
    <n v="5"/>
    <x v="7"/>
    <x v="3"/>
    <s v="Married"/>
    <n v="19701"/>
    <n v="3"/>
    <x v="0"/>
    <n v="21"/>
    <n v="3"/>
    <n v="1"/>
    <n v="32"/>
    <n v="3"/>
    <x v="1"/>
    <n v="9"/>
    <n v="8"/>
    <n v="1"/>
    <n v="5"/>
    <n v="0"/>
    <x v="1"/>
    <x v="2"/>
    <x v="0"/>
    <n v="2189"/>
  </r>
  <r>
    <n v="55"/>
    <x v="1"/>
    <x v="1"/>
    <n v="1"/>
    <n v="4"/>
    <s v="Medical"/>
    <n v="2"/>
    <x v="1"/>
    <n v="4"/>
    <n v="4"/>
    <x v="7"/>
    <x v="0"/>
    <s v="Divorced"/>
    <n v="14732"/>
    <n v="2"/>
    <x v="1"/>
    <n v="13"/>
    <n v="4"/>
    <n v="2"/>
    <n v="31"/>
    <n v="4"/>
    <x v="3"/>
    <n v="7"/>
    <n v="7"/>
    <n v="0"/>
    <n v="0"/>
    <n v="0"/>
    <x v="1"/>
    <x v="2"/>
    <x v="0"/>
    <n v="2104.5714285714284"/>
  </r>
  <r>
    <n v="36"/>
    <x v="1"/>
    <x v="0"/>
    <n v="3"/>
    <n v="4"/>
    <s v="Marketing"/>
    <n v="1"/>
    <x v="0"/>
    <n v="3"/>
    <n v="2"/>
    <x v="0"/>
    <x v="1"/>
    <s v="Single"/>
    <n v="9278"/>
    <n v="3"/>
    <x v="0"/>
    <n v="16"/>
    <n v="4"/>
    <n v="0"/>
    <n v="15"/>
    <n v="3"/>
    <x v="1"/>
    <n v="5"/>
    <n v="4"/>
    <n v="0"/>
    <n v="1"/>
    <n v="0"/>
    <x v="0"/>
    <x v="0"/>
    <x v="2"/>
    <n v="1855.6"/>
  </r>
  <r>
    <n v="31"/>
    <x v="0"/>
    <x v="0"/>
    <n v="1"/>
    <n v="4"/>
    <s v="Life Sciences"/>
    <n v="2"/>
    <x v="0"/>
    <n v="1"/>
    <n v="1"/>
    <x v="6"/>
    <x v="2"/>
    <s v="Single"/>
    <n v="1359"/>
    <n v="1"/>
    <x v="1"/>
    <n v="12"/>
    <n v="2"/>
    <n v="0"/>
    <n v="1"/>
    <n v="3"/>
    <x v="1"/>
    <n v="1"/>
    <n v="0"/>
    <n v="0"/>
    <n v="0"/>
    <n v="1"/>
    <x v="2"/>
    <x v="1"/>
    <x v="1"/>
    <n v="1359"/>
  </r>
  <r>
    <n v="30"/>
    <x v="1"/>
    <x v="0"/>
    <n v="7"/>
    <n v="4"/>
    <s v="Marketing"/>
    <n v="4"/>
    <x v="0"/>
    <n v="3"/>
    <n v="2"/>
    <x v="0"/>
    <x v="3"/>
    <s v="Divorced"/>
    <n v="4779"/>
    <n v="7"/>
    <x v="1"/>
    <n v="14"/>
    <n v="2"/>
    <n v="2"/>
    <n v="8"/>
    <n v="3"/>
    <x v="1"/>
    <n v="3"/>
    <n v="2"/>
    <n v="0"/>
    <n v="2"/>
    <n v="0"/>
    <x v="2"/>
    <x v="0"/>
    <x v="2"/>
    <n v="1593"/>
  </r>
  <r>
    <n v="31"/>
    <x v="1"/>
    <x v="1"/>
    <n v="8"/>
    <n v="5"/>
    <s v="Life Sciences"/>
    <n v="1"/>
    <x v="0"/>
    <n v="3"/>
    <n v="4"/>
    <x v="7"/>
    <x v="1"/>
    <s v="Single"/>
    <n v="16422"/>
    <n v="3"/>
    <x v="1"/>
    <n v="11"/>
    <n v="3"/>
    <n v="0"/>
    <n v="9"/>
    <n v="3"/>
    <x v="3"/>
    <n v="3"/>
    <n v="2"/>
    <n v="1"/>
    <n v="0"/>
    <n v="0"/>
    <x v="2"/>
    <x v="2"/>
    <x v="2"/>
    <n v="5474"/>
  </r>
  <r>
    <n v="34"/>
    <x v="1"/>
    <x v="1"/>
    <n v="1"/>
    <n v="4"/>
    <s v="Other"/>
    <n v="4"/>
    <x v="1"/>
    <n v="3"/>
    <n v="1"/>
    <x v="1"/>
    <x v="3"/>
    <s v="Divorced"/>
    <n v="2996"/>
    <n v="5"/>
    <x v="1"/>
    <n v="14"/>
    <n v="3"/>
    <n v="2"/>
    <n v="10"/>
    <n v="2"/>
    <x v="1"/>
    <n v="4"/>
    <n v="3"/>
    <n v="1"/>
    <n v="3"/>
    <n v="0"/>
    <x v="2"/>
    <x v="1"/>
    <x v="2"/>
    <n v="749"/>
  </r>
  <r>
    <n v="31"/>
    <x v="0"/>
    <x v="1"/>
    <n v="8"/>
    <n v="3"/>
    <s v="Life Sciences"/>
    <n v="1"/>
    <x v="0"/>
    <n v="2"/>
    <n v="1"/>
    <x v="1"/>
    <x v="1"/>
    <s v="Single"/>
    <n v="1261"/>
    <n v="1"/>
    <x v="1"/>
    <n v="12"/>
    <n v="3"/>
    <n v="0"/>
    <n v="1"/>
    <n v="3"/>
    <x v="3"/>
    <n v="1"/>
    <n v="0"/>
    <n v="0"/>
    <n v="0"/>
    <n v="1"/>
    <x v="2"/>
    <x v="1"/>
    <x v="1"/>
    <n v="1261"/>
  </r>
  <r>
    <n v="27"/>
    <x v="1"/>
    <x v="1"/>
    <n v="11"/>
    <n v="1"/>
    <s v="Life Sciences"/>
    <n v="2"/>
    <x v="1"/>
    <n v="3"/>
    <n v="1"/>
    <x v="2"/>
    <x v="3"/>
    <s v="Married"/>
    <n v="2099"/>
    <n v="0"/>
    <x v="1"/>
    <n v="14"/>
    <n v="2"/>
    <n v="0"/>
    <n v="6"/>
    <n v="3"/>
    <x v="3"/>
    <n v="5"/>
    <n v="0"/>
    <n v="1"/>
    <n v="4"/>
    <n v="0"/>
    <x v="2"/>
    <x v="1"/>
    <x v="2"/>
    <n v="419.8"/>
  </r>
  <r>
    <n v="36"/>
    <x v="1"/>
    <x v="1"/>
    <n v="4"/>
    <n v="4"/>
    <s v="Life Sciences"/>
    <n v="1"/>
    <x v="1"/>
    <n v="2"/>
    <n v="2"/>
    <x v="2"/>
    <x v="0"/>
    <s v="Single"/>
    <n v="5810"/>
    <n v="1"/>
    <x v="1"/>
    <n v="16"/>
    <n v="3"/>
    <n v="0"/>
    <n v="10"/>
    <n v="2"/>
    <x v="2"/>
    <n v="10"/>
    <n v="4"/>
    <n v="1"/>
    <n v="8"/>
    <n v="0"/>
    <x v="0"/>
    <x v="0"/>
    <x v="0"/>
    <n v="581"/>
  </r>
  <r>
    <n v="36"/>
    <x v="1"/>
    <x v="0"/>
    <n v="16"/>
    <n v="4"/>
    <s v="Marketing"/>
    <n v="3"/>
    <x v="0"/>
    <n v="2"/>
    <n v="2"/>
    <x v="0"/>
    <x v="3"/>
    <s v="Married"/>
    <n v="5647"/>
    <n v="4"/>
    <x v="1"/>
    <n v="13"/>
    <n v="1"/>
    <n v="2"/>
    <n v="11"/>
    <n v="3"/>
    <x v="2"/>
    <n v="3"/>
    <n v="2"/>
    <n v="0"/>
    <n v="2"/>
    <n v="0"/>
    <x v="0"/>
    <x v="0"/>
    <x v="2"/>
    <n v="1882.3333333333333"/>
  </r>
  <r>
    <n v="47"/>
    <x v="1"/>
    <x v="1"/>
    <n v="1"/>
    <n v="3"/>
    <s v="Technical Degree"/>
    <n v="1"/>
    <x v="1"/>
    <n v="3"/>
    <n v="1"/>
    <x v="1"/>
    <x v="0"/>
    <s v="Married"/>
    <n v="3420"/>
    <n v="7"/>
    <x v="1"/>
    <n v="12"/>
    <n v="3"/>
    <n v="1"/>
    <n v="17"/>
    <n v="2"/>
    <x v="2"/>
    <n v="6"/>
    <n v="5"/>
    <n v="1"/>
    <n v="2"/>
    <n v="0"/>
    <x v="1"/>
    <x v="1"/>
    <x v="0"/>
    <n v="570"/>
  </r>
  <r>
    <n v="25"/>
    <x v="0"/>
    <x v="0"/>
    <n v="9"/>
    <n v="2"/>
    <s v="Life Sciences"/>
    <n v="1"/>
    <x v="1"/>
    <n v="2"/>
    <n v="1"/>
    <x v="6"/>
    <x v="3"/>
    <s v="Married"/>
    <n v="4400"/>
    <n v="3"/>
    <x v="1"/>
    <n v="12"/>
    <n v="1"/>
    <n v="0"/>
    <n v="6"/>
    <n v="2"/>
    <x v="1"/>
    <n v="3"/>
    <n v="2"/>
    <n v="2"/>
    <n v="2"/>
    <n v="1"/>
    <x v="3"/>
    <x v="0"/>
    <x v="2"/>
    <n v="1466.6666666666667"/>
  </r>
  <r>
    <n v="37"/>
    <x v="1"/>
    <x v="1"/>
    <n v="5"/>
    <n v="2"/>
    <s v="Technical Degree"/>
    <n v="3"/>
    <x v="1"/>
    <n v="4"/>
    <n v="1"/>
    <x v="2"/>
    <x v="2"/>
    <s v="Single"/>
    <n v="3500"/>
    <n v="0"/>
    <x v="1"/>
    <n v="14"/>
    <n v="1"/>
    <n v="0"/>
    <n v="7"/>
    <n v="2"/>
    <x v="0"/>
    <n v="6"/>
    <n v="5"/>
    <n v="1"/>
    <n v="3"/>
    <n v="0"/>
    <x v="0"/>
    <x v="1"/>
    <x v="0"/>
    <n v="583.33333333333337"/>
  </r>
  <r>
    <n v="56"/>
    <x v="1"/>
    <x v="1"/>
    <n v="1"/>
    <n v="2"/>
    <s v="Life Sciences"/>
    <n v="1"/>
    <x v="0"/>
    <n v="3"/>
    <n v="1"/>
    <x v="1"/>
    <x v="3"/>
    <s v="Married"/>
    <n v="2066"/>
    <n v="2"/>
    <x v="1"/>
    <n v="22"/>
    <n v="4"/>
    <n v="1"/>
    <n v="5"/>
    <n v="3"/>
    <x v="3"/>
    <n v="3"/>
    <n v="2"/>
    <n v="1"/>
    <n v="0"/>
    <n v="0"/>
    <x v="1"/>
    <x v="1"/>
    <x v="2"/>
    <n v="688.66666666666663"/>
  </r>
  <r>
    <n v="47"/>
    <x v="1"/>
    <x v="1"/>
    <n v="2"/>
    <n v="4"/>
    <s v="Medical"/>
    <n v="1"/>
    <x v="0"/>
    <n v="3"/>
    <n v="4"/>
    <x v="7"/>
    <x v="2"/>
    <s v="Married"/>
    <n v="17169"/>
    <n v="3"/>
    <x v="1"/>
    <n v="19"/>
    <n v="2"/>
    <n v="2"/>
    <n v="26"/>
    <n v="2"/>
    <x v="3"/>
    <n v="20"/>
    <n v="17"/>
    <n v="5"/>
    <n v="6"/>
    <n v="0"/>
    <x v="1"/>
    <x v="2"/>
    <x v="3"/>
    <n v="858.45"/>
  </r>
  <r>
    <n v="24"/>
    <x v="1"/>
    <x v="0"/>
    <n v="4"/>
    <n v="1"/>
    <s v="Medical"/>
    <n v="4"/>
    <x v="0"/>
    <n v="3"/>
    <n v="2"/>
    <x v="0"/>
    <x v="2"/>
    <s v="Married"/>
    <n v="4162"/>
    <n v="1"/>
    <x v="0"/>
    <n v="12"/>
    <n v="3"/>
    <n v="2"/>
    <n v="5"/>
    <n v="3"/>
    <x v="1"/>
    <n v="5"/>
    <n v="4"/>
    <n v="0"/>
    <n v="3"/>
    <n v="0"/>
    <x v="3"/>
    <x v="0"/>
    <x v="2"/>
    <n v="832.4"/>
  </r>
  <r>
    <n v="32"/>
    <x v="1"/>
    <x v="0"/>
    <n v="7"/>
    <n v="5"/>
    <s v="Marketing"/>
    <n v="4"/>
    <x v="1"/>
    <n v="3"/>
    <n v="2"/>
    <x v="0"/>
    <x v="0"/>
    <s v="Married"/>
    <n v="9204"/>
    <n v="4"/>
    <x v="1"/>
    <n v="12"/>
    <n v="3"/>
    <n v="1"/>
    <n v="7"/>
    <n v="3"/>
    <x v="2"/>
    <n v="4"/>
    <n v="3"/>
    <n v="0"/>
    <n v="3"/>
    <n v="0"/>
    <x v="2"/>
    <x v="0"/>
    <x v="2"/>
    <n v="2301"/>
  </r>
  <r>
    <n v="34"/>
    <x v="1"/>
    <x v="1"/>
    <n v="1"/>
    <n v="3"/>
    <s v="Life Sciences"/>
    <n v="4"/>
    <x v="0"/>
    <n v="2"/>
    <n v="1"/>
    <x v="2"/>
    <x v="1"/>
    <s v="Married"/>
    <n v="3294"/>
    <n v="5"/>
    <x v="1"/>
    <n v="17"/>
    <n v="1"/>
    <n v="1"/>
    <n v="7"/>
    <n v="2"/>
    <x v="2"/>
    <n v="5"/>
    <n v="4"/>
    <n v="0"/>
    <n v="2"/>
    <n v="0"/>
    <x v="2"/>
    <x v="1"/>
    <x v="2"/>
    <n v="658.8"/>
  </r>
  <r>
    <n v="41"/>
    <x v="1"/>
    <x v="1"/>
    <n v="5"/>
    <n v="5"/>
    <s v="Medical"/>
    <n v="2"/>
    <x v="1"/>
    <n v="4"/>
    <n v="1"/>
    <x v="1"/>
    <x v="2"/>
    <s v="Married"/>
    <n v="2127"/>
    <n v="2"/>
    <x v="0"/>
    <n v="12"/>
    <n v="1"/>
    <n v="0"/>
    <n v="7"/>
    <n v="5"/>
    <x v="2"/>
    <n v="4"/>
    <n v="2"/>
    <n v="0"/>
    <n v="3"/>
    <n v="0"/>
    <x v="0"/>
    <x v="1"/>
    <x v="2"/>
    <n v="531.75"/>
  </r>
  <r>
    <n v="40"/>
    <x v="1"/>
    <x v="1"/>
    <n v="9"/>
    <n v="4"/>
    <s v="Other"/>
    <n v="3"/>
    <x v="1"/>
    <n v="3"/>
    <n v="2"/>
    <x v="2"/>
    <x v="2"/>
    <s v="Divorced"/>
    <n v="3975"/>
    <n v="3"/>
    <x v="1"/>
    <n v="11"/>
    <n v="3"/>
    <n v="2"/>
    <n v="11"/>
    <n v="2"/>
    <x v="3"/>
    <n v="8"/>
    <n v="7"/>
    <n v="0"/>
    <n v="7"/>
    <n v="0"/>
    <x v="0"/>
    <x v="1"/>
    <x v="0"/>
    <n v="496.875"/>
  </r>
  <r>
    <n v="31"/>
    <x v="1"/>
    <x v="0"/>
    <n v="8"/>
    <n v="2"/>
    <s v="Life Sciences"/>
    <n v="1"/>
    <x v="1"/>
    <n v="3"/>
    <n v="3"/>
    <x v="0"/>
    <x v="0"/>
    <s v="Divorced"/>
    <n v="10793"/>
    <n v="1"/>
    <x v="1"/>
    <n v="18"/>
    <n v="1"/>
    <n v="1"/>
    <n v="13"/>
    <n v="5"/>
    <x v="1"/>
    <n v="13"/>
    <n v="7"/>
    <n v="9"/>
    <n v="9"/>
    <n v="0"/>
    <x v="2"/>
    <x v="2"/>
    <x v="3"/>
    <n v="830.23076923076928"/>
  </r>
  <r>
    <n v="46"/>
    <x v="0"/>
    <x v="0"/>
    <n v="9"/>
    <n v="3"/>
    <s v="Marketing"/>
    <n v="1"/>
    <x v="1"/>
    <n v="3"/>
    <n v="3"/>
    <x v="0"/>
    <x v="0"/>
    <s v="Divorced"/>
    <n v="10096"/>
    <n v="4"/>
    <x v="1"/>
    <n v="11"/>
    <n v="1"/>
    <n v="1"/>
    <n v="28"/>
    <n v="1"/>
    <x v="3"/>
    <n v="7"/>
    <n v="7"/>
    <n v="4"/>
    <n v="3"/>
    <n v="1"/>
    <x v="1"/>
    <x v="2"/>
    <x v="0"/>
    <n v="1442.2857142857142"/>
  </r>
  <r>
    <n v="39"/>
    <x v="0"/>
    <x v="1"/>
    <n v="2"/>
    <n v="3"/>
    <s v="Life Sciences"/>
    <n v="1"/>
    <x v="0"/>
    <n v="2"/>
    <n v="1"/>
    <x v="2"/>
    <x v="3"/>
    <s v="Single"/>
    <n v="3646"/>
    <n v="2"/>
    <x v="0"/>
    <n v="23"/>
    <n v="2"/>
    <n v="0"/>
    <n v="11"/>
    <n v="2"/>
    <x v="3"/>
    <n v="1"/>
    <n v="0"/>
    <n v="0"/>
    <n v="0"/>
    <n v="1"/>
    <x v="0"/>
    <x v="1"/>
    <x v="1"/>
    <n v="3646"/>
  </r>
  <r>
    <n v="31"/>
    <x v="0"/>
    <x v="1"/>
    <n v="1"/>
    <n v="5"/>
    <s v="Life Sciences"/>
    <n v="3"/>
    <x v="0"/>
    <n v="4"/>
    <n v="3"/>
    <x v="3"/>
    <x v="1"/>
    <s v="Single"/>
    <n v="7446"/>
    <n v="1"/>
    <x v="1"/>
    <n v="11"/>
    <n v="1"/>
    <n v="0"/>
    <n v="10"/>
    <n v="2"/>
    <x v="1"/>
    <n v="10"/>
    <n v="8"/>
    <n v="4"/>
    <n v="7"/>
    <n v="1"/>
    <x v="2"/>
    <x v="0"/>
    <x v="0"/>
    <n v="744.6"/>
  </r>
  <r>
    <n v="45"/>
    <x v="1"/>
    <x v="1"/>
    <n v="20"/>
    <n v="3"/>
    <s v="Medical"/>
    <n v="2"/>
    <x v="1"/>
    <n v="1"/>
    <n v="3"/>
    <x v="4"/>
    <x v="3"/>
    <s v="Divorced"/>
    <n v="10851"/>
    <n v="2"/>
    <x v="0"/>
    <n v="18"/>
    <n v="2"/>
    <n v="1"/>
    <n v="24"/>
    <n v="2"/>
    <x v="1"/>
    <n v="7"/>
    <n v="7"/>
    <n v="0"/>
    <n v="7"/>
    <n v="0"/>
    <x v="0"/>
    <x v="2"/>
    <x v="0"/>
    <n v="1550.1428571428571"/>
  </r>
  <r>
    <n v="31"/>
    <x v="1"/>
    <x v="2"/>
    <n v="8"/>
    <n v="2"/>
    <s v="Medical"/>
    <n v="4"/>
    <x v="0"/>
    <n v="4"/>
    <n v="1"/>
    <x v="8"/>
    <x v="1"/>
    <s v="Single"/>
    <n v="2109"/>
    <n v="9"/>
    <x v="1"/>
    <n v="18"/>
    <n v="4"/>
    <n v="0"/>
    <n v="8"/>
    <n v="3"/>
    <x v="1"/>
    <n v="3"/>
    <n v="2"/>
    <n v="0"/>
    <n v="2"/>
    <n v="0"/>
    <x v="2"/>
    <x v="1"/>
    <x v="2"/>
    <n v="703"/>
  </r>
  <r>
    <n v="31"/>
    <x v="0"/>
    <x v="1"/>
    <n v="2"/>
    <n v="3"/>
    <s v="Life Sciences"/>
    <n v="2"/>
    <x v="1"/>
    <n v="3"/>
    <n v="1"/>
    <x v="2"/>
    <x v="0"/>
    <s v="Married"/>
    <n v="3722"/>
    <n v="6"/>
    <x v="0"/>
    <n v="13"/>
    <n v="3"/>
    <n v="1"/>
    <n v="7"/>
    <n v="2"/>
    <x v="0"/>
    <n v="2"/>
    <n v="2"/>
    <n v="2"/>
    <n v="2"/>
    <n v="1"/>
    <x v="2"/>
    <x v="1"/>
    <x v="1"/>
    <n v="1861"/>
  </r>
  <r>
    <n v="45"/>
    <x v="1"/>
    <x v="1"/>
    <n v="29"/>
    <n v="3"/>
    <s v="Technical Degree"/>
    <n v="2"/>
    <x v="1"/>
    <n v="3"/>
    <n v="3"/>
    <x v="3"/>
    <x v="0"/>
    <s v="Married"/>
    <n v="9380"/>
    <n v="4"/>
    <x v="0"/>
    <n v="18"/>
    <n v="4"/>
    <n v="2"/>
    <n v="10"/>
    <n v="4"/>
    <x v="3"/>
    <n v="3"/>
    <n v="1"/>
    <n v="1"/>
    <n v="2"/>
    <n v="0"/>
    <x v="0"/>
    <x v="0"/>
    <x v="2"/>
    <n v="3126.6666666666665"/>
  </r>
  <r>
    <n v="48"/>
    <x v="1"/>
    <x v="0"/>
    <n v="7"/>
    <n v="3"/>
    <s v="Marketing"/>
    <n v="3"/>
    <x v="1"/>
    <n v="3"/>
    <n v="2"/>
    <x v="0"/>
    <x v="3"/>
    <s v="Divorced"/>
    <n v="5486"/>
    <n v="4"/>
    <x v="1"/>
    <n v="11"/>
    <n v="1"/>
    <n v="3"/>
    <n v="15"/>
    <n v="3"/>
    <x v="1"/>
    <n v="2"/>
    <n v="2"/>
    <n v="2"/>
    <n v="2"/>
    <n v="0"/>
    <x v="1"/>
    <x v="0"/>
    <x v="1"/>
    <n v="2743"/>
  </r>
  <r>
    <n v="34"/>
    <x v="0"/>
    <x v="2"/>
    <n v="9"/>
    <n v="4"/>
    <s v="Technical Degree"/>
    <n v="1"/>
    <x v="0"/>
    <n v="3"/>
    <n v="1"/>
    <x v="8"/>
    <x v="2"/>
    <s v="Married"/>
    <n v="2742"/>
    <n v="1"/>
    <x v="1"/>
    <n v="15"/>
    <n v="4"/>
    <n v="0"/>
    <n v="2"/>
    <n v="0"/>
    <x v="1"/>
    <n v="2"/>
    <n v="2"/>
    <n v="2"/>
    <n v="2"/>
    <n v="1"/>
    <x v="2"/>
    <x v="1"/>
    <x v="1"/>
    <n v="1371"/>
  </r>
  <r>
    <n v="40"/>
    <x v="1"/>
    <x v="1"/>
    <n v="8"/>
    <n v="1"/>
    <s v="Medical"/>
    <n v="4"/>
    <x v="1"/>
    <n v="2"/>
    <n v="3"/>
    <x v="7"/>
    <x v="1"/>
    <s v="Divorced"/>
    <n v="13757"/>
    <n v="2"/>
    <x v="1"/>
    <n v="11"/>
    <n v="3"/>
    <n v="1"/>
    <n v="16"/>
    <n v="5"/>
    <x v="1"/>
    <n v="9"/>
    <n v="8"/>
    <n v="4"/>
    <n v="8"/>
    <n v="0"/>
    <x v="0"/>
    <x v="2"/>
    <x v="0"/>
    <n v="1528.5555555555557"/>
  </r>
  <r>
    <n v="28"/>
    <x v="1"/>
    <x v="0"/>
    <n v="5"/>
    <n v="3"/>
    <s v="Medical"/>
    <n v="4"/>
    <x v="1"/>
    <n v="3"/>
    <n v="2"/>
    <x v="0"/>
    <x v="3"/>
    <s v="Single"/>
    <n v="8463"/>
    <n v="0"/>
    <x v="1"/>
    <n v="18"/>
    <n v="4"/>
    <n v="0"/>
    <n v="6"/>
    <n v="4"/>
    <x v="1"/>
    <n v="5"/>
    <n v="4"/>
    <n v="1"/>
    <n v="3"/>
    <n v="0"/>
    <x v="2"/>
    <x v="0"/>
    <x v="2"/>
    <n v="1692.6"/>
  </r>
  <r>
    <n v="44"/>
    <x v="1"/>
    <x v="1"/>
    <n v="5"/>
    <n v="3"/>
    <s v="Life Sciences"/>
    <n v="3"/>
    <x v="1"/>
    <n v="2"/>
    <n v="1"/>
    <x v="2"/>
    <x v="2"/>
    <s v="Single"/>
    <n v="3162"/>
    <n v="3"/>
    <x v="1"/>
    <n v="14"/>
    <n v="4"/>
    <n v="0"/>
    <n v="7"/>
    <n v="5"/>
    <x v="1"/>
    <n v="5"/>
    <n v="2"/>
    <n v="0"/>
    <n v="3"/>
    <n v="0"/>
    <x v="0"/>
    <x v="1"/>
    <x v="2"/>
    <n v="632.4"/>
  </r>
  <r>
    <n v="53"/>
    <x v="1"/>
    <x v="1"/>
    <n v="2"/>
    <n v="3"/>
    <s v="Medical"/>
    <n v="4"/>
    <x v="1"/>
    <n v="4"/>
    <n v="4"/>
    <x v="7"/>
    <x v="1"/>
    <s v="Single"/>
    <n v="16598"/>
    <n v="4"/>
    <x v="1"/>
    <n v="12"/>
    <n v="2"/>
    <n v="0"/>
    <n v="35"/>
    <n v="2"/>
    <x v="2"/>
    <n v="9"/>
    <n v="8"/>
    <n v="8"/>
    <n v="8"/>
    <n v="0"/>
    <x v="1"/>
    <x v="2"/>
    <x v="0"/>
    <n v="1844.2222222222222"/>
  </r>
  <r>
    <n v="49"/>
    <x v="1"/>
    <x v="1"/>
    <n v="5"/>
    <n v="4"/>
    <s v="Technical Degree"/>
    <n v="1"/>
    <x v="1"/>
    <n v="3"/>
    <n v="2"/>
    <x v="4"/>
    <x v="2"/>
    <s v="Married"/>
    <n v="6651"/>
    <n v="2"/>
    <x v="1"/>
    <n v="14"/>
    <n v="2"/>
    <n v="1"/>
    <n v="20"/>
    <n v="0"/>
    <x v="2"/>
    <n v="3"/>
    <n v="2"/>
    <n v="1"/>
    <n v="2"/>
    <n v="0"/>
    <x v="1"/>
    <x v="0"/>
    <x v="2"/>
    <n v="2217"/>
  </r>
  <r>
    <n v="40"/>
    <x v="1"/>
    <x v="1"/>
    <n v="2"/>
    <n v="3"/>
    <s v="Medical"/>
    <n v="3"/>
    <x v="1"/>
    <n v="3"/>
    <n v="1"/>
    <x v="1"/>
    <x v="2"/>
    <s v="Divorced"/>
    <n v="2345"/>
    <n v="2"/>
    <x v="1"/>
    <n v="14"/>
    <n v="3"/>
    <n v="1"/>
    <n v="8"/>
    <n v="3"/>
    <x v="3"/>
    <n v="3"/>
    <n v="1"/>
    <n v="1"/>
    <n v="2"/>
    <n v="0"/>
    <x v="0"/>
    <x v="1"/>
    <x v="2"/>
    <n v="781.66666666666663"/>
  </r>
  <r>
    <n v="44"/>
    <x v="1"/>
    <x v="1"/>
    <n v="20"/>
    <n v="3"/>
    <s v="Life Sciences"/>
    <n v="4"/>
    <x v="1"/>
    <n v="3"/>
    <n v="1"/>
    <x v="1"/>
    <x v="1"/>
    <s v="Single"/>
    <n v="3420"/>
    <n v="1"/>
    <x v="1"/>
    <n v="13"/>
    <n v="3"/>
    <n v="0"/>
    <n v="6"/>
    <n v="3"/>
    <x v="2"/>
    <n v="5"/>
    <n v="2"/>
    <n v="1"/>
    <n v="3"/>
    <n v="0"/>
    <x v="0"/>
    <x v="1"/>
    <x v="2"/>
    <n v="684"/>
  </r>
  <r>
    <n v="33"/>
    <x v="1"/>
    <x v="0"/>
    <n v="7"/>
    <n v="3"/>
    <s v="Medical"/>
    <n v="4"/>
    <x v="1"/>
    <n v="3"/>
    <n v="2"/>
    <x v="0"/>
    <x v="3"/>
    <s v="Married"/>
    <n v="4373"/>
    <n v="0"/>
    <x v="1"/>
    <n v="14"/>
    <n v="1"/>
    <n v="2"/>
    <n v="5"/>
    <n v="2"/>
    <x v="1"/>
    <n v="4"/>
    <n v="3"/>
    <n v="0"/>
    <n v="3"/>
    <n v="0"/>
    <x v="2"/>
    <x v="0"/>
    <x v="2"/>
    <n v="1093.25"/>
  </r>
  <r>
    <n v="34"/>
    <x v="1"/>
    <x v="0"/>
    <n v="3"/>
    <n v="3"/>
    <s v="Other"/>
    <n v="4"/>
    <x v="1"/>
    <n v="1"/>
    <n v="2"/>
    <x v="0"/>
    <x v="3"/>
    <s v="Single"/>
    <n v="4759"/>
    <n v="3"/>
    <x v="1"/>
    <n v="18"/>
    <n v="4"/>
    <n v="0"/>
    <n v="15"/>
    <n v="2"/>
    <x v="1"/>
    <n v="13"/>
    <n v="9"/>
    <n v="3"/>
    <n v="12"/>
    <n v="0"/>
    <x v="2"/>
    <x v="0"/>
    <x v="3"/>
    <n v="366.07692307692309"/>
  </r>
  <r>
    <n v="30"/>
    <x v="1"/>
    <x v="0"/>
    <n v="16"/>
    <n v="1"/>
    <s v="Life Sciences"/>
    <n v="4"/>
    <x v="1"/>
    <n v="3"/>
    <n v="2"/>
    <x v="0"/>
    <x v="2"/>
    <s v="Married"/>
    <n v="5301"/>
    <n v="8"/>
    <x v="1"/>
    <n v="15"/>
    <n v="3"/>
    <n v="2"/>
    <n v="4"/>
    <n v="2"/>
    <x v="2"/>
    <n v="2"/>
    <n v="1"/>
    <n v="2"/>
    <n v="2"/>
    <n v="0"/>
    <x v="2"/>
    <x v="0"/>
    <x v="1"/>
    <n v="2650.5"/>
  </r>
  <r>
    <n v="42"/>
    <x v="1"/>
    <x v="1"/>
    <n v="9"/>
    <n v="2"/>
    <s v="Medical"/>
    <n v="1"/>
    <x v="0"/>
    <n v="3"/>
    <n v="1"/>
    <x v="2"/>
    <x v="0"/>
    <s v="Single"/>
    <n v="3673"/>
    <n v="1"/>
    <x v="1"/>
    <n v="13"/>
    <n v="3"/>
    <n v="0"/>
    <n v="12"/>
    <n v="3"/>
    <x v="1"/>
    <n v="12"/>
    <n v="9"/>
    <n v="5"/>
    <n v="8"/>
    <n v="0"/>
    <x v="0"/>
    <x v="1"/>
    <x v="3"/>
    <n v="306.08333333333331"/>
  </r>
  <r>
    <n v="44"/>
    <x v="1"/>
    <x v="0"/>
    <n v="1"/>
    <n v="5"/>
    <s v="Marketing"/>
    <n v="1"/>
    <x v="0"/>
    <n v="3"/>
    <n v="2"/>
    <x v="0"/>
    <x v="2"/>
    <s v="Married"/>
    <n v="4768"/>
    <n v="7"/>
    <x v="1"/>
    <n v="12"/>
    <n v="3"/>
    <n v="1"/>
    <n v="11"/>
    <n v="4"/>
    <x v="2"/>
    <n v="1"/>
    <n v="0"/>
    <n v="0"/>
    <n v="0"/>
    <n v="0"/>
    <x v="0"/>
    <x v="0"/>
    <x v="1"/>
    <n v="4768"/>
  </r>
  <r>
    <n v="30"/>
    <x v="1"/>
    <x v="1"/>
    <n v="7"/>
    <n v="3"/>
    <s v="Technical Degree"/>
    <n v="3"/>
    <x v="1"/>
    <n v="3"/>
    <n v="1"/>
    <x v="1"/>
    <x v="2"/>
    <s v="Divorced"/>
    <n v="1274"/>
    <n v="1"/>
    <x v="1"/>
    <n v="13"/>
    <n v="2"/>
    <n v="2"/>
    <n v="1"/>
    <n v="2"/>
    <x v="2"/>
    <n v="1"/>
    <n v="0"/>
    <n v="0"/>
    <n v="0"/>
    <n v="0"/>
    <x v="2"/>
    <x v="1"/>
    <x v="1"/>
    <n v="1274"/>
  </r>
  <r>
    <n v="57"/>
    <x v="1"/>
    <x v="1"/>
    <n v="1"/>
    <n v="2"/>
    <s v="Life Sciences"/>
    <n v="2"/>
    <x v="1"/>
    <n v="4"/>
    <n v="2"/>
    <x v="1"/>
    <x v="2"/>
    <s v="Married"/>
    <n v="4900"/>
    <n v="0"/>
    <x v="1"/>
    <n v="24"/>
    <n v="1"/>
    <n v="1"/>
    <n v="13"/>
    <n v="2"/>
    <x v="2"/>
    <n v="12"/>
    <n v="9"/>
    <n v="2"/>
    <n v="8"/>
    <n v="0"/>
    <x v="1"/>
    <x v="0"/>
    <x v="3"/>
    <n v="408.33333333333331"/>
  </r>
  <r>
    <n v="49"/>
    <x v="1"/>
    <x v="1"/>
    <n v="7"/>
    <n v="4"/>
    <s v="Life Sciences"/>
    <n v="3"/>
    <x v="1"/>
    <n v="3"/>
    <n v="3"/>
    <x v="4"/>
    <x v="1"/>
    <s v="Divorced"/>
    <n v="10466"/>
    <n v="3"/>
    <x v="1"/>
    <n v="14"/>
    <n v="2"/>
    <n v="2"/>
    <n v="29"/>
    <n v="3"/>
    <x v="1"/>
    <n v="8"/>
    <n v="7"/>
    <n v="0"/>
    <n v="7"/>
    <n v="0"/>
    <x v="1"/>
    <x v="2"/>
    <x v="0"/>
    <n v="1308.25"/>
  </r>
  <r>
    <n v="34"/>
    <x v="1"/>
    <x v="1"/>
    <n v="15"/>
    <n v="3"/>
    <s v="Medical"/>
    <n v="2"/>
    <x v="1"/>
    <n v="3"/>
    <n v="4"/>
    <x v="7"/>
    <x v="3"/>
    <s v="Divorced"/>
    <n v="17007"/>
    <n v="7"/>
    <x v="1"/>
    <n v="14"/>
    <n v="4"/>
    <n v="2"/>
    <n v="16"/>
    <n v="3"/>
    <x v="2"/>
    <n v="14"/>
    <n v="8"/>
    <n v="6"/>
    <n v="9"/>
    <n v="0"/>
    <x v="2"/>
    <x v="2"/>
    <x v="3"/>
    <n v="1214.7857142857142"/>
  </r>
  <r>
    <n v="28"/>
    <x v="0"/>
    <x v="0"/>
    <n v="1"/>
    <n v="3"/>
    <s v="Technical Degree"/>
    <n v="1"/>
    <x v="1"/>
    <n v="3"/>
    <n v="1"/>
    <x v="6"/>
    <x v="2"/>
    <s v="Married"/>
    <n v="2909"/>
    <n v="3"/>
    <x v="1"/>
    <n v="15"/>
    <n v="4"/>
    <n v="1"/>
    <n v="5"/>
    <n v="3"/>
    <x v="3"/>
    <n v="3"/>
    <n v="2"/>
    <n v="1"/>
    <n v="2"/>
    <n v="1"/>
    <x v="2"/>
    <x v="1"/>
    <x v="2"/>
    <n v="969.66666666666663"/>
  </r>
  <r>
    <n v="29"/>
    <x v="0"/>
    <x v="0"/>
    <n v="13"/>
    <n v="3"/>
    <s v="Technical Degree"/>
    <n v="1"/>
    <x v="0"/>
    <n v="3"/>
    <n v="2"/>
    <x v="0"/>
    <x v="1"/>
    <s v="Single"/>
    <n v="5765"/>
    <n v="5"/>
    <x v="1"/>
    <n v="11"/>
    <n v="1"/>
    <n v="0"/>
    <n v="7"/>
    <n v="4"/>
    <x v="0"/>
    <n v="5"/>
    <n v="3"/>
    <n v="0"/>
    <n v="0"/>
    <n v="1"/>
    <x v="2"/>
    <x v="0"/>
    <x v="2"/>
    <n v="1153"/>
  </r>
  <r>
    <n v="34"/>
    <x v="0"/>
    <x v="0"/>
    <n v="24"/>
    <n v="4"/>
    <s v="Medical"/>
    <n v="1"/>
    <x v="0"/>
    <n v="2"/>
    <n v="2"/>
    <x v="0"/>
    <x v="1"/>
    <s v="Single"/>
    <n v="4599"/>
    <n v="0"/>
    <x v="0"/>
    <n v="23"/>
    <n v="3"/>
    <n v="0"/>
    <n v="16"/>
    <n v="2"/>
    <x v="3"/>
    <n v="15"/>
    <n v="9"/>
    <n v="10"/>
    <n v="10"/>
    <n v="1"/>
    <x v="2"/>
    <x v="0"/>
    <x v="3"/>
    <n v="306.60000000000002"/>
  </r>
  <r>
    <n v="35"/>
    <x v="1"/>
    <x v="0"/>
    <n v="7"/>
    <n v="1"/>
    <s v="Life Sciences"/>
    <n v="4"/>
    <x v="1"/>
    <n v="3"/>
    <n v="1"/>
    <x v="6"/>
    <x v="2"/>
    <s v="Married"/>
    <n v="2404"/>
    <n v="1"/>
    <x v="1"/>
    <n v="13"/>
    <n v="1"/>
    <n v="1"/>
    <n v="1"/>
    <n v="3"/>
    <x v="1"/>
    <n v="1"/>
    <n v="0"/>
    <n v="0"/>
    <n v="0"/>
    <n v="0"/>
    <x v="2"/>
    <x v="1"/>
    <x v="1"/>
    <n v="2404"/>
  </r>
  <r>
    <n v="24"/>
    <x v="0"/>
    <x v="1"/>
    <n v="9"/>
    <n v="3"/>
    <s v="Medical"/>
    <n v="2"/>
    <x v="1"/>
    <n v="3"/>
    <n v="1"/>
    <x v="2"/>
    <x v="3"/>
    <s v="Single"/>
    <n v="3172"/>
    <n v="2"/>
    <x v="0"/>
    <n v="11"/>
    <n v="3"/>
    <n v="0"/>
    <n v="4"/>
    <n v="2"/>
    <x v="2"/>
    <n v="0"/>
    <n v="0"/>
    <n v="0"/>
    <n v="0"/>
    <n v="1"/>
    <x v="3"/>
    <x v="1"/>
    <x v="1"/>
    <n v="3172"/>
  </r>
  <r>
    <n v="24"/>
    <x v="1"/>
    <x v="0"/>
    <n v="13"/>
    <n v="2"/>
    <s v="Life Sciences"/>
    <n v="4"/>
    <x v="0"/>
    <n v="3"/>
    <n v="1"/>
    <x v="6"/>
    <x v="1"/>
    <s v="Married"/>
    <n v="2033"/>
    <n v="1"/>
    <x v="1"/>
    <n v="13"/>
    <n v="3"/>
    <n v="1"/>
    <n v="1"/>
    <n v="2"/>
    <x v="1"/>
    <n v="1"/>
    <n v="0"/>
    <n v="0"/>
    <n v="0"/>
    <n v="0"/>
    <x v="3"/>
    <x v="1"/>
    <x v="1"/>
    <n v="2033"/>
  </r>
  <r>
    <n v="44"/>
    <x v="1"/>
    <x v="1"/>
    <n v="2"/>
    <n v="1"/>
    <s v="Medical"/>
    <n v="2"/>
    <x v="1"/>
    <n v="3"/>
    <n v="3"/>
    <x v="3"/>
    <x v="2"/>
    <s v="Single"/>
    <n v="10209"/>
    <n v="5"/>
    <x v="0"/>
    <n v="18"/>
    <n v="2"/>
    <n v="0"/>
    <n v="16"/>
    <n v="2"/>
    <x v="2"/>
    <n v="2"/>
    <n v="2"/>
    <n v="2"/>
    <n v="2"/>
    <n v="0"/>
    <x v="0"/>
    <x v="2"/>
    <x v="1"/>
    <n v="5104.5"/>
  </r>
  <r>
    <n v="29"/>
    <x v="1"/>
    <x v="0"/>
    <n v="19"/>
    <n v="3"/>
    <s v="Life Sciences"/>
    <n v="3"/>
    <x v="1"/>
    <n v="2"/>
    <n v="2"/>
    <x v="0"/>
    <x v="2"/>
    <s v="Divorced"/>
    <n v="8620"/>
    <n v="1"/>
    <x v="1"/>
    <n v="14"/>
    <n v="3"/>
    <n v="2"/>
    <n v="10"/>
    <n v="3"/>
    <x v="1"/>
    <n v="10"/>
    <n v="7"/>
    <n v="0"/>
    <n v="4"/>
    <n v="0"/>
    <x v="2"/>
    <x v="0"/>
    <x v="0"/>
    <n v="862"/>
  </r>
  <r>
    <n v="30"/>
    <x v="1"/>
    <x v="2"/>
    <n v="1"/>
    <n v="3"/>
    <s v="Life Sciences"/>
    <n v="3"/>
    <x v="1"/>
    <n v="3"/>
    <n v="1"/>
    <x v="8"/>
    <x v="2"/>
    <s v="Divorced"/>
    <n v="2064"/>
    <n v="0"/>
    <x v="1"/>
    <n v="21"/>
    <n v="1"/>
    <n v="1"/>
    <n v="6"/>
    <n v="3"/>
    <x v="3"/>
    <n v="5"/>
    <n v="3"/>
    <n v="1"/>
    <n v="3"/>
    <n v="0"/>
    <x v="2"/>
    <x v="1"/>
    <x v="2"/>
    <n v="412.8"/>
  </r>
  <r>
    <n v="55"/>
    <x v="1"/>
    <x v="1"/>
    <n v="4"/>
    <n v="4"/>
    <s v="Life Sciences"/>
    <n v="4"/>
    <x v="1"/>
    <n v="3"/>
    <n v="2"/>
    <x v="4"/>
    <x v="2"/>
    <s v="Married"/>
    <n v="4035"/>
    <n v="0"/>
    <x v="0"/>
    <n v="16"/>
    <n v="2"/>
    <n v="0"/>
    <n v="4"/>
    <n v="2"/>
    <x v="1"/>
    <n v="3"/>
    <n v="2"/>
    <n v="1"/>
    <n v="2"/>
    <n v="0"/>
    <x v="1"/>
    <x v="0"/>
    <x v="2"/>
    <n v="1345"/>
  </r>
  <r>
    <n v="33"/>
    <x v="1"/>
    <x v="1"/>
    <n v="4"/>
    <n v="4"/>
    <s v="Medical"/>
    <n v="1"/>
    <x v="0"/>
    <n v="2"/>
    <n v="1"/>
    <x v="2"/>
    <x v="1"/>
    <s v="Married"/>
    <n v="3838"/>
    <n v="8"/>
    <x v="1"/>
    <n v="11"/>
    <n v="4"/>
    <n v="0"/>
    <n v="8"/>
    <n v="5"/>
    <x v="1"/>
    <n v="5"/>
    <n v="4"/>
    <n v="0"/>
    <n v="2"/>
    <n v="0"/>
    <x v="2"/>
    <x v="1"/>
    <x v="2"/>
    <n v="767.6"/>
  </r>
  <r>
    <n v="47"/>
    <x v="1"/>
    <x v="0"/>
    <n v="14"/>
    <n v="3"/>
    <s v="Medical"/>
    <n v="3"/>
    <x v="0"/>
    <n v="3"/>
    <n v="2"/>
    <x v="0"/>
    <x v="2"/>
    <s v="Married"/>
    <n v="4591"/>
    <n v="3"/>
    <x v="0"/>
    <n v="17"/>
    <n v="3"/>
    <n v="1"/>
    <n v="11"/>
    <n v="4"/>
    <x v="2"/>
    <n v="5"/>
    <n v="4"/>
    <n v="1"/>
    <n v="2"/>
    <n v="0"/>
    <x v="1"/>
    <x v="0"/>
    <x v="2"/>
    <n v="918.2"/>
  </r>
  <r>
    <n v="28"/>
    <x v="0"/>
    <x v="1"/>
    <n v="2"/>
    <n v="2"/>
    <s v="Medical"/>
    <n v="3"/>
    <x v="1"/>
    <n v="2"/>
    <n v="1"/>
    <x v="2"/>
    <x v="3"/>
    <s v="Single"/>
    <n v="2561"/>
    <n v="7"/>
    <x v="1"/>
    <n v="11"/>
    <n v="3"/>
    <n v="0"/>
    <n v="8"/>
    <n v="2"/>
    <x v="2"/>
    <n v="0"/>
    <n v="0"/>
    <n v="0"/>
    <n v="0"/>
    <n v="1"/>
    <x v="2"/>
    <x v="1"/>
    <x v="1"/>
    <n v="2561"/>
  </r>
  <r>
    <n v="28"/>
    <x v="1"/>
    <x v="1"/>
    <n v="1"/>
    <n v="3"/>
    <s v="Life Sciences"/>
    <n v="1"/>
    <x v="1"/>
    <n v="2"/>
    <n v="1"/>
    <x v="1"/>
    <x v="2"/>
    <s v="Divorced"/>
    <n v="1563"/>
    <n v="1"/>
    <x v="1"/>
    <n v="14"/>
    <n v="4"/>
    <n v="1"/>
    <n v="1"/>
    <n v="2"/>
    <x v="0"/>
    <n v="1"/>
    <n v="0"/>
    <n v="0"/>
    <n v="0"/>
    <n v="0"/>
    <x v="2"/>
    <x v="1"/>
    <x v="1"/>
    <n v="1563"/>
  </r>
  <r>
    <n v="28"/>
    <x v="1"/>
    <x v="0"/>
    <n v="7"/>
    <n v="3"/>
    <s v="Life Sciences"/>
    <n v="3"/>
    <x v="1"/>
    <n v="3"/>
    <n v="2"/>
    <x v="0"/>
    <x v="3"/>
    <s v="Single"/>
    <n v="4898"/>
    <n v="0"/>
    <x v="1"/>
    <n v="14"/>
    <n v="4"/>
    <n v="0"/>
    <n v="5"/>
    <n v="5"/>
    <x v="1"/>
    <n v="4"/>
    <n v="2"/>
    <n v="1"/>
    <n v="3"/>
    <n v="0"/>
    <x v="2"/>
    <x v="0"/>
    <x v="2"/>
    <n v="1224.5"/>
  </r>
  <r>
    <n v="49"/>
    <x v="1"/>
    <x v="1"/>
    <n v="3"/>
    <n v="2"/>
    <s v="Medical"/>
    <n v="3"/>
    <x v="0"/>
    <n v="2"/>
    <n v="2"/>
    <x v="2"/>
    <x v="3"/>
    <s v="Married"/>
    <n v="4789"/>
    <n v="4"/>
    <x v="1"/>
    <n v="25"/>
    <n v="1"/>
    <n v="1"/>
    <n v="10"/>
    <n v="3"/>
    <x v="1"/>
    <n v="3"/>
    <n v="2"/>
    <n v="1"/>
    <n v="2"/>
    <n v="0"/>
    <x v="1"/>
    <x v="0"/>
    <x v="2"/>
    <n v="1596.3333333333333"/>
  </r>
  <r>
    <n v="29"/>
    <x v="1"/>
    <x v="1"/>
    <n v="2"/>
    <n v="1"/>
    <s v="Life Sciences"/>
    <n v="4"/>
    <x v="0"/>
    <n v="3"/>
    <n v="1"/>
    <x v="2"/>
    <x v="1"/>
    <s v="Married"/>
    <n v="3180"/>
    <n v="0"/>
    <x v="1"/>
    <n v="13"/>
    <n v="3"/>
    <n v="3"/>
    <n v="4"/>
    <n v="3"/>
    <x v="1"/>
    <n v="3"/>
    <n v="2"/>
    <n v="0"/>
    <n v="2"/>
    <n v="0"/>
    <x v="2"/>
    <x v="1"/>
    <x v="2"/>
    <n v="1060"/>
  </r>
  <r>
    <n v="28"/>
    <x v="1"/>
    <x v="1"/>
    <n v="29"/>
    <n v="1"/>
    <s v="Life Sciences"/>
    <n v="3"/>
    <x v="1"/>
    <n v="1"/>
    <n v="2"/>
    <x v="3"/>
    <x v="1"/>
    <s v="Married"/>
    <n v="6549"/>
    <n v="1"/>
    <x v="1"/>
    <n v="14"/>
    <n v="2"/>
    <n v="2"/>
    <n v="8"/>
    <n v="2"/>
    <x v="2"/>
    <n v="8"/>
    <n v="6"/>
    <n v="1"/>
    <n v="7"/>
    <n v="0"/>
    <x v="2"/>
    <x v="0"/>
    <x v="0"/>
    <n v="818.625"/>
  </r>
  <r>
    <n v="33"/>
    <x v="1"/>
    <x v="1"/>
    <n v="8"/>
    <n v="5"/>
    <s v="Life Sciences"/>
    <n v="4"/>
    <x v="1"/>
    <n v="3"/>
    <n v="2"/>
    <x v="4"/>
    <x v="2"/>
    <s v="Single"/>
    <n v="6388"/>
    <n v="2"/>
    <x v="0"/>
    <n v="17"/>
    <n v="1"/>
    <n v="0"/>
    <n v="14"/>
    <n v="6"/>
    <x v="1"/>
    <n v="0"/>
    <n v="0"/>
    <n v="0"/>
    <n v="0"/>
    <n v="0"/>
    <x v="2"/>
    <x v="0"/>
    <x v="1"/>
    <n v="6388"/>
  </r>
  <r>
    <n v="32"/>
    <x v="1"/>
    <x v="1"/>
    <n v="10"/>
    <n v="3"/>
    <s v="Medical"/>
    <n v="3"/>
    <x v="1"/>
    <n v="3"/>
    <n v="3"/>
    <x v="5"/>
    <x v="0"/>
    <s v="Single"/>
    <n v="11244"/>
    <n v="2"/>
    <x v="1"/>
    <n v="25"/>
    <n v="2"/>
    <n v="0"/>
    <n v="10"/>
    <n v="5"/>
    <x v="3"/>
    <n v="5"/>
    <n v="2"/>
    <n v="0"/>
    <n v="0"/>
    <n v="0"/>
    <x v="2"/>
    <x v="2"/>
    <x v="2"/>
    <n v="2248.8000000000002"/>
  </r>
  <r>
    <n v="54"/>
    <x v="1"/>
    <x v="1"/>
    <n v="11"/>
    <n v="4"/>
    <s v="Medical"/>
    <n v="2"/>
    <x v="0"/>
    <n v="3"/>
    <n v="4"/>
    <x v="5"/>
    <x v="0"/>
    <s v="Divorced"/>
    <n v="16032"/>
    <n v="3"/>
    <x v="1"/>
    <n v="20"/>
    <n v="1"/>
    <n v="1"/>
    <n v="26"/>
    <n v="2"/>
    <x v="1"/>
    <n v="14"/>
    <n v="9"/>
    <n v="1"/>
    <n v="12"/>
    <n v="0"/>
    <x v="1"/>
    <x v="2"/>
    <x v="3"/>
    <n v="1145.1428571428571"/>
  </r>
  <r>
    <n v="29"/>
    <x v="0"/>
    <x v="1"/>
    <n v="1"/>
    <n v="4"/>
    <s v="Technical Degree"/>
    <n v="1"/>
    <x v="1"/>
    <n v="2"/>
    <n v="1"/>
    <x v="1"/>
    <x v="3"/>
    <s v="Single"/>
    <n v="2362"/>
    <n v="6"/>
    <x v="1"/>
    <n v="13"/>
    <n v="3"/>
    <n v="0"/>
    <n v="11"/>
    <n v="2"/>
    <x v="0"/>
    <n v="9"/>
    <n v="7"/>
    <n v="0"/>
    <n v="7"/>
    <n v="1"/>
    <x v="2"/>
    <x v="1"/>
    <x v="0"/>
    <n v="262.44444444444446"/>
  </r>
  <r>
    <n v="44"/>
    <x v="1"/>
    <x v="1"/>
    <n v="28"/>
    <n v="3"/>
    <s v="Life Sciences"/>
    <n v="4"/>
    <x v="1"/>
    <n v="3"/>
    <n v="4"/>
    <x v="7"/>
    <x v="3"/>
    <s v="Married"/>
    <n v="16328"/>
    <n v="3"/>
    <x v="1"/>
    <n v="13"/>
    <n v="3"/>
    <n v="1"/>
    <n v="24"/>
    <n v="1"/>
    <x v="3"/>
    <n v="20"/>
    <n v="6"/>
    <n v="14"/>
    <n v="17"/>
    <n v="0"/>
    <x v="0"/>
    <x v="2"/>
    <x v="3"/>
    <n v="816.4"/>
  </r>
  <r>
    <n v="39"/>
    <x v="1"/>
    <x v="1"/>
    <n v="6"/>
    <n v="3"/>
    <s v="Life Sciences"/>
    <n v="2"/>
    <x v="0"/>
    <n v="3"/>
    <n v="3"/>
    <x v="3"/>
    <x v="1"/>
    <s v="Single"/>
    <n v="8376"/>
    <n v="4"/>
    <x v="1"/>
    <n v="18"/>
    <n v="4"/>
    <n v="0"/>
    <n v="9"/>
    <n v="3"/>
    <x v="1"/>
    <n v="2"/>
    <n v="0"/>
    <n v="2"/>
    <n v="2"/>
    <n v="0"/>
    <x v="0"/>
    <x v="0"/>
    <x v="1"/>
    <n v="4188"/>
  </r>
  <r>
    <n v="46"/>
    <x v="1"/>
    <x v="0"/>
    <n v="3"/>
    <n v="3"/>
    <s v="Life Sciences"/>
    <n v="3"/>
    <x v="0"/>
    <n v="3"/>
    <n v="4"/>
    <x v="5"/>
    <x v="1"/>
    <s v="Married"/>
    <n v="16606"/>
    <n v="8"/>
    <x v="1"/>
    <n v="12"/>
    <n v="4"/>
    <n v="1"/>
    <n v="23"/>
    <n v="2"/>
    <x v="3"/>
    <n v="13"/>
    <n v="12"/>
    <n v="5"/>
    <n v="1"/>
    <n v="0"/>
    <x v="1"/>
    <x v="2"/>
    <x v="3"/>
    <n v="1277.3846153846155"/>
  </r>
  <r>
    <n v="35"/>
    <x v="1"/>
    <x v="1"/>
    <n v="16"/>
    <n v="3"/>
    <s v="Life Sciences"/>
    <n v="4"/>
    <x v="0"/>
    <n v="2"/>
    <n v="3"/>
    <x v="4"/>
    <x v="1"/>
    <s v="Single"/>
    <n v="8606"/>
    <n v="1"/>
    <x v="1"/>
    <n v="19"/>
    <n v="4"/>
    <n v="0"/>
    <n v="11"/>
    <n v="3"/>
    <x v="0"/>
    <n v="11"/>
    <n v="8"/>
    <n v="3"/>
    <n v="3"/>
    <n v="0"/>
    <x v="2"/>
    <x v="0"/>
    <x v="3"/>
    <n v="782.36363636363637"/>
  </r>
  <r>
    <n v="23"/>
    <x v="1"/>
    <x v="1"/>
    <n v="20"/>
    <n v="1"/>
    <s v="Life Sciences"/>
    <n v="1"/>
    <x v="1"/>
    <n v="3"/>
    <n v="2"/>
    <x v="2"/>
    <x v="2"/>
    <s v="Single"/>
    <n v="2272"/>
    <n v="0"/>
    <x v="1"/>
    <n v="14"/>
    <n v="2"/>
    <n v="0"/>
    <n v="5"/>
    <n v="2"/>
    <x v="1"/>
    <n v="4"/>
    <n v="3"/>
    <n v="1"/>
    <n v="2"/>
    <n v="0"/>
    <x v="3"/>
    <x v="1"/>
    <x v="2"/>
    <n v="568"/>
  </r>
  <r>
    <n v="40"/>
    <x v="0"/>
    <x v="1"/>
    <n v="9"/>
    <n v="4"/>
    <s v="Life Sciences"/>
    <n v="4"/>
    <x v="1"/>
    <n v="3"/>
    <n v="1"/>
    <x v="2"/>
    <x v="3"/>
    <s v="Single"/>
    <n v="2018"/>
    <n v="3"/>
    <x v="1"/>
    <n v="14"/>
    <n v="2"/>
    <n v="0"/>
    <n v="15"/>
    <n v="3"/>
    <x v="0"/>
    <n v="5"/>
    <n v="4"/>
    <n v="1"/>
    <n v="0"/>
    <n v="1"/>
    <x v="0"/>
    <x v="1"/>
    <x v="2"/>
    <n v="403.6"/>
  </r>
  <r>
    <n v="34"/>
    <x v="1"/>
    <x v="0"/>
    <n v="1"/>
    <n v="3"/>
    <s v="Technical Degree"/>
    <n v="4"/>
    <x v="1"/>
    <n v="2"/>
    <n v="3"/>
    <x v="0"/>
    <x v="2"/>
    <s v="Married"/>
    <n v="7083"/>
    <n v="1"/>
    <x v="0"/>
    <n v="14"/>
    <n v="4"/>
    <n v="0"/>
    <n v="10"/>
    <n v="3"/>
    <x v="1"/>
    <n v="10"/>
    <n v="9"/>
    <n v="8"/>
    <n v="6"/>
    <n v="0"/>
    <x v="2"/>
    <x v="0"/>
    <x v="0"/>
    <n v="708.3"/>
  </r>
  <r>
    <n v="31"/>
    <x v="0"/>
    <x v="1"/>
    <n v="3"/>
    <n v="3"/>
    <s v="Life Sciences"/>
    <n v="4"/>
    <x v="0"/>
    <n v="3"/>
    <n v="1"/>
    <x v="1"/>
    <x v="2"/>
    <s v="Single"/>
    <n v="4084"/>
    <n v="1"/>
    <x v="1"/>
    <n v="12"/>
    <n v="1"/>
    <n v="0"/>
    <n v="7"/>
    <n v="2"/>
    <x v="0"/>
    <n v="7"/>
    <n v="2"/>
    <n v="7"/>
    <n v="7"/>
    <n v="1"/>
    <x v="2"/>
    <x v="0"/>
    <x v="0"/>
    <n v="583.42857142857144"/>
  </r>
  <r>
    <n v="50"/>
    <x v="1"/>
    <x v="1"/>
    <n v="22"/>
    <n v="5"/>
    <s v="Medical"/>
    <n v="3"/>
    <x v="1"/>
    <n v="1"/>
    <n v="4"/>
    <x v="7"/>
    <x v="0"/>
    <s v="Single"/>
    <n v="14411"/>
    <n v="1"/>
    <x v="0"/>
    <n v="13"/>
    <n v="4"/>
    <n v="0"/>
    <n v="32"/>
    <n v="2"/>
    <x v="1"/>
    <n v="32"/>
    <n v="6"/>
    <n v="13"/>
    <n v="9"/>
    <n v="0"/>
    <x v="1"/>
    <x v="2"/>
    <x v="3"/>
    <n v="450.34375"/>
  </r>
  <r>
    <n v="34"/>
    <x v="1"/>
    <x v="0"/>
    <n v="7"/>
    <n v="2"/>
    <s v="Technical Degree"/>
    <n v="2"/>
    <x v="1"/>
    <n v="3"/>
    <n v="1"/>
    <x v="6"/>
    <x v="2"/>
    <s v="Married"/>
    <n v="2308"/>
    <n v="0"/>
    <x v="0"/>
    <n v="25"/>
    <n v="2"/>
    <n v="1"/>
    <n v="12"/>
    <n v="4"/>
    <x v="1"/>
    <n v="11"/>
    <n v="10"/>
    <n v="5"/>
    <n v="7"/>
    <n v="0"/>
    <x v="2"/>
    <x v="1"/>
    <x v="3"/>
    <n v="209.81818181818181"/>
  </r>
  <r>
    <n v="42"/>
    <x v="1"/>
    <x v="1"/>
    <n v="2"/>
    <n v="3"/>
    <s v="Medical"/>
    <n v="3"/>
    <x v="1"/>
    <n v="2"/>
    <n v="1"/>
    <x v="2"/>
    <x v="1"/>
    <s v="Married"/>
    <n v="4841"/>
    <n v="4"/>
    <x v="1"/>
    <n v="14"/>
    <n v="2"/>
    <n v="1"/>
    <n v="4"/>
    <n v="3"/>
    <x v="1"/>
    <n v="1"/>
    <n v="0"/>
    <n v="0"/>
    <n v="0"/>
    <n v="0"/>
    <x v="0"/>
    <x v="0"/>
    <x v="1"/>
    <n v="4841"/>
  </r>
  <r>
    <n v="37"/>
    <x v="1"/>
    <x v="1"/>
    <n v="13"/>
    <n v="3"/>
    <s v="Medical"/>
    <n v="1"/>
    <x v="1"/>
    <n v="3"/>
    <n v="2"/>
    <x v="1"/>
    <x v="0"/>
    <s v="Married"/>
    <n v="4285"/>
    <n v="1"/>
    <x v="1"/>
    <n v="17"/>
    <n v="1"/>
    <n v="0"/>
    <n v="10"/>
    <n v="2"/>
    <x v="1"/>
    <n v="10"/>
    <n v="8"/>
    <n v="3"/>
    <n v="7"/>
    <n v="0"/>
    <x v="0"/>
    <x v="0"/>
    <x v="0"/>
    <n v="428.5"/>
  </r>
  <r>
    <n v="29"/>
    <x v="1"/>
    <x v="1"/>
    <n v="8"/>
    <n v="1"/>
    <s v="Other"/>
    <n v="3"/>
    <x v="0"/>
    <n v="1"/>
    <n v="2"/>
    <x v="4"/>
    <x v="3"/>
    <s v="Married"/>
    <n v="9715"/>
    <n v="3"/>
    <x v="1"/>
    <n v="13"/>
    <n v="3"/>
    <n v="1"/>
    <n v="9"/>
    <n v="3"/>
    <x v="1"/>
    <n v="7"/>
    <n v="7"/>
    <n v="0"/>
    <n v="7"/>
    <n v="0"/>
    <x v="2"/>
    <x v="0"/>
    <x v="0"/>
    <n v="1387.8571428571429"/>
  </r>
  <r>
    <n v="33"/>
    <x v="1"/>
    <x v="1"/>
    <n v="25"/>
    <n v="3"/>
    <s v="Life Sciences"/>
    <n v="4"/>
    <x v="1"/>
    <n v="2"/>
    <n v="2"/>
    <x v="3"/>
    <x v="1"/>
    <s v="Single"/>
    <n v="4320"/>
    <n v="1"/>
    <x v="1"/>
    <n v="13"/>
    <n v="4"/>
    <n v="0"/>
    <n v="5"/>
    <n v="2"/>
    <x v="1"/>
    <n v="5"/>
    <n v="3"/>
    <n v="0"/>
    <n v="2"/>
    <n v="0"/>
    <x v="2"/>
    <x v="0"/>
    <x v="2"/>
    <n v="864"/>
  </r>
  <r>
    <n v="45"/>
    <x v="1"/>
    <x v="1"/>
    <n v="28"/>
    <n v="3"/>
    <s v="Technical Degree"/>
    <n v="4"/>
    <x v="1"/>
    <n v="3"/>
    <n v="1"/>
    <x v="1"/>
    <x v="0"/>
    <s v="Married"/>
    <n v="2132"/>
    <n v="4"/>
    <x v="1"/>
    <n v="20"/>
    <n v="4"/>
    <n v="1"/>
    <n v="8"/>
    <n v="3"/>
    <x v="1"/>
    <n v="5"/>
    <n v="4"/>
    <n v="0"/>
    <n v="3"/>
    <n v="0"/>
    <x v="0"/>
    <x v="1"/>
    <x v="2"/>
    <n v="426.4"/>
  </r>
  <r>
    <n v="42"/>
    <x v="1"/>
    <x v="1"/>
    <n v="2"/>
    <n v="3"/>
    <s v="Life Sciences"/>
    <n v="4"/>
    <x v="1"/>
    <n v="3"/>
    <n v="3"/>
    <x v="4"/>
    <x v="0"/>
    <s v="Married"/>
    <n v="10124"/>
    <n v="2"/>
    <x v="0"/>
    <n v="14"/>
    <n v="3"/>
    <n v="1"/>
    <n v="24"/>
    <n v="3"/>
    <x v="0"/>
    <n v="20"/>
    <n v="8"/>
    <n v="13"/>
    <n v="9"/>
    <n v="0"/>
    <x v="0"/>
    <x v="2"/>
    <x v="3"/>
    <n v="506.2"/>
  </r>
  <r>
    <n v="40"/>
    <x v="1"/>
    <x v="0"/>
    <n v="9"/>
    <n v="2"/>
    <s v="Medical"/>
    <n v="1"/>
    <x v="1"/>
    <n v="3"/>
    <n v="2"/>
    <x v="0"/>
    <x v="3"/>
    <s v="Married"/>
    <n v="5473"/>
    <n v="0"/>
    <x v="1"/>
    <n v="12"/>
    <n v="4"/>
    <n v="0"/>
    <n v="9"/>
    <n v="5"/>
    <x v="3"/>
    <n v="8"/>
    <n v="4"/>
    <n v="7"/>
    <n v="1"/>
    <n v="0"/>
    <x v="0"/>
    <x v="0"/>
    <x v="0"/>
    <n v="684.125"/>
  </r>
  <r>
    <n v="33"/>
    <x v="1"/>
    <x v="1"/>
    <n v="28"/>
    <n v="4"/>
    <s v="Life Sciences"/>
    <n v="2"/>
    <x v="1"/>
    <n v="3"/>
    <n v="2"/>
    <x v="2"/>
    <x v="2"/>
    <s v="Married"/>
    <n v="5207"/>
    <n v="1"/>
    <x v="0"/>
    <n v="12"/>
    <n v="2"/>
    <n v="1"/>
    <n v="15"/>
    <n v="3"/>
    <x v="1"/>
    <n v="15"/>
    <n v="14"/>
    <n v="5"/>
    <n v="7"/>
    <n v="0"/>
    <x v="2"/>
    <x v="0"/>
    <x v="3"/>
    <n v="347.13333333333333"/>
  </r>
  <r>
    <n v="40"/>
    <x v="1"/>
    <x v="2"/>
    <n v="6"/>
    <n v="2"/>
    <s v="Medical"/>
    <n v="3"/>
    <x v="1"/>
    <n v="3"/>
    <n v="4"/>
    <x v="5"/>
    <x v="0"/>
    <s v="Single"/>
    <n v="16437"/>
    <n v="1"/>
    <x v="0"/>
    <n v="21"/>
    <n v="4"/>
    <n v="0"/>
    <n v="21"/>
    <n v="2"/>
    <x v="1"/>
    <n v="21"/>
    <n v="7"/>
    <n v="7"/>
    <n v="7"/>
    <n v="0"/>
    <x v="0"/>
    <x v="2"/>
    <x v="3"/>
    <n v="782.71428571428567"/>
  </r>
  <r>
    <n v="24"/>
    <x v="1"/>
    <x v="1"/>
    <n v="21"/>
    <n v="2"/>
    <s v="Technical Degree"/>
    <n v="3"/>
    <x v="1"/>
    <n v="2"/>
    <n v="1"/>
    <x v="2"/>
    <x v="3"/>
    <s v="Divorced"/>
    <n v="2296"/>
    <n v="0"/>
    <x v="1"/>
    <n v="14"/>
    <n v="2"/>
    <n v="3"/>
    <n v="2"/>
    <n v="3"/>
    <x v="1"/>
    <n v="1"/>
    <n v="1"/>
    <n v="0"/>
    <n v="0"/>
    <n v="0"/>
    <x v="3"/>
    <x v="1"/>
    <x v="1"/>
    <n v="2296"/>
  </r>
  <r>
    <n v="40"/>
    <x v="1"/>
    <x v="1"/>
    <n v="8"/>
    <n v="2"/>
    <s v="Life Sciences"/>
    <n v="4"/>
    <x v="1"/>
    <n v="3"/>
    <n v="2"/>
    <x v="4"/>
    <x v="0"/>
    <s v="Divorced"/>
    <n v="4069"/>
    <n v="3"/>
    <x v="0"/>
    <n v="18"/>
    <n v="3"/>
    <n v="0"/>
    <n v="8"/>
    <n v="2"/>
    <x v="1"/>
    <n v="2"/>
    <n v="2"/>
    <n v="2"/>
    <n v="2"/>
    <n v="0"/>
    <x v="0"/>
    <x v="0"/>
    <x v="1"/>
    <n v="2034.5"/>
  </r>
  <r>
    <n v="45"/>
    <x v="1"/>
    <x v="1"/>
    <n v="1"/>
    <n v="4"/>
    <s v="Technical Degree"/>
    <n v="1"/>
    <x v="1"/>
    <n v="3"/>
    <n v="3"/>
    <x v="4"/>
    <x v="1"/>
    <s v="Divorced"/>
    <n v="7441"/>
    <n v="1"/>
    <x v="1"/>
    <n v="12"/>
    <n v="1"/>
    <n v="3"/>
    <n v="10"/>
    <n v="4"/>
    <x v="1"/>
    <n v="10"/>
    <n v="8"/>
    <n v="7"/>
    <n v="7"/>
    <n v="0"/>
    <x v="0"/>
    <x v="0"/>
    <x v="0"/>
    <n v="744.1"/>
  </r>
  <r>
    <n v="35"/>
    <x v="1"/>
    <x v="0"/>
    <n v="28"/>
    <n v="4"/>
    <s v="Life Sciences"/>
    <n v="2"/>
    <x v="0"/>
    <n v="2"/>
    <n v="1"/>
    <x v="6"/>
    <x v="2"/>
    <s v="Married"/>
    <n v="2430"/>
    <n v="0"/>
    <x v="1"/>
    <n v="23"/>
    <n v="1"/>
    <n v="2"/>
    <n v="6"/>
    <n v="5"/>
    <x v="1"/>
    <n v="5"/>
    <n v="3"/>
    <n v="4"/>
    <n v="2"/>
    <n v="0"/>
    <x v="2"/>
    <x v="1"/>
    <x v="2"/>
    <n v="486"/>
  </r>
  <r>
    <n v="32"/>
    <x v="1"/>
    <x v="1"/>
    <n v="5"/>
    <n v="2"/>
    <s v="Life Sciences"/>
    <n v="4"/>
    <x v="0"/>
    <n v="2"/>
    <n v="2"/>
    <x v="1"/>
    <x v="1"/>
    <s v="Married"/>
    <n v="5878"/>
    <n v="3"/>
    <x v="1"/>
    <n v="12"/>
    <n v="1"/>
    <n v="1"/>
    <n v="12"/>
    <n v="2"/>
    <x v="1"/>
    <n v="7"/>
    <n v="1"/>
    <n v="2"/>
    <n v="5"/>
    <n v="0"/>
    <x v="2"/>
    <x v="0"/>
    <x v="0"/>
    <n v="839.71428571428567"/>
  </r>
  <r>
    <n v="36"/>
    <x v="1"/>
    <x v="0"/>
    <n v="2"/>
    <n v="4"/>
    <s v="Life Sciences"/>
    <n v="3"/>
    <x v="1"/>
    <n v="3"/>
    <n v="1"/>
    <x v="6"/>
    <x v="0"/>
    <s v="Single"/>
    <n v="2644"/>
    <n v="3"/>
    <x v="0"/>
    <n v="21"/>
    <n v="4"/>
    <n v="0"/>
    <n v="7"/>
    <n v="3"/>
    <x v="2"/>
    <n v="3"/>
    <n v="2"/>
    <n v="1"/>
    <n v="2"/>
    <n v="0"/>
    <x v="0"/>
    <x v="1"/>
    <x v="2"/>
    <n v="881.33333333333337"/>
  </r>
  <r>
    <n v="48"/>
    <x v="1"/>
    <x v="0"/>
    <n v="16"/>
    <n v="4"/>
    <s v="Life Sciences"/>
    <n v="3"/>
    <x v="0"/>
    <n v="3"/>
    <n v="2"/>
    <x v="0"/>
    <x v="2"/>
    <s v="Divorced"/>
    <n v="6439"/>
    <n v="8"/>
    <x v="1"/>
    <n v="14"/>
    <n v="3"/>
    <n v="1"/>
    <n v="18"/>
    <n v="2"/>
    <x v="1"/>
    <n v="8"/>
    <n v="7"/>
    <n v="7"/>
    <n v="7"/>
    <n v="0"/>
    <x v="1"/>
    <x v="0"/>
    <x v="0"/>
    <n v="804.875"/>
  </r>
  <r>
    <n v="29"/>
    <x v="1"/>
    <x v="1"/>
    <n v="9"/>
    <n v="3"/>
    <s v="Life Sciences"/>
    <n v="3"/>
    <x v="1"/>
    <n v="4"/>
    <n v="1"/>
    <x v="1"/>
    <x v="2"/>
    <s v="Married"/>
    <n v="2451"/>
    <n v="6"/>
    <x v="1"/>
    <n v="18"/>
    <n v="1"/>
    <n v="2"/>
    <n v="5"/>
    <n v="2"/>
    <x v="2"/>
    <n v="1"/>
    <n v="0"/>
    <n v="0"/>
    <n v="0"/>
    <n v="0"/>
    <x v="2"/>
    <x v="1"/>
    <x v="1"/>
    <n v="2451"/>
  </r>
  <r>
    <n v="33"/>
    <x v="1"/>
    <x v="0"/>
    <n v="8"/>
    <n v="4"/>
    <s v="Life Sciences"/>
    <n v="1"/>
    <x v="1"/>
    <n v="3"/>
    <n v="2"/>
    <x v="0"/>
    <x v="3"/>
    <s v="Married"/>
    <n v="6392"/>
    <n v="2"/>
    <x v="1"/>
    <n v="13"/>
    <n v="4"/>
    <n v="1"/>
    <n v="8"/>
    <n v="6"/>
    <x v="0"/>
    <n v="2"/>
    <n v="2"/>
    <n v="2"/>
    <n v="2"/>
    <n v="0"/>
    <x v="2"/>
    <x v="0"/>
    <x v="1"/>
    <n v="3196"/>
  </r>
  <r>
    <n v="30"/>
    <x v="0"/>
    <x v="0"/>
    <n v="1"/>
    <n v="3"/>
    <s v="Life Sciences"/>
    <n v="2"/>
    <x v="1"/>
    <n v="2"/>
    <n v="2"/>
    <x v="0"/>
    <x v="3"/>
    <s v="Married"/>
    <n v="9714"/>
    <n v="1"/>
    <x v="1"/>
    <n v="11"/>
    <n v="4"/>
    <n v="1"/>
    <n v="10"/>
    <n v="4"/>
    <x v="1"/>
    <n v="10"/>
    <n v="8"/>
    <n v="6"/>
    <n v="7"/>
    <n v="1"/>
    <x v="2"/>
    <x v="0"/>
    <x v="0"/>
    <n v="971.4"/>
  </r>
  <r>
    <n v="38"/>
    <x v="1"/>
    <x v="2"/>
    <n v="10"/>
    <n v="4"/>
    <s v="Human Resources"/>
    <n v="3"/>
    <x v="1"/>
    <n v="3"/>
    <n v="2"/>
    <x v="8"/>
    <x v="2"/>
    <s v="Married"/>
    <n v="6077"/>
    <n v="3"/>
    <x v="1"/>
    <n v="11"/>
    <n v="3"/>
    <n v="0"/>
    <n v="10"/>
    <n v="2"/>
    <x v="1"/>
    <n v="6"/>
    <n v="3"/>
    <n v="1"/>
    <n v="2"/>
    <n v="0"/>
    <x v="0"/>
    <x v="0"/>
    <x v="0"/>
    <n v="1012.8333333333334"/>
  </r>
  <r>
    <n v="35"/>
    <x v="1"/>
    <x v="1"/>
    <n v="1"/>
    <n v="3"/>
    <s v="Medical"/>
    <n v="4"/>
    <x v="1"/>
    <n v="2"/>
    <n v="1"/>
    <x v="2"/>
    <x v="3"/>
    <s v="Single"/>
    <n v="2450"/>
    <n v="1"/>
    <x v="1"/>
    <n v="19"/>
    <n v="2"/>
    <n v="0"/>
    <n v="3"/>
    <n v="3"/>
    <x v="1"/>
    <n v="3"/>
    <n v="0"/>
    <n v="1"/>
    <n v="2"/>
    <n v="0"/>
    <x v="2"/>
    <x v="1"/>
    <x v="2"/>
    <n v="816.66666666666663"/>
  </r>
  <r>
    <n v="30"/>
    <x v="1"/>
    <x v="0"/>
    <n v="29"/>
    <n v="4"/>
    <s v="Technical Degree"/>
    <n v="3"/>
    <x v="1"/>
    <n v="3"/>
    <n v="3"/>
    <x v="0"/>
    <x v="1"/>
    <s v="Married"/>
    <n v="9250"/>
    <n v="3"/>
    <x v="1"/>
    <n v="12"/>
    <n v="2"/>
    <n v="1"/>
    <n v="9"/>
    <n v="3"/>
    <x v="1"/>
    <n v="4"/>
    <n v="2"/>
    <n v="1"/>
    <n v="3"/>
    <n v="0"/>
    <x v="2"/>
    <x v="0"/>
    <x v="2"/>
    <n v="2312.5"/>
  </r>
  <r>
    <n v="35"/>
    <x v="0"/>
    <x v="1"/>
    <n v="2"/>
    <n v="3"/>
    <s v="Life Sciences"/>
    <n v="1"/>
    <x v="0"/>
    <n v="3"/>
    <n v="1"/>
    <x v="2"/>
    <x v="3"/>
    <s v="Divorced"/>
    <n v="2074"/>
    <n v="1"/>
    <x v="0"/>
    <n v="12"/>
    <n v="4"/>
    <n v="1"/>
    <n v="1"/>
    <n v="2"/>
    <x v="1"/>
    <n v="1"/>
    <n v="0"/>
    <n v="0"/>
    <n v="0"/>
    <n v="1"/>
    <x v="2"/>
    <x v="1"/>
    <x v="1"/>
    <n v="2074"/>
  </r>
  <r>
    <n v="53"/>
    <x v="0"/>
    <x v="1"/>
    <n v="2"/>
    <n v="5"/>
    <s v="Technical Degree"/>
    <n v="3"/>
    <x v="0"/>
    <n v="2"/>
    <n v="3"/>
    <x v="3"/>
    <x v="0"/>
    <s v="Married"/>
    <n v="10169"/>
    <n v="0"/>
    <x v="1"/>
    <n v="16"/>
    <n v="2"/>
    <n v="1"/>
    <n v="34"/>
    <n v="4"/>
    <x v="1"/>
    <n v="33"/>
    <n v="7"/>
    <n v="1"/>
    <n v="9"/>
    <n v="1"/>
    <x v="1"/>
    <x v="2"/>
    <x v="3"/>
    <n v="308.15151515151513"/>
  </r>
  <r>
    <n v="38"/>
    <x v="0"/>
    <x v="1"/>
    <n v="2"/>
    <n v="3"/>
    <s v="Medical"/>
    <n v="3"/>
    <x v="1"/>
    <n v="3"/>
    <n v="2"/>
    <x v="3"/>
    <x v="1"/>
    <s v="Married"/>
    <n v="4855"/>
    <n v="4"/>
    <x v="1"/>
    <n v="11"/>
    <n v="1"/>
    <n v="2"/>
    <n v="7"/>
    <n v="2"/>
    <x v="1"/>
    <n v="5"/>
    <n v="2"/>
    <n v="1"/>
    <n v="4"/>
    <n v="1"/>
    <x v="0"/>
    <x v="0"/>
    <x v="2"/>
    <n v="971"/>
  </r>
  <r>
    <n v="32"/>
    <x v="1"/>
    <x v="1"/>
    <n v="1"/>
    <n v="4"/>
    <s v="Technical Degree"/>
    <n v="4"/>
    <x v="1"/>
    <n v="3"/>
    <n v="2"/>
    <x v="1"/>
    <x v="3"/>
    <s v="Married"/>
    <n v="4087"/>
    <n v="4"/>
    <x v="1"/>
    <n v="14"/>
    <n v="2"/>
    <n v="1"/>
    <n v="9"/>
    <n v="3"/>
    <x v="2"/>
    <n v="6"/>
    <n v="5"/>
    <n v="1"/>
    <n v="2"/>
    <n v="0"/>
    <x v="2"/>
    <x v="0"/>
    <x v="0"/>
    <n v="681.16666666666663"/>
  </r>
  <r>
    <n v="48"/>
    <x v="1"/>
    <x v="1"/>
    <n v="15"/>
    <n v="4"/>
    <s v="Other"/>
    <n v="3"/>
    <x v="0"/>
    <n v="3"/>
    <n v="1"/>
    <x v="1"/>
    <x v="3"/>
    <s v="Married"/>
    <n v="2367"/>
    <n v="8"/>
    <x v="1"/>
    <n v="12"/>
    <n v="4"/>
    <n v="1"/>
    <n v="10"/>
    <n v="3"/>
    <x v="2"/>
    <n v="8"/>
    <n v="2"/>
    <n v="7"/>
    <n v="6"/>
    <n v="0"/>
    <x v="1"/>
    <x v="1"/>
    <x v="0"/>
    <n v="295.875"/>
  </r>
  <r>
    <n v="34"/>
    <x v="1"/>
    <x v="1"/>
    <n v="7"/>
    <n v="4"/>
    <s v="Medical"/>
    <n v="1"/>
    <x v="1"/>
    <n v="3"/>
    <n v="1"/>
    <x v="1"/>
    <x v="0"/>
    <s v="Single"/>
    <n v="2972"/>
    <n v="1"/>
    <x v="1"/>
    <n v="13"/>
    <n v="3"/>
    <n v="0"/>
    <n v="1"/>
    <n v="4"/>
    <x v="0"/>
    <n v="1"/>
    <n v="0"/>
    <n v="0"/>
    <n v="0"/>
    <n v="0"/>
    <x v="2"/>
    <x v="1"/>
    <x v="1"/>
    <n v="2972"/>
  </r>
  <r>
    <n v="55"/>
    <x v="1"/>
    <x v="0"/>
    <n v="26"/>
    <n v="5"/>
    <s v="Marketing"/>
    <n v="3"/>
    <x v="1"/>
    <n v="2"/>
    <n v="5"/>
    <x v="5"/>
    <x v="0"/>
    <s v="Married"/>
    <n v="19586"/>
    <n v="1"/>
    <x v="1"/>
    <n v="21"/>
    <n v="3"/>
    <n v="1"/>
    <n v="36"/>
    <n v="3"/>
    <x v="1"/>
    <n v="36"/>
    <n v="6"/>
    <n v="2"/>
    <n v="13"/>
    <n v="0"/>
    <x v="1"/>
    <x v="2"/>
    <x v="3"/>
    <n v="544.05555555555554"/>
  </r>
  <r>
    <n v="34"/>
    <x v="1"/>
    <x v="1"/>
    <n v="1"/>
    <n v="4"/>
    <s v="Life Sciences"/>
    <n v="2"/>
    <x v="1"/>
    <n v="3"/>
    <n v="2"/>
    <x v="1"/>
    <x v="0"/>
    <s v="Married"/>
    <n v="5484"/>
    <n v="9"/>
    <x v="1"/>
    <n v="17"/>
    <n v="2"/>
    <n v="1"/>
    <n v="9"/>
    <n v="3"/>
    <x v="2"/>
    <n v="2"/>
    <n v="2"/>
    <n v="2"/>
    <n v="1"/>
    <n v="0"/>
    <x v="2"/>
    <x v="0"/>
    <x v="1"/>
    <n v="2742"/>
  </r>
  <r>
    <n v="26"/>
    <x v="1"/>
    <x v="1"/>
    <n v="3"/>
    <n v="3"/>
    <s v="Life Sciences"/>
    <n v="1"/>
    <x v="0"/>
    <n v="3"/>
    <n v="1"/>
    <x v="1"/>
    <x v="0"/>
    <s v="Married"/>
    <n v="2061"/>
    <n v="1"/>
    <x v="1"/>
    <n v="21"/>
    <n v="1"/>
    <n v="0"/>
    <n v="1"/>
    <n v="5"/>
    <x v="1"/>
    <n v="1"/>
    <n v="0"/>
    <n v="0"/>
    <n v="0"/>
    <n v="0"/>
    <x v="2"/>
    <x v="1"/>
    <x v="1"/>
    <n v="2061"/>
  </r>
  <r>
    <n v="38"/>
    <x v="1"/>
    <x v="0"/>
    <n v="14"/>
    <n v="3"/>
    <s v="Life Sciences"/>
    <n v="3"/>
    <x v="1"/>
    <n v="3"/>
    <n v="2"/>
    <x v="0"/>
    <x v="1"/>
    <s v="Married"/>
    <n v="9924"/>
    <n v="0"/>
    <x v="1"/>
    <n v="11"/>
    <n v="4"/>
    <n v="1"/>
    <n v="10"/>
    <n v="3"/>
    <x v="1"/>
    <n v="9"/>
    <n v="8"/>
    <n v="7"/>
    <n v="7"/>
    <n v="0"/>
    <x v="0"/>
    <x v="0"/>
    <x v="0"/>
    <n v="1102.6666666666667"/>
  </r>
  <r>
    <n v="38"/>
    <x v="1"/>
    <x v="0"/>
    <n v="16"/>
    <n v="3"/>
    <s v="Life Sciences"/>
    <n v="2"/>
    <x v="0"/>
    <n v="3"/>
    <n v="2"/>
    <x v="0"/>
    <x v="1"/>
    <s v="Single"/>
    <n v="4198"/>
    <n v="2"/>
    <x v="1"/>
    <n v="12"/>
    <n v="2"/>
    <n v="0"/>
    <n v="8"/>
    <n v="5"/>
    <x v="3"/>
    <n v="3"/>
    <n v="2"/>
    <n v="1"/>
    <n v="2"/>
    <n v="0"/>
    <x v="0"/>
    <x v="0"/>
    <x v="2"/>
    <n v="1399.3333333333333"/>
  </r>
  <r>
    <n v="36"/>
    <x v="1"/>
    <x v="0"/>
    <n v="1"/>
    <n v="4"/>
    <s v="Life Sciences"/>
    <n v="2"/>
    <x v="0"/>
    <n v="3"/>
    <n v="2"/>
    <x v="0"/>
    <x v="2"/>
    <s v="Single"/>
    <n v="6815"/>
    <n v="6"/>
    <x v="1"/>
    <n v="13"/>
    <n v="1"/>
    <n v="0"/>
    <n v="15"/>
    <n v="5"/>
    <x v="1"/>
    <n v="1"/>
    <n v="0"/>
    <n v="0"/>
    <n v="0"/>
    <n v="0"/>
    <x v="0"/>
    <x v="0"/>
    <x v="1"/>
    <n v="6815"/>
  </r>
  <r>
    <n v="29"/>
    <x v="1"/>
    <x v="1"/>
    <n v="3"/>
    <n v="1"/>
    <s v="Medical"/>
    <n v="2"/>
    <x v="1"/>
    <n v="3"/>
    <n v="1"/>
    <x v="2"/>
    <x v="3"/>
    <s v="Single"/>
    <n v="4723"/>
    <n v="1"/>
    <x v="0"/>
    <n v="18"/>
    <n v="4"/>
    <n v="0"/>
    <n v="10"/>
    <n v="3"/>
    <x v="1"/>
    <n v="10"/>
    <n v="9"/>
    <n v="1"/>
    <n v="5"/>
    <n v="0"/>
    <x v="2"/>
    <x v="0"/>
    <x v="0"/>
    <n v="472.3"/>
  </r>
  <r>
    <n v="35"/>
    <x v="1"/>
    <x v="1"/>
    <n v="10"/>
    <n v="4"/>
    <s v="Medical"/>
    <n v="1"/>
    <x v="0"/>
    <n v="3"/>
    <n v="2"/>
    <x v="4"/>
    <x v="2"/>
    <s v="Single"/>
    <n v="6142"/>
    <n v="3"/>
    <x v="0"/>
    <n v="16"/>
    <n v="3"/>
    <n v="0"/>
    <n v="10"/>
    <n v="4"/>
    <x v="1"/>
    <n v="5"/>
    <n v="2"/>
    <n v="0"/>
    <n v="4"/>
    <n v="0"/>
    <x v="2"/>
    <x v="0"/>
    <x v="2"/>
    <n v="1228.4000000000001"/>
  </r>
  <r>
    <n v="39"/>
    <x v="1"/>
    <x v="0"/>
    <n v="6"/>
    <n v="3"/>
    <s v="Medical"/>
    <n v="4"/>
    <x v="1"/>
    <n v="4"/>
    <n v="3"/>
    <x v="0"/>
    <x v="2"/>
    <s v="Married"/>
    <n v="8237"/>
    <n v="2"/>
    <x v="1"/>
    <n v="11"/>
    <n v="1"/>
    <n v="1"/>
    <n v="11"/>
    <n v="3"/>
    <x v="1"/>
    <n v="7"/>
    <n v="6"/>
    <n v="7"/>
    <n v="6"/>
    <n v="0"/>
    <x v="0"/>
    <x v="0"/>
    <x v="0"/>
    <n v="1176.7142857142858"/>
  </r>
  <r>
    <n v="29"/>
    <x v="1"/>
    <x v="1"/>
    <n v="2"/>
    <n v="1"/>
    <s v="Life Sciences"/>
    <n v="1"/>
    <x v="1"/>
    <n v="3"/>
    <n v="2"/>
    <x v="4"/>
    <x v="0"/>
    <s v="Divorced"/>
    <n v="8853"/>
    <n v="1"/>
    <x v="1"/>
    <n v="19"/>
    <n v="4"/>
    <n v="1"/>
    <n v="6"/>
    <n v="0"/>
    <x v="3"/>
    <n v="6"/>
    <n v="4"/>
    <n v="1"/>
    <n v="3"/>
    <n v="0"/>
    <x v="2"/>
    <x v="0"/>
    <x v="0"/>
    <n v="1475.5"/>
  </r>
  <r>
    <n v="50"/>
    <x v="1"/>
    <x v="0"/>
    <n v="9"/>
    <n v="3"/>
    <s v="Marketing"/>
    <n v="3"/>
    <x v="1"/>
    <n v="3"/>
    <n v="5"/>
    <x v="5"/>
    <x v="2"/>
    <s v="Married"/>
    <n v="19331"/>
    <n v="4"/>
    <x v="0"/>
    <n v="16"/>
    <n v="3"/>
    <n v="1"/>
    <n v="27"/>
    <n v="2"/>
    <x v="1"/>
    <n v="1"/>
    <n v="0"/>
    <n v="0"/>
    <n v="0"/>
    <n v="0"/>
    <x v="1"/>
    <x v="2"/>
    <x v="1"/>
    <n v="19331"/>
  </r>
  <r>
    <n v="23"/>
    <x v="1"/>
    <x v="1"/>
    <n v="10"/>
    <n v="3"/>
    <s v="Technical Degree"/>
    <n v="4"/>
    <x v="1"/>
    <n v="4"/>
    <n v="1"/>
    <x v="1"/>
    <x v="2"/>
    <s v="Married"/>
    <n v="2073"/>
    <n v="2"/>
    <x v="1"/>
    <n v="16"/>
    <n v="4"/>
    <n v="1"/>
    <n v="4"/>
    <n v="2"/>
    <x v="1"/>
    <n v="2"/>
    <n v="2"/>
    <n v="2"/>
    <n v="2"/>
    <n v="0"/>
    <x v="3"/>
    <x v="1"/>
    <x v="1"/>
    <n v="1036.5"/>
  </r>
  <r>
    <n v="36"/>
    <x v="1"/>
    <x v="1"/>
    <n v="6"/>
    <n v="4"/>
    <s v="Life Sciences"/>
    <n v="1"/>
    <x v="1"/>
    <n v="4"/>
    <n v="2"/>
    <x v="2"/>
    <x v="3"/>
    <s v="Married"/>
    <n v="5562"/>
    <n v="3"/>
    <x v="0"/>
    <n v="13"/>
    <n v="4"/>
    <n v="1"/>
    <n v="9"/>
    <n v="3"/>
    <x v="1"/>
    <n v="3"/>
    <n v="2"/>
    <n v="0"/>
    <n v="2"/>
    <n v="0"/>
    <x v="0"/>
    <x v="0"/>
    <x v="2"/>
    <n v="1854"/>
  </r>
  <r>
    <n v="42"/>
    <x v="1"/>
    <x v="1"/>
    <n v="9"/>
    <n v="2"/>
    <s v="Other"/>
    <n v="4"/>
    <x v="1"/>
    <n v="2"/>
    <n v="5"/>
    <x v="5"/>
    <x v="0"/>
    <s v="Single"/>
    <n v="19613"/>
    <n v="8"/>
    <x v="1"/>
    <n v="22"/>
    <n v="4"/>
    <n v="0"/>
    <n v="24"/>
    <n v="2"/>
    <x v="1"/>
    <n v="1"/>
    <n v="0"/>
    <n v="0"/>
    <n v="1"/>
    <n v="0"/>
    <x v="0"/>
    <x v="2"/>
    <x v="1"/>
    <n v="19613"/>
  </r>
  <r>
    <n v="35"/>
    <x v="1"/>
    <x v="1"/>
    <n v="28"/>
    <n v="3"/>
    <s v="Life Sciences"/>
    <n v="2"/>
    <x v="1"/>
    <n v="4"/>
    <n v="2"/>
    <x v="2"/>
    <x v="2"/>
    <s v="Married"/>
    <n v="3407"/>
    <n v="1"/>
    <x v="1"/>
    <n v="17"/>
    <n v="4"/>
    <n v="2"/>
    <n v="10"/>
    <n v="3"/>
    <x v="2"/>
    <n v="10"/>
    <n v="9"/>
    <n v="6"/>
    <n v="8"/>
    <n v="0"/>
    <x v="2"/>
    <x v="1"/>
    <x v="0"/>
    <n v="340.7"/>
  </r>
  <r>
    <n v="34"/>
    <x v="1"/>
    <x v="1"/>
    <n v="10"/>
    <n v="4"/>
    <s v="Technical Degree"/>
    <n v="4"/>
    <x v="1"/>
    <n v="2"/>
    <n v="2"/>
    <x v="4"/>
    <x v="2"/>
    <s v="Married"/>
    <n v="5063"/>
    <n v="1"/>
    <x v="1"/>
    <n v="14"/>
    <n v="2"/>
    <n v="1"/>
    <n v="8"/>
    <n v="3"/>
    <x v="2"/>
    <n v="8"/>
    <n v="2"/>
    <n v="7"/>
    <n v="7"/>
    <n v="0"/>
    <x v="2"/>
    <x v="0"/>
    <x v="0"/>
    <n v="632.875"/>
  </r>
  <r>
    <n v="40"/>
    <x v="1"/>
    <x v="0"/>
    <n v="14"/>
    <n v="2"/>
    <s v="Life Sciences"/>
    <n v="4"/>
    <x v="0"/>
    <n v="3"/>
    <n v="2"/>
    <x v="0"/>
    <x v="3"/>
    <s v="Married"/>
    <n v="4639"/>
    <n v="1"/>
    <x v="1"/>
    <n v="15"/>
    <n v="3"/>
    <n v="1"/>
    <n v="5"/>
    <n v="2"/>
    <x v="1"/>
    <n v="5"/>
    <n v="4"/>
    <n v="1"/>
    <n v="2"/>
    <n v="0"/>
    <x v="0"/>
    <x v="0"/>
    <x v="2"/>
    <n v="927.8"/>
  </r>
  <r>
    <n v="43"/>
    <x v="1"/>
    <x v="1"/>
    <n v="27"/>
    <n v="3"/>
    <s v="Technical Degree"/>
    <n v="4"/>
    <x v="1"/>
    <n v="4"/>
    <n v="1"/>
    <x v="2"/>
    <x v="1"/>
    <s v="Divorced"/>
    <n v="4876"/>
    <n v="5"/>
    <x v="1"/>
    <n v="12"/>
    <n v="3"/>
    <n v="1"/>
    <n v="8"/>
    <n v="0"/>
    <x v="1"/>
    <n v="6"/>
    <n v="4"/>
    <n v="0"/>
    <n v="2"/>
    <n v="0"/>
    <x v="0"/>
    <x v="0"/>
    <x v="0"/>
    <n v="812.66666666666663"/>
  </r>
  <r>
    <n v="35"/>
    <x v="1"/>
    <x v="1"/>
    <n v="7"/>
    <n v="2"/>
    <s v="Life Sciences"/>
    <n v="3"/>
    <x v="1"/>
    <n v="2"/>
    <n v="1"/>
    <x v="2"/>
    <x v="0"/>
    <s v="Married"/>
    <n v="2690"/>
    <n v="1"/>
    <x v="1"/>
    <n v="18"/>
    <n v="4"/>
    <n v="1"/>
    <n v="1"/>
    <n v="5"/>
    <x v="2"/>
    <n v="1"/>
    <n v="0"/>
    <n v="0"/>
    <n v="1"/>
    <n v="0"/>
    <x v="2"/>
    <x v="1"/>
    <x v="1"/>
    <n v="2690"/>
  </r>
  <r>
    <n v="46"/>
    <x v="1"/>
    <x v="0"/>
    <n v="1"/>
    <n v="4"/>
    <s v="Life Sciences"/>
    <n v="4"/>
    <x v="1"/>
    <n v="4"/>
    <n v="4"/>
    <x v="5"/>
    <x v="3"/>
    <s v="Single"/>
    <n v="17567"/>
    <n v="1"/>
    <x v="1"/>
    <n v="15"/>
    <n v="2"/>
    <n v="0"/>
    <n v="27"/>
    <n v="5"/>
    <x v="0"/>
    <n v="26"/>
    <n v="0"/>
    <n v="0"/>
    <n v="12"/>
    <n v="0"/>
    <x v="1"/>
    <x v="2"/>
    <x v="3"/>
    <n v="675.65384615384619"/>
  </r>
  <r>
    <n v="28"/>
    <x v="0"/>
    <x v="1"/>
    <n v="24"/>
    <n v="3"/>
    <s v="Medical"/>
    <n v="3"/>
    <x v="1"/>
    <n v="3"/>
    <n v="1"/>
    <x v="2"/>
    <x v="1"/>
    <s v="Married"/>
    <n v="2408"/>
    <n v="1"/>
    <x v="0"/>
    <n v="17"/>
    <n v="3"/>
    <n v="3"/>
    <n v="1"/>
    <n v="3"/>
    <x v="1"/>
    <n v="1"/>
    <n v="1"/>
    <n v="0"/>
    <n v="0"/>
    <n v="1"/>
    <x v="2"/>
    <x v="1"/>
    <x v="1"/>
    <n v="2408"/>
  </r>
  <r>
    <n v="22"/>
    <x v="1"/>
    <x v="1"/>
    <n v="26"/>
    <n v="2"/>
    <s v="Other"/>
    <n v="2"/>
    <x v="0"/>
    <n v="2"/>
    <n v="1"/>
    <x v="1"/>
    <x v="2"/>
    <s v="Married"/>
    <n v="2814"/>
    <n v="1"/>
    <x v="0"/>
    <n v="14"/>
    <n v="2"/>
    <n v="0"/>
    <n v="4"/>
    <n v="2"/>
    <x v="2"/>
    <n v="4"/>
    <n v="2"/>
    <n v="1"/>
    <n v="3"/>
    <n v="0"/>
    <x v="3"/>
    <x v="1"/>
    <x v="2"/>
    <n v="703.5"/>
  </r>
  <r>
    <n v="50"/>
    <x v="1"/>
    <x v="1"/>
    <n v="20"/>
    <n v="5"/>
    <s v="Medical"/>
    <n v="2"/>
    <x v="1"/>
    <n v="3"/>
    <n v="4"/>
    <x v="4"/>
    <x v="2"/>
    <s v="Married"/>
    <n v="11245"/>
    <n v="2"/>
    <x v="0"/>
    <n v="15"/>
    <n v="3"/>
    <n v="1"/>
    <n v="32"/>
    <n v="3"/>
    <x v="1"/>
    <n v="30"/>
    <n v="8"/>
    <n v="12"/>
    <n v="13"/>
    <n v="0"/>
    <x v="1"/>
    <x v="2"/>
    <x v="3"/>
    <n v="374.83333333333331"/>
  </r>
  <r>
    <n v="32"/>
    <x v="1"/>
    <x v="1"/>
    <n v="5"/>
    <n v="4"/>
    <s v="Other"/>
    <n v="2"/>
    <x v="0"/>
    <n v="4"/>
    <n v="1"/>
    <x v="1"/>
    <x v="0"/>
    <s v="Married"/>
    <n v="3312"/>
    <n v="3"/>
    <x v="1"/>
    <n v="17"/>
    <n v="4"/>
    <n v="2"/>
    <n v="6"/>
    <n v="3"/>
    <x v="1"/>
    <n v="3"/>
    <n v="2"/>
    <n v="0"/>
    <n v="2"/>
    <n v="0"/>
    <x v="2"/>
    <x v="1"/>
    <x v="2"/>
    <n v="1104"/>
  </r>
  <r>
    <n v="44"/>
    <x v="1"/>
    <x v="1"/>
    <n v="7"/>
    <n v="3"/>
    <s v="Medical"/>
    <n v="2"/>
    <x v="0"/>
    <n v="3"/>
    <n v="5"/>
    <x v="7"/>
    <x v="0"/>
    <s v="Divorced"/>
    <n v="19049"/>
    <n v="0"/>
    <x v="0"/>
    <n v="14"/>
    <n v="4"/>
    <n v="1"/>
    <n v="23"/>
    <n v="4"/>
    <x v="2"/>
    <n v="22"/>
    <n v="7"/>
    <n v="1"/>
    <n v="10"/>
    <n v="0"/>
    <x v="0"/>
    <x v="2"/>
    <x v="3"/>
    <n v="865.86363636363637"/>
  </r>
  <r>
    <n v="30"/>
    <x v="1"/>
    <x v="1"/>
    <n v="7"/>
    <n v="3"/>
    <s v="Medical"/>
    <n v="2"/>
    <x v="1"/>
    <n v="2"/>
    <n v="1"/>
    <x v="1"/>
    <x v="1"/>
    <s v="Married"/>
    <n v="2141"/>
    <n v="1"/>
    <x v="1"/>
    <n v="12"/>
    <n v="2"/>
    <n v="1"/>
    <n v="6"/>
    <n v="3"/>
    <x v="2"/>
    <n v="6"/>
    <n v="4"/>
    <n v="1"/>
    <n v="1"/>
    <n v="0"/>
    <x v="2"/>
    <x v="1"/>
    <x v="0"/>
    <n v="356.83333333333331"/>
  </r>
  <r>
    <n v="45"/>
    <x v="1"/>
    <x v="1"/>
    <n v="5"/>
    <n v="5"/>
    <s v="Medical"/>
    <n v="3"/>
    <x v="0"/>
    <n v="1"/>
    <n v="2"/>
    <x v="2"/>
    <x v="3"/>
    <s v="Single"/>
    <n v="5769"/>
    <n v="1"/>
    <x v="0"/>
    <n v="14"/>
    <n v="1"/>
    <n v="0"/>
    <n v="10"/>
    <n v="3"/>
    <x v="1"/>
    <n v="10"/>
    <n v="7"/>
    <n v="1"/>
    <n v="4"/>
    <n v="0"/>
    <x v="0"/>
    <x v="0"/>
    <x v="0"/>
    <n v="576.9"/>
  </r>
  <r>
    <n v="45"/>
    <x v="1"/>
    <x v="0"/>
    <n v="26"/>
    <n v="3"/>
    <s v="Marketing"/>
    <n v="1"/>
    <x v="1"/>
    <n v="2"/>
    <n v="2"/>
    <x v="0"/>
    <x v="3"/>
    <s v="Married"/>
    <n v="4385"/>
    <n v="1"/>
    <x v="1"/>
    <n v="15"/>
    <n v="1"/>
    <n v="1"/>
    <n v="10"/>
    <n v="2"/>
    <x v="1"/>
    <n v="10"/>
    <n v="7"/>
    <n v="4"/>
    <n v="5"/>
    <n v="0"/>
    <x v="0"/>
    <x v="0"/>
    <x v="0"/>
    <n v="438.5"/>
  </r>
  <r>
    <n v="31"/>
    <x v="1"/>
    <x v="0"/>
    <n v="2"/>
    <n v="4"/>
    <s v="Other"/>
    <n v="4"/>
    <x v="1"/>
    <n v="3"/>
    <n v="2"/>
    <x v="0"/>
    <x v="3"/>
    <s v="Single"/>
    <n v="5332"/>
    <n v="7"/>
    <x v="1"/>
    <n v="13"/>
    <n v="4"/>
    <n v="0"/>
    <n v="10"/>
    <n v="3"/>
    <x v="1"/>
    <n v="5"/>
    <n v="2"/>
    <n v="0"/>
    <n v="3"/>
    <n v="0"/>
    <x v="2"/>
    <x v="0"/>
    <x v="2"/>
    <n v="1066.4000000000001"/>
  </r>
  <r>
    <n v="36"/>
    <x v="1"/>
    <x v="1"/>
    <n v="12"/>
    <n v="4"/>
    <s v="Life Sciences"/>
    <n v="3"/>
    <x v="0"/>
    <n v="3"/>
    <n v="2"/>
    <x v="3"/>
    <x v="2"/>
    <s v="Married"/>
    <n v="4663"/>
    <n v="9"/>
    <x v="0"/>
    <n v="12"/>
    <n v="2"/>
    <n v="2"/>
    <n v="7"/>
    <n v="2"/>
    <x v="1"/>
    <n v="3"/>
    <n v="2"/>
    <n v="1"/>
    <n v="1"/>
    <n v="0"/>
    <x v="0"/>
    <x v="0"/>
    <x v="2"/>
    <n v="1554.3333333333333"/>
  </r>
  <r>
    <n v="34"/>
    <x v="1"/>
    <x v="1"/>
    <n v="10"/>
    <n v="4"/>
    <s v="Life Sciences"/>
    <n v="3"/>
    <x v="1"/>
    <n v="4"/>
    <n v="2"/>
    <x v="3"/>
    <x v="0"/>
    <s v="Divorced"/>
    <n v="4724"/>
    <n v="1"/>
    <x v="1"/>
    <n v="13"/>
    <n v="1"/>
    <n v="1"/>
    <n v="9"/>
    <n v="3"/>
    <x v="1"/>
    <n v="9"/>
    <n v="7"/>
    <n v="7"/>
    <n v="2"/>
    <n v="0"/>
    <x v="2"/>
    <x v="0"/>
    <x v="0"/>
    <n v="524.88888888888891"/>
  </r>
  <r>
    <n v="49"/>
    <x v="1"/>
    <x v="1"/>
    <n v="25"/>
    <n v="4"/>
    <s v="Life Sciences"/>
    <n v="3"/>
    <x v="0"/>
    <n v="3"/>
    <n v="1"/>
    <x v="2"/>
    <x v="3"/>
    <s v="Married"/>
    <n v="3211"/>
    <n v="1"/>
    <x v="1"/>
    <n v="14"/>
    <n v="4"/>
    <n v="1"/>
    <n v="10"/>
    <n v="3"/>
    <x v="2"/>
    <n v="9"/>
    <n v="6"/>
    <n v="1"/>
    <n v="4"/>
    <n v="0"/>
    <x v="1"/>
    <x v="1"/>
    <x v="0"/>
    <n v="356.77777777777777"/>
  </r>
  <r>
    <n v="39"/>
    <x v="1"/>
    <x v="1"/>
    <n v="10"/>
    <n v="5"/>
    <s v="Medical"/>
    <n v="2"/>
    <x v="1"/>
    <n v="3"/>
    <n v="2"/>
    <x v="3"/>
    <x v="3"/>
    <s v="Married"/>
    <n v="5377"/>
    <n v="2"/>
    <x v="1"/>
    <n v="13"/>
    <n v="4"/>
    <n v="3"/>
    <n v="10"/>
    <n v="3"/>
    <x v="1"/>
    <n v="7"/>
    <n v="7"/>
    <n v="7"/>
    <n v="7"/>
    <n v="0"/>
    <x v="0"/>
    <x v="0"/>
    <x v="0"/>
    <n v="768.14285714285711"/>
  </r>
  <r>
    <n v="27"/>
    <x v="1"/>
    <x v="1"/>
    <n v="19"/>
    <n v="3"/>
    <s v="Other"/>
    <n v="4"/>
    <x v="1"/>
    <n v="2"/>
    <n v="1"/>
    <x v="2"/>
    <x v="3"/>
    <s v="Divorced"/>
    <n v="4066"/>
    <n v="1"/>
    <x v="1"/>
    <n v="11"/>
    <n v="1"/>
    <n v="2"/>
    <n v="7"/>
    <n v="3"/>
    <x v="1"/>
    <n v="7"/>
    <n v="7"/>
    <n v="0"/>
    <n v="7"/>
    <n v="0"/>
    <x v="2"/>
    <x v="0"/>
    <x v="0"/>
    <n v="580.85714285714289"/>
  </r>
  <r>
    <n v="35"/>
    <x v="1"/>
    <x v="1"/>
    <n v="18"/>
    <n v="5"/>
    <s v="Life Sciences"/>
    <n v="2"/>
    <x v="1"/>
    <n v="4"/>
    <n v="2"/>
    <x v="1"/>
    <x v="3"/>
    <s v="Married"/>
    <n v="5208"/>
    <n v="1"/>
    <x v="1"/>
    <n v="11"/>
    <n v="4"/>
    <n v="0"/>
    <n v="16"/>
    <n v="2"/>
    <x v="1"/>
    <n v="16"/>
    <n v="15"/>
    <n v="1"/>
    <n v="10"/>
    <n v="0"/>
    <x v="2"/>
    <x v="0"/>
    <x v="3"/>
    <n v="325.5"/>
  </r>
  <r>
    <n v="28"/>
    <x v="1"/>
    <x v="1"/>
    <n v="27"/>
    <n v="3"/>
    <s v="Medical"/>
    <n v="2"/>
    <x v="0"/>
    <n v="1"/>
    <n v="2"/>
    <x v="3"/>
    <x v="3"/>
    <s v="Divorced"/>
    <n v="4877"/>
    <n v="0"/>
    <x v="1"/>
    <n v="21"/>
    <n v="2"/>
    <n v="1"/>
    <n v="6"/>
    <n v="5"/>
    <x v="2"/>
    <n v="5"/>
    <n v="3"/>
    <n v="0"/>
    <n v="0"/>
    <n v="0"/>
    <x v="2"/>
    <x v="0"/>
    <x v="2"/>
    <n v="975.4"/>
  </r>
  <r>
    <n v="21"/>
    <x v="1"/>
    <x v="1"/>
    <n v="5"/>
    <n v="1"/>
    <s v="Medical"/>
    <n v="3"/>
    <x v="1"/>
    <n v="3"/>
    <n v="1"/>
    <x v="1"/>
    <x v="0"/>
    <s v="Single"/>
    <n v="3117"/>
    <n v="1"/>
    <x v="1"/>
    <n v="18"/>
    <n v="3"/>
    <n v="0"/>
    <n v="3"/>
    <n v="2"/>
    <x v="1"/>
    <n v="2"/>
    <n v="2"/>
    <n v="2"/>
    <n v="2"/>
    <n v="0"/>
    <x v="3"/>
    <x v="1"/>
    <x v="1"/>
    <n v="1558.5"/>
  </r>
  <r>
    <n v="18"/>
    <x v="0"/>
    <x v="0"/>
    <n v="3"/>
    <n v="2"/>
    <s v="Medical"/>
    <n v="2"/>
    <x v="0"/>
    <n v="3"/>
    <n v="1"/>
    <x v="6"/>
    <x v="0"/>
    <s v="Single"/>
    <n v="1569"/>
    <n v="1"/>
    <x v="0"/>
    <n v="12"/>
    <n v="3"/>
    <n v="0"/>
    <n v="0"/>
    <n v="2"/>
    <x v="3"/>
    <n v="0"/>
    <n v="0"/>
    <n v="0"/>
    <n v="0"/>
    <n v="1"/>
    <x v="3"/>
    <x v="1"/>
    <x v="1"/>
    <n v="1569"/>
  </r>
  <r>
    <n v="47"/>
    <x v="1"/>
    <x v="2"/>
    <n v="26"/>
    <n v="4"/>
    <s v="Life Sciences"/>
    <n v="4"/>
    <x v="0"/>
    <n v="3"/>
    <n v="5"/>
    <x v="5"/>
    <x v="2"/>
    <s v="Married"/>
    <n v="19658"/>
    <n v="3"/>
    <x v="1"/>
    <n v="11"/>
    <n v="3"/>
    <n v="1"/>
    <n v="27"/>
    <n v="2"/>
    <x v="1"/>
    <n v="5"/>
    <n v="2"/>
    <n v="1"/>
    <n v="0"/>
    <n v="0"/>
    <x v="1"/>
    <x v="2"/>
    <x v="2"/>
    <n v="3931.6"/>
  </r>
  <r>
    <n v="39"/>
    <x v="1"/>
    <x v="1"/>
    <n v="3"/>
    <n v="2"/>
    <s v="Medical"/>
    <n v="3"/>
    <x v="1"/>
    <n v="2"/>
    <n v="2"/>
    <x v="2"/>
    <x v="2"/>
    <s v="Divorced"/>
    <n v="3069"/>
    <n v="0"/>
    <x v="1"/>
    <n v="15"/>
    <n v="4"/>
    <n v="1"/>
    <n v="11"/>
    <n v="3"/>
    <x v="1"/>
    <n v="10"/>
    <n v="8"/>
    <n v="0"/>
    <n v="7"/>
    <n v="0"/>
    <x v="0"/>
    <x v="1"/>
    <x v="0"/>
    <n v="306.89999999999998"/>
  </r>
  <r>
    <n v="40"/>
    <x v="1"/>
    <x v="1"/>
    <n v="15"/>
    <n v="3"/>
    <s v="Life Sciences"/>
    <n v="1"/>
    <x v="0"/>
    <n v="2"/>
    <n v="3"/>
    <x v="3"/>
    <x v="2"/>
    <s v="Married"/>
    <n v="10435"/>
    <n v="1"/>
    <x v="1"/>
    <n v="13"/>
    <n v="4"/>
    <n v="2"/>
    <n v="18"/>
    <n v="2"/>
    <x v="1"/>
    <n v="18"/>
    <n v="15"/>
    <n v="14"/>
    <n v="12"/>
    <n v="0"/>
    <x v="0"/>
    <x v="2"/>
    <x v="3"/>
    <n v="579.72222222222217"/>
  </r>
  <r>
    <n v="35"/>
    <x v="1"/>
    <x v="1"/>
    <n v="8"/>
    <n v="4"/>
    <s v="Life Sciences"/>
    <n v="3"/>
    <x v="0"/>
    <n v="3"/>
    <n v="2"/>
    <x v="4"/>
    <x v="2"/>
    <s v="Married"/>
    <n v="4148"/>
    <n v="1"/>
    <x v="1"/>
    <n v="12"/>
    <n v="4"/>
    <n v="1"/>
    <n v="15"/>
    <n v="5"/>
    <x v="1"/>
    <n v="14"/>
    <n v="11"/>
    <n v="2"/>
    <n v="9"/>
    <n v="0"/>
    <x v="2"/>
    <x v="0"/>
    <x v="3"/>
    <n v="296.28571428571428"/>
  </r>
  <r>
    <n v="37"/>
    <x v="1"/>
    <x v="1"/>
    <n v="19"/>
    <n v="3"/>
    <s v="Life Sciences"/>
    <n v="3"/>
    <x v="1"/>
    <n v="3"/>
    <n v="2"/>
    <x v="3"/>
    <x v="2"/>
    <s v="Married"/>
    <n v="5768"/>
    <n v="3"/>
    <x v="1"/>
    <n v="17"/>
    <n v="1"/>
    <n v="3"/>
    <n v="9"/>
    <n v="2"/>
    <x v="2"/>
    <n v="4"/>
    <n v="3"/>
    <n v="0"/>
    <n v="2"/>
    <n v="0"/>
    <x v="0"/>
    <x v="0"/>
    <x v="2"/>
    <n v="1442"/>
  </r>
  <r>
    <n v="39"/>
    <x v="1"/>
    <x v="1"/>
    <n v="4"/>
    <n v="3"/>
    <s v="Medical"/>
    <n v="1"/>
    <x v="0"/>
    <n v="3"/>
    <n v="2"/>
    <x v="3"/>
    <x v="2"/>
    <s v="Single"/>
    <n v="5042"/>
    <n v="0"/>
    <x v="1"/>
    <n v="13"/>
    <n v="4"/>
    <n v="0"/>
    <n v="10"/>
    <n v="2"/>
    <x v="0"/>
    <n v="9"/>
    <n v="2"/>
    <n v="3"/>
    <n v="8"/>
    <n v="0"/>
    <x v="0"/>
    <x v="0"/>
    <x v="0"/>
    <n v="560.22222222222217"/>
  </r>
  <r>
    <n v="45"/>
    <x v="1"/>
    <x v="1"/>
    <n v="2"/>
    <n v="2"/>
    <s v="Other"/>
    <n v="4"/>
    <x v="0"/>
    <n v="2"/>
    <n v="2"/>
    <x v="3"/>
    <x v="0"/>
    <s v="Divorced"/>
    <n v="5770"/>
    <n v="1"/>
    <x v="1"/>
    <n v="19"/>
    <n v="1"/>
    <n v="2"/>
    <n v="10"/>
    <n v="3"/>
    <x v="1"/>
    <n v="10"/>
    <n v="7"/>
    <n v="3"/>
    <n v="9"/>
    <n v="0"/>
    <x v="0"/>
    <x v="0"/>
    <x v="0"/>
    <n v="577"/>
  </r>
  <r>
    <n v="38"/>
    <x v="1"/>
    <x v="1"/>
    <n v="2"/>
    <n v="2"/>
    <s v="Medical"/>
    <n v="4"/>
    <x v="0"/>
    <n v="2"/>
    <n v="3"/>
    <x v="3"/>
    <x v="2"/>
    <s v="Married"/>
    <n v="7756"/>
    <n v="3"/>
    <x v="0"/>
    <n v="19"/>
    <n v="4"/>
    <n v="1"/>
    <n v="10"/>
    <n v="6"/>
    <x v="3"/>
    <n v="5"/>
    <n v="4"/>
    <n v="0"/>
    <n v="2"/>
    <n v="0"/>
    <x v="0"/>
    <x v="0"/>
    <x v="2"/>
    <n v="1551.2"/>
  </r>
  <r>
    <n v="35"/>
    <x v="0"/>
    <x v="0"/>
    <n v="10"/>
    <n v="3"/>
    <s v="Medical"/>
    <n v="4"/>
    <x v="1"/>
    <n v="2"/>
    <n v="3"/>
    <x v="0"/>
    <x v="3"/>
    <s v="Married"/>
    <n v="10306"/>
    <n v="9"/>
    <x v="1"/>
    <n v="17"/>
    <n v="3"/>
    <n v="0"/>
    <n v="15"/>
    <n v="3"/>
    <x v="1"/>
    <n v="13"/>
    <n v="12"/>
    <n v="6"/>
    <n v="0"/>
    <n v="1"/>
    <x v="2"/>
    <x v="2"/>
    <x v="3"/>
    <n v="792.76923076923072"/>
  </r>
  <r>
    <n v="37"/>
    <x v="1"/>
    <x v="1"/>
    <n v="10"/>
    <n v="3"/>
    <s v="Medical"/>
    <n v="2"/>
    <x v="0"/>
    <n v="3"/>
    <n v="1"/>
    <x v="1"/>
    <x v="1"/>
    <s v="Married"/>
    <n v="3936"/>
    <n v="1"/>
    <x v="1"/>
    <n v="11"/>
    <n v="1"/>
    <n v="1"/>
    <n v="8"/>
    <n v="2"/>
    <x v="0"/>
    <n v="8"/>
    <n v="4"/>
    <n v="7"/>
    <n v="7"/>
    <n v="0"/>
    <x v="0"/>
    <x v="1"/>
    <x v="0"/>
    <n v="492"/>
  </r>
  <r>
    <n v="40"/>
    <x v="1"/>
    <x v="1"/>
    <n v="16"/>
    <n v="3"/>
    <s v="Life Sciences"/>
    <n v="3"/>
    <x v="0"/>
    <n v="3"/>
    <n v="3"/>
    <x v="3"/>
    <x v="0"/>
    <s v="Single"/>
    <n v="7945"/>
    <n v="6"/>
    <x v="0"/>
    <n v="15"/>
    <n v="4"/>
    <n v="0"/>
    <n v="18"/>
    <n v="2"/>
    <x v="2"/>
    <n v="4"/>
    <n v="2"/>
    <n v="3"/>
    <n v="3"/>
    <n v="0"/>
    <x v="0"/>
    <x v="0"/>
    <x v="2"/>
    <n v="1986.25"/>
  </r>
  <r>
    <n v="44"/>
    <x v="1"/>
    <x v="2"/>
    <n v="1"/>
    <n v="5"/>
    <s v="Human Resources"/>
    <n v="1"/>
    <x v="1"/>
    <n v="3"/>
    <n v="2"/>
    <x v="8"/>
    <x v="0"/>
    <s v="Married"/>
    <n v="5743"/>
    <n v="4"/>
    <x v="0"/>
    <n v="11"/>
    <n v="3"/>
    <n v="0"/>
    <n v="14"/>
    <n v="3"/>
    <x v="1"/>
    <n v="10"/>
    <n v="7"/>
    <n v="0"/>
    <n v="2"/>
    <n v="0"/>
    <x v="0"/>
    <x v="0"/>
    <x v="0"/>
    <n v="574.29999999999995"/>
  </r>
  <r>
    <n v="48"/>
    <x v="1"/>
    <x v="1"/>
    <n v="4"/>
    <n v="5"/>
    <s v="Medical"/>
    <n v="3"/>
    <x v="1"/>
    <n v="2"/>
    <n v="4"/>
    <x v="5"/>
    <x v="0"/>
    <s v="Married"/>
    <n v="15202"/>
    <n v="2"/>
    <x v="1"/>
    <n v="25"/>
    <n v="2"/>
    <n v="1"/>
    <n v="23"/>
    <n v="3"/>
    <x v="1"/>
    <n v="2"/>
    <n v="2"/>
    <n v="2"/>
    <n v="2"/>
    <n v="0"/>
    <x v="1"/>
    <x v="2"/>
    <x v="1"/>
    <n v="7601"/>
  </r>
  <r>
    <n v="35"/>
    <x v="0"/>
    <x v="0"/>
    <n v="15"/>
    <n v="2"/>
    <s v="Medical"/>
    <n v="1"/>
    <x v="1"/>
    <n v="1"/>
    <n v="2"/>
    <x v="0"/>
    <x v="0"/>
    <s v="Divorced"/>
    <n v="5440"/>
    <n v="6"/>
    <x v="0"/>
    <n v="14"/>
    <n v="4"/>
    <n v="2"/>
    <n v="7"/>
    <n v="2"/>
    <x v="2"/>
    <n v="2"/>
    <n v="2"/>
    <n v="2"/>
    <n v="2"/>
    <n v="1"/>
    <x v="2"/>
    <x v="0"/>
    <x v="1"/>
    <n v="2720"/>
  </r>
  <r>
    <n v="24"/>
    <x v="1"/>
    <x v="1"/>
    <n v="2"/>
    <n v="1"/>
    <s v="Technical Degree"/>
    <n v="1"/>
    <x v="0"/>
    <n v="3"/>
    <n v="1"/>
    <x v="1"/>
    <x v="0"/>
    <s v="Single"/>
    <n v="3760"/>
    <n v="1"/>
    <x v="0"/>
    <n v="13"/>
    <n v="3"/>
    <n v="0"/>
    <n v="6"/>
    <n v="2"/>
    <x v="1"/>
    <n v="6"/>
    <n v="3"/>
    <n v="1"/>
    <n v="3"/>
    <n v="0"/>
    <x v="3"/>
    <x v="1"/>
    <x v="0"/>
    <n v="626.66666666666663"/>
  </r>
  <r>
    <n v="27"/>
    <x v="1"/>
    <x v="1"/>
    <n v="8"/>
    <n v="3"/>
    <s v="Medical"/>
    <n v="2"/>
    <x v="0"/>
    <n v="4"/>
    <n v="1"/>
    <x v="1"/>
    <x v="2"/>
    <s v="Married"/>
    <n v="3517"/>
    <n v="7"/>
    <x v="1"/>
    <n v="17"/>
    <n v="1"/>
    <n v="0"/>
    <n v="5"/>
    <n v="0"/>
    <x v="1"/>
    <n v="3"/>
    <n v="2"/>
    <n v="0"/>
    <n v="2"/>
    <n v="0"/>
    <x v="2"/>
    <x v="1"/>
    <x v="2"/>
    <n v="1172.3333333333333"/>
  </r>
  <r>
    <n v="27"/>
    <x v="1"/>
    <x v="1"/>
    <n v="2"/>
    <n v="3"/>
    <s v="Medical"/>
    <n v="4"/>
    <x v="1"/>
    <n v="3"/>
    <n v="1"/>
    <x v="1"/>
    <x v="0"/>
    <s v="Single"/>
    <n v="2580"/>
    <n v="2"/>
    <x v="1"/>
    <n v="13"/>
    <n v="3"/>
    <n v="0"/>
    <n v="6"/>
    <n v="0"/>
    <x v="2"/>
    <n v="4"/>
    <n v="2"/>
    <n v="1"/>
    <n v="2"/>
    <n v="0"/>
    <x v="2"/>
    <x v="1"/>
    <x v="2"/>
    <n v="645"/>
  </r>
  <r>
    <n v="40"/>
    <x v="0"/>
    <x v="1"/>
    <n v="7"/>
    <n v="3"/>
    <s v="Life Sciences"/>
    <n v="1"/>
    <x v="1"/>
    <n v="3"/>
    <n v="1"/>
    <x v="2"/>
    <x v="3"/>
    <s v="Single"/>
    <n v="2166"/>
    <n v="3"/>
    <x v="0"/>
    <n v="14"/>
    <n v="2"/>
    <n v="0"/>
    <n v="10"/>
    <n v="3"/>
    <x v="0"/>
    <n v="4"/>
    <n v="2"/>
    <n v="0"/>
    <n v="3"/>
    <n v="1"/>
    <x v="0"/>
    <x v="1"/>
    <x v="2"/>
    <n v="541.5"/>
  </r>
  <r>
    <n v="29"/>
    <x v="1"/>
    <x v="0"/>
    <n v="10"/>
    <n v="3"/>
    <s v="Medical"/>
    <n v="3"/>
    <x v="1"/>
    <n v="2"/>
    <n v="2"/>
    <x v="0"/>
    <x v="2"/>
    <s v="Single"/>
    <n v="5869"/>
    <n v="9"/>
    <x v="1"/>
    <n v="11"/>
    <n v="3"/>
    <n v="0"/>
    <n v="8"/>
    <n v="2"/>
    <x v="1"/>
    <n v="5"/>
    <n v="2"/>
    <n v="1"/>
    <n v="4"/>
    <n v="0"/>
    <x v="2"/>
    <x v="0"/>
    <x v="2"/>
    <n v="1173.8"/>
  </r>
  <r>
    <n v="36"/>
    <x v="1"/>
    <x v="1"/>
    <n v="5"/>
    <n v="4"/>
    <s v="Life Sciences"/>
    <n v="2"/>
    <x v="0"/>
    <n v="3"/>
    <n v="3"/>
    <x v="4"/>
    <x v="3"/>
    <s v="Married"/>
    <n v="8008"/>
    <n v="4"/>
    <x v="1"/>
    <n v="12"/>
    <n v="3"/>
    <n v="2"/>
    <n v="9"/>
    <n v="6"/>
    <x v="1"/>
    <n v="3"/>
    <n v="2"/>
    <n v="0"/>
    <n v="2"/>
    <n v="0"/>
    <x v="0"/>
    <x v="0"/>
    <x v="2"/>
    <n v="2669.3333333333335"/>
  </r>
  <r>
    <n v="25"/>
    <x v="1"/>
    <x v="1"/>
    <n v="2"/>
    <n v="1"/>
    <s v="Life Sciences"/>
    <n v="4"/>
    <x v="1"/>
    <n v="4"/>
    <n v="2"/>
    <x v="3"/>
    <x v="2"/>
    <s v="Divorced"/>
    <n v="5206"/>
    <n v="1"/>
    <x v="1"/>
    <n v="17"/>
    <n v="3"/>
    <n v="2"/>
    <n v="7"/>
    <n v="6"/>
    <x v="1"/>
    <n v="7"/>
    <n v="7"/>
    <n v="0"/>
    <n v="7"/>
    <n v="0"/>
    <x v="3"/>
    <x v="0"/>
    <x v="0"/>
    <n v="743.71428571428567"/>
  </r>
  <r>
    <n v="39"/>
    <x v="1"/>
    <x v="1"/>
    <n v="12"/>
    <n v="3"/>
    <s v="Medical"/>
    <n v="4"/>
    <x v="1"/>
    <n v="3"/>
    <n v="2"/>
    <x v="3"/>
    <x v="1"/>
    <s v="Married"/>
    <n v="5295"/>
    <n v="4"/>
    <x v="1"/>
    <n v="21"/>
    <n v="3"/>
    <n v="0"/>
    <n v="7"/>
    <n v="3"/>
    <x v="1"/>
    <n v="5"/>
    <n v="4"/>
    <n v="1"/>
    <n v="0"/>
    <n v="0"/>
    <x v="0"/>
    <x v="0"/>
    <x v="2"/>
    <n v="1059"/>
  </r>
  <r>
    <n v="49"/>
    <x v="1"/>
    <x v="1"/>
    <n v="22"/>
    <n v="4"/>
    <s v="Other"/>
    <n v="1"/>
    <x v="0"/>
    <n v="3"/>
    <n v="4"/>
    <x v="7"/>
    <x v="1"/>
    <s v="Married"/>
    <n v="16413"/>
    <n v="3"/>
    <x v="1"/>
    <n v="16"/>
    <n v="2"/>
    <n v="2"/>
    <n v="27"/>
    <n v="2"/>
    <x v="1"/>
    <n v="4"/>
    <n v="2"/>
    <n v="1"/>
    <n v="2"/>
    <n v="0"/>
    <x v="1"/>
    <x v="2"/>
    <x v="2"/>
    <n v="4103.25"/>
  </r>
  <r>
    <n v="50"/>
    <x v="1"/>
    <x v="1"/>
    <n v="17"/>
    <n v="5"/>
    <s v="Life Sciences"/>
    <n v="4"/>
    <x v="0"/>
    <n v="2"/>
    <n v="3"/>
    <x v="7"/>
    <x v="3"/>
    <s v="Divorced"/>
    <n v="13269"/>
    <n v="5"/>
    <x v="1"/>
    <n v="15"/>
    <n v="3"/>
    <n v="3"/>
    <n v="19"/>
    <n v="3"/>
    <x v="1"/>
    <n v="14"/>
    <n v="11"/>
    <n v="1"/>
    <n v="11"/>
    <n v="0"/>
    <x v="1"/>
    <x v="2"/>
    <x v="3"/>
    <n v="947.78571428571433"/>
  </r>
  <r>
    <n v="20"/>
    <x v="1"/>
    <x v="0"/>
    <n v="2"/>
    <n v="3"/>
    <s v="Medical"/>
    <n v="3"/>
    <x v="0"/>
    <n v="3"/>
    <n v="1"/>
    <x v="6"/>
    <x v="2"/>
    <s v="Single"/>
    <n v="2783"/>
    <n v="1"/>
    <x v="1"/>
    <n v="19"/>
    <n v="1"/>
    <n v="0"/>
    <n v="2"/>
    <n v="3"/>
    <x v="1"/>
    <n v="2"/>
    <n v="2"/>
    <n v="2"/>
    <n v="2"/>
    <n v="0"/>
    <x v="3"/>
    <x v="1"/>
    <x v="1"/>
    <n v="1391.5"/>
  </r>
  <r>
    <n v="34"/>
    <x v="1"/>
    <x v="1"/>
    <n v="3"/>
    <n v="3"/>
    <s v="Life Sciences"/>
    <n v="4"/>
    <x v="0"/>
    <n v="3"/>
    <n v="2"/>
    <x v="1"/>
    <x v="1"/>
    <s v="Divorced"/>
    <n v="5433"/>
    <n v="1"/>
    <x v="1"/>
    <n v="12"/>
    <n v="3"/>
    <n v="1"/>
    <n v="11"/>
    <n v="2"/>
    <x v="1"/>
    <n v="11"/>
    <n v="8"/>
    <n v="7"/>
    <n v="9"/>
    <n v="0"/>
    <x v="2"/>
    <x v="0"/>
    <x v="3"/>
    <n v="493.90909090909093"/>
  </r>
  <r>
    <n v="36"/>
    <x v="1"/>
    <x v="1"/>
    <n v="7"/>
    <n v="3"/>
    <s v="Life Sciences"/>
    <n v="1"/>
    <x v="1"/>
    <n v="3"/>
    <n v="1"/>
    <x v="2"/>
    <x v="1"/>
    <s v="Single"/>
    <n v="2013"/>
    <n v="2"/>
    <x v="1"/>
    <n v="11"/>
    <n v="3"/>
    <n v="0"/>
    <n v="15"/>
    <n v="4"/>
    <x v="1"/>
    <n v="4"/>
    <n v="3"/>
    <n v="1"/>
    <n v="3"/>
    <n v="0"/>
    <x v="0"/>
    <x v="1"/>
    <x v="2"/>
    <n v="503.25"/>
  </r>
  <r>
    <n v="49"/>
    <x v="1"/>
    <x v="1"/>
    <n v="6"/>
    <n v="1"/>
    <s v="Life Sciences"/>
    <n v="3"/>
    <x v="0"/>
    <n v="2"/>
    <n v="4"/>
    <x v="4"/>
    <x v="2"/>
    <s v="Married"/>
    <n v="13966"/>
    <n v="2"/>
    <x v="0"/>
    <n v="19"/>
    <n v="2"/>
    <n v="1"/>
    <n v="30"/>
    <n v="3"/>
    <x v="1"/>
    <n v="15"/>
    <n v="11"/>
    <n v="2"/>
    <n v="12"/>
    <n v="0"/>
    <x v="1"/>
    <x v="2"/>
    <x v="3"/>
    <n v="931.06666666666672"/>
  </r>
  <r>
    <n v="36"/>
    <x v="1"/>
    <x v="1"/>
    <n v="1"/>
    <n v="4"/>
    <s v="Medical"/>
    <n v="4"/>
    <x v="0"/>
    <n v="2"/>
    <n v="2"/>
    <x v="3"/>
    <x v="2"/>
    <s v="Married"/>
    <n v="4374"/>
    <n v="0"/>
    <x v="1"/>
    <n v="15"/>
    <n v="3"/>
    <n v="0"/>
    <n v="4"/>
    <n v="6"/>
    <x v="1"/>
    <n v="3"/>
    <n v="2"/>
    <n v="1"/>
    <n v="2"/>
    <n v="0"/>
    <x v="0"/>
    <x v="0"/>
    <x v="2"/>
    <n v="1458"/>
  </r>
  <r>
    <n v="36"/>
    <x v="1"/>
    <x v="1"/>
    <n v="3"/>
    <n v="2"/>
    <s v="Life Sciences"/>
    <n v="4"/>
    <x v="1"/>
    <n v="4"/>
    <n v="2"/>
    <x v="4"/>
    <x v="3"/>
    <s v="Divorced"/>
    <n v="6842"/>
    <n v="6"/>
    <x v="1"/>
    <n v="20"/>
    <n v="1"/>
    <n v="1"/>
    <n v="13"/>
    <n v="3"/>
    <x v="1"/>
    <n v="5"/>
    <n v="4"/>
    <n v="0"/>
    <n v="4"/>
    <n v="0"/>
    <x v="0"/>
    <x v="0"/>
    <x v="2"/>
    <n v="1368.4"/>
  </r>
  <r>
    <n v="54"/>
    <x v="1"/>
    <x v="1"/>
    <n v="22"/>
    <n v="5"/>
    <s v="Medical"/>
    <n v="2"/>
    <x v="0"/>
    <n v="3"/>
    <n v="4"/>
    <x v="5"/>
    <x v="2"/>
    <s v="Married"/>
    <n v="17426"/>
    <n v="3"/>
    <x v="1"/>
    <n v="25"/>
    <n v="3"/>
    <n v="1"/>
    <n v="36"/>
    <n v="6"/>
    <x v="1"/>
    <n v="10"/>
    <n v="8"/>
    <n v="4"/>
    <n v="7"/>
    <n v="0"/>
    <x v="1"/>
    <x v="2"/>
    <x v="0"/>
    <n v="1742.6"/>
  </r>
  <r>
    <n v="43"/>
    <x v="1"/>
    <x v="1"/>
    <n v="15"/>
    <n v="2"/>
    <s v="Life Sciences"/>
    <n v="3"/>
    <x v="1"/>
    <n v="2"/>
    <n v="4"/>
    <x v="7"/>
    <x v="2"/>
    <s v="Married"/>
    <n v="17603"/>
    <n v="1"/>
    <x v="1"/>
    <n v="24"/>
    <n v="1"/>
    <n v="1"/>
    <n v="14"/>
    <n v="3"/>
    <x v="1"/>
    <n v="14"/>
    <n v="10"/>
    <n v="6"/>
    <n v="11"/>
    <n v="0"/>
    <x v="0"/>
    <x v="2"/>
    <x v="3"/>
    <n v="1257.3571428571429"/>
  </r>
  <r>
    <n v="35"/>
    <x v="0"/>
    <x v="0"/>
    <n v="12"/>
    <n v="4"/>
    <s v="Other"/>
    <n v="4"/>
    <x v="1"/>
    <n v="3"/>
    <n v="2"/>
    <x v="0"/>
    <x v="0"/>
    <s v="Single"/>
    <n v="4581"/>
    <n v="3"/>
    <x v="0"/>
    <n v="24"/>
    <n v="1"/>
    <n v="0"/>
    <n v="13"/>
    <n v="2"/>
    <x v="3"/>
    <n v="11"/>
    <n v="9"/>
    <n v="6"/>
    <n v="7"/>
    <n v="1"/>
    <x v="2"/>
    <x v="0"/>
    <x v="3"/>
    <n v="416.45454545454544"/>
  </r>
  <r>
    <n v="38"/>
    <x v="1"/>
    <x v="1"/>
    <n v="1"/>
    <n v="3"/>
    <s v="Life Sciences"/>
    <n v="4"/>
    <x v="1"/>
    <n v="3"/>
    <n v="2"/>
    <x v="1"/>
    <x v="0"/>
    <s v="Married"/>
    <n v="4735"/>
    <n v="7"/>
    <x v="1"/>
    <n v="15"/>
    <n v="4"/>
    <n v="2"/>
    <n v="19"/>
    <n v="4"/>
    <x v="3"/>
    <n v="13"/>
    <n v="11"/>
    <n v="2"/>
    <n v="9"/>
    <n v="0"/>
    <x v="0"/>
    <x v="0"/>
    <x v="3"/>
    <n v="364.23076923076923"/>
  </r>
  <r>
    <n v="29"/>
    <x v="1"/>
    <x v="0"/>
    <n v="5"/>
    <n v="3"/>
    <s v="Medical"/>
    <n v="1"/>
    <x v="1"/>
    <n v="2"/>
    <n v="2"/>
    <x v="0"/>
    <x v="1"/>
    <s v="Divorced"/>
    <n v="4187"/>
    <n v="1"/>
    <x v="0"/>
    <n v="13"/>
    <n v="2"/>
    <n v="1"/>
    <n v="10"/>
    <n v="3"/>
    <x v="2"/>
    <n v="10"/>
    <n v="0"/>
    <n v="0"/>
    <n v="9"/>
    <n v="0"/>
    <x v="2"/>
    <x v="0"/>
    <x v="0"/>
    <n v="418.7"/>
  </r>
  <r>
    <n v="33"/>
    <x v="1"/>
    <x v="0"/>
    <n v="2"/>
    <n v="4"/>
    <s v="Medical"/>
    <n v="4"/>
    <x v="1"/>
    <n v="3"/>
    <n v="2"/>
    <x v="0"/>
    <x v="0"/>
    <s v="Divorced"/>
    <n v="5505"/>
    <n v="1"/>
    <x v="1"/>
    <n v="14"/>
    <n v="3"/>
    <n v="2"/>
    <n v="6"/>
    <n v="5"/>
    <x v="1"/>
    <n v="6"/>
    <n v="2"/>
    <n v="0"/>
    <n v="4"/>
    <n v="0"/>
    <x v="2"/>
    <x v="0"/>
    <x v="0"/>
    <n v="917.5"/>
  </r>
  <r>
    <n v="32"/>
    <x v="1"/>
    <x v="1"/>
    <n v="2"/>
    <n v="3"/>
    <s v="Medical"/>
    <n v="4"/>
    <x v="1"/>
    <n v="3"/>
    <n v="2"/>
    <x v="1"/>
    <x v="1"/>
    <s v="Divorced"/>
    <n v="5470"/>
    <n v="0"/>
    <x v="1"/>
    <n v="13"/>
    <n v="3"/>
    <n v="2"/>
    <n v="10"/>
    <n v="4"/>
    <x v="2"/>
    <n v="9"/>
    <n v="5"/>
    <n v="1"/>
    <n v="6"/>
    <n v="0"/>
    <x v="2"/>
    <x v="0"/>
    <x v="0"/>
    <n v="607.77777777777783"/>
  </r>
  <r>
    <n v="31"/>
    <x v="1"/>
    <x v="0"/>
    <n v="5"/>
    <n v="4"/>
    <s v="Life Sciences"/>
    <n v="1"/>
    <x v="0"/>
    <n v="3"/>
    <n v="2"/>
    <x v="0"/>
    <x v="0"/>
    <s v="Married"/>
    <n v="5476"/>
    <n v="1"/>
    <x v="1"/>
    <n v="11"/>
    <n v="1"/>
    <n v="2"/>
    <n v="10"/>
    <n v="2"/>
    <x v="1"/>
    <n v="10"/>
    <n v="0"/>
    <n v="0"/>
    <n v="2"/>
    <n v="0"/>
    <x v="2"/>
    <x v="0"/>
    <x v="0"/>
    <n v="547.6"/>
  </r>
  <r>
    <n v="49"/>
    <x v="1"/>
    <x v="1"/>
    <n v="16"/>
    <n v="3"/>
    <s v="Medical"/>
    <n v="4"/>
    <x v="0"/>
    <n v="3"/>
    <n v="1"/>
    <x v="2"/>
    <x v="3"/>
    <s v="Divorced"/>
    <n v="2587"/>
    <n v="4"/>
    <x v="0"/>
    <n v="16"/>
    <n v="2"/>
    <n v="1"/>
    <n v="17"/>
    <n v="2"/>
    <x v="2"/>
    <n v="2"/>
    <n v="2"/>
    <n v="2"/>
    <n v="2"/>
    <n v="0"/>
    <x v="1"/>
    <x v="1"/>
    <x v="1"/>
    <n v="1293.5"/>
  </r>
  <r>
    <n v="38"/>
    <x v="1"/>
    <x v="1"/>
    <n v="2"/>
    <n v="3"/>
    <s v="Medical"/>
    <n v="4"/>
    <x v="0"/>
    <n v="2"/>
    <n v="1"/>
    <x v="2"/>
    <x v="1"/>
    <s v="Single"/>
    <n v="2440"/>
    <n v="1"/>
    <x v="1"/>
    <n v="22"/>
    <n v="2"/>
    <n v="0"/>
    <n v="4"/>
    <n v="3"/>
    <x v="1"/>
    <n v="4"/>
    <n v="3"/>
    <n v="3"/>
    <n v="3"/>
    <n v="0"/>
    <x v="0"/>
    <x v="1"/>
    <x v="2"/>
    <n v="610"/>
  </r>
  <r>
    <n v="47"/>
    <x v="1"/>
    <x v="0"/>
    <n v="2"/>
    <n v="4"/>
    <s v="Life Sciences"/>
    <n v="2"/>
    <x v="0"/>
    <n v="4"/>
    <n v="4"/>
    <x v="5"/>
    <x v="1"/>
    <s v="Divorced"/>
    <n v="15972"/>
    <n v="6"/>
    <x v="1"/>
    <n v="14"/>
    <n v="3"/>
    <n v="3"/>
    <n v="29"/>
    <n v="2"/>
    <x v="1"/>
    <n v="3"/>
    <n v="2"/>
    <n v="1"/>
    <n v="2"/>
    <n v="0"/>
    <x v="1"/>
    <x v="2"/>
    <x v="2"/>
    <n v="5324"/>
  </r>
  <r>
    <n v="49"/>
    <x v="1"/>
    <x v="1"/>
    <n v="1"/>
    <n v="3"/>
    <s v="Life Sciences"/>
    <n v="3"/>
    <x v="1"/>
    <n v="3"/>
    <n v="4"/>
    <x v="5"/>
    <x v="2"/>
    <s v="Single"/>
    <n v="15379"/>
    <n v="4"/>
    <x v="1"/>
    <n v="14"/>
    <n v="1"/>
    <n v="0"/>
    <n v="23"/>
    <n v="2"/>
    <x v="1"/>
    <n v="8"/>
    <n v="7"/>
    <n v="0"/>
    <n v="0"/>
    <n v="0"/>
    <x v="1"/>
    <x v="2"/>
    <x v="0"/>
    <n v="1922.375"/>
  </r>
  <r>
    <n v="41"/>
    <x v="1"/>
    <x v="0"/>
    <n v="23"/>
    <n v="2"/>
    <s v="Life Sciences"/>
    <n v="4"/>
    <x v="1"/>
    <n v="3"/>
    <n v="3"/>
    <x v="0"/>
    <x v="2"/>
    <s v="Single"/>
    <n v="7082"/>
    <n v="3"/>
    <x v="0"/>
    <n v="16"/>
    <n v="4"/>
    <n v="0"/>
    <n v="21"/>
    <n v="2"/>
    <x v="1"/>
    <n v="2"/>
    <n v="0"/>
    <n v="0"/>
    <n v="2"/>
    <n v="0"/>
    <x v="0"/>
    <x v="0"/>
    <x v="1"/>
    <n v="3541"/>
  </r>
  <r>
    <n v="20"/>
    <x v="1"/>
    <x v="0"/>
    <n v="9"/>
    <n v="1"/>
    <s v="Life Sciences"/>
    <n v="4"/>
    <x v="1"/>
    <n v="3"/>
    <n v="1"/>
    <x v="6"/>
    <x v="3"/>
    <s v="Single"/>
    <n v="2728"/>
    <n v="1"/>
    <x v="1"/>
    <n v="11"/>
    <n v="1"/>
    <n v="0"/>
    <n v="2"/>
    <n v="3"/>
    <x v="1"/>
    <n v="2"/>
    <n v="2"/>
    <n v="0"/>
    <n v="2"/>
    <n v="0"/>
    <x v="3"/>
    <x v="1"/>
    <x v="1"/>
    <n v="1364"/>
  </r>
  <r>
    <n v="33"/>
    <x v="1"/>
    <x v="0"/>
    <n v="16"/>
    <n v="3"/>
    <s v="Life Sciences"/>
    <n v="3"/>
    <x v="0"/>
    <n v="3"/>
    <n v="2"/>
    <x v="0"/>
    <x v="0"/>
    <s v="Divorced"/>
    <n v="5368"/>
    <n v="1"/>
    <x v="0"/>
    <n v="25"/>
    <n v="3"/>
    <n v="1"/>
    <n v="7"/>
    <n v="2"/>
    <x v="1"/>
    <n v="6"/>
    <n v="5"/>
    <n v="1"/>
    <n v="2"/>
    <n v="0"/>
    <x v="2"/>
    <x v="0"/>
    <x v="0"/>
    <n v="894.66666666666663"/>
  </r>
  <r>
    <n v="36"/>
    <x v="1"/>
    <x v="1"/>
    <n v="26"/>
    <n v="4"/>
    <s v="Life Sciences"/>
    <n v="1"/>
    <x v="1"/>
    <n v="3"/>
    <n v="2"/>
    <x v="4"/>
    <x v="2"/>
    <s v="Married"/>
    <n v="5347"/>
    <n v="6"/>
    <x v="1"/>
    <n v="14"/>
    <n v="2"/>
    <n v="2"/>
    <n v="10"/>
    <n v="2"/>
    <x v="2"/>
    <n v="3"/>
    <n v="2"/>
    <n v="0"/>
    <n v="2"/>
    <n v="0"/>
    <x v="0"/>
    <x v="0"/>
    <x v="2"/>
    <n v="1782.3333333333333"/>
  </r>
  <r>
    <n v="44"/>
    <x v="1"/>
    <x v="2"/>
    <n v="1"/>
    <n v="3"/>
    <s v="Life Sciences"/>
    <n v="3"/>
    <x v="0"/>
    <n v="3"/>
    <n v="1"/>
    <x v="8"/>
    <x v="0"/>
    <s v="Divorced"/>
    <n v="3195"/>
    <n v="4"/>
    <x v="0"/>
    <n v="18"/>
    <n v="1"/>
    <n v="3"/>
    <n v="8"/>
    <n v="2"/>
    <x v="1"/>
    <n v="2"/>
    <n v="2"/>
    <n v="2"/>
    <n v="2"/>
    <n v="0"/>
    <x v="0"/>
    <x v="1"/>
    <x v="1"/>
    <n v="1597.5"/>
  </r>
  <r>
    <n v="23"/>
    <x v="0"/>
    <x v="1"/>
    <n v="8"/>
    <n v="1"/>
    <s v="Medical"/>
    <n v="4"/>
    <x v="1"/>
    <n v="2"/>
    <n v="1"/>
    <x v="2"/>
    <x v="2"/>
    <s v="Single"/>
    <n v="3989"/>
    <n v="1"/>
    <x v="0"/>
    <n v="11"/>
    <n v="1"/>
    <n v="0"/>
    <n v="5"/>
    <n v="2"/>
    <x v="1"/>
    <n v="5"/>
    <n v="4"/>
    <n v="1"/>
    <n v="2"/>
    <n v="1"/>
    <x v="3"/>
    <x v="1"/>
    <x v="2"/>
    <n v="797.8"/>
  </r>
  <r>
    <n v="38"/>
    <x v="1"/>
    <x v="1"/>
    <n v="4"/>
    <n v="2"/>
    <s v="Medical"/>
    <n v="4"/>
    <x v="0"/>
    <n v="3"/>
    <n v="1"/>
    <x v="2"/>
    <x v="2"/>
    <s v="Married"/>
    <n v="3306"/>
    <n v="7"/>
    <x v="1"/>
    <n v="19"/>
    <n v="4"/>
    <n v="1"/>
    <n v="7"/>
    <n v="5"/>
    <x v="2"/>
    <n v="0"/>
    <n v="0"/>
    <n v="0"/>
    <n v="0"/>
    <n v="0"/>
    <x v="0"/>
    <x v="1"/>
    <x v="1"/>
    <n v="3306"/>
  </r>
  <r>
    <n v="53"/>
    <x v="1"/>
    <x v="1"/>
    <n v="24"/>
    <n v="4"/>
    <s v="Medical"/>
    <n v="2"/>
    <x v="1"/>
    <n v="4"/>
    <n v="3"/>
    <x v="4"/>
    <x v="0"/>
    <s v="Married"/>
    <n v="7005"/>
    <n v="3"/>
    <x v="1"/>
    <n v="15"/>
    <n v="3"/>
    <n v="0"/>
    <n v="11"/>
    <n v="2"/>
    <x v="1"/>
    <n v="4"/>
    <n v="3"/>
    <n v="1"/>
    <n v="2"/>
    <n v="0"/>
    <x v="1"/>
    <x v="0"/>
    <x v="2"/>
    <n v="1751.25"/>
  </r>
  <r>
    <n v="48"/>
    <x v="0"/>
    <x v="0"/>
    <n v="7"/>
    <n v="2"/>
    <s v="Medical"/>
    <n v="4"/>
    <x v="0"/>
    <n v="3"/>
    <n v="1"/>
    <x v="6"/>
    <x v="2"/>
    <s v="Married"/>
    <n v="2655"/>
    <n v="2"/>
    <x v="0"/>
    <n v="11"/>
    <n v="3"/>
    <n v="2"/>
    <n v="19"/>
    <n v="3"/>
    <x v="1"/>
    <n v="9"/>
    <n v="7"/>
    <n v="7"/>
    <n v="7"/>
    <n v="1"/>
    <x v="1"/>
    <x v="1"/>
    <x v="0"/>
    <n v="295"/>
  </r>
  <r>
    <n v="32"/>
    <x v="0"/>
    <x v="1"/>
    <n v="2"/>
    <n v="4"/>
    <s v="Life Sciences"/>
    <n v="4"/>
    <x v="1"/>
    <n v="3"/>
    <n v="1"/>
    <x v="2"/>
    <x v="1"/>
    <s v="Single"/>
    <n v="1393"/>
    <n v="1"/>
    <x v="1"/>
    <n v="12"/>
    <n v="1"/>
    <n v="0"/>
    <n v="1"/>
    <n v="2"/>
    <x v="1"/>
    <n v="1"/>
    <n v="0"/>
    <n v="0"/>
    <n v="0"/>
    <n v="1"/>
    <x v="2"/>
    <x v="1"/>
    <x v="1"/>
    <n v="1393"/>
  </r>
  <r>
    <n v="26"/>
    <x v="1"/>
    <x v="1"/>
    <n v="7"/>
    <n v="3"/>
    <s v="Medical"/>
    <n v="4"/>
    <x v="1"/>
    <n v="3"/>
    <n v="1"/>
    <x v="2"/>
    <x v="0"/>
    <s v="Single"/>
    <n v="2570"/>
    <n v="1"/>
    <x v="1"/>
    <n v="20"/>
    <n v="3"/>
    <n v="0"/>
    <n v="7"/>
    <n v="5"/>
    <x v="1"/>
    <n v="7"/>
    <n v="7"/>
    <n v="5"/>
    <n v="7"/>
    <n v="0"/>
    <x v="2"/>
    <x v="1"/>
    <x v="0"/>
    <n v="367.14285714285717"/>
  </r>
  <r>
    <n v="55"/>
    <x v="1"/>
    <x v="1"/>
    <n v="22"/>
    <n v="3"/>
    <s v="Technical Degree"/>
    <n v="1"/>
    <x v="1"/>
    <n v="2"/>
    <n v="1"/>
    <x v="1"/>
    <x v="1"/>
    <s v="Divorced"/>
    <n v="3537"/>
    <n v="5"/>
    <x v="1"/>
    <n v="12"/>
    <n v="4"/>
    <n v="1"/>
    <n v="8"/>
    <n v="1"/>
    <x v="1"/>
    <n v="4"/>
    <n v="2"/>
    <n v="1"/>
    <n v="2"/>
    <n v="0"/>
    <x v="1"/>
    <x v="1"/>
    <x v="2"/>
    <n v="884.25"/>
  </r>
  <r>
    <n v="34"/>
    <x v="1"/>
    <x v="1"/>
    <n v="5"/>
    <n v="2"/>
    <s v="Medical"/>
    <n v="2"/>
    <x v="1"/>
    <n v="2"/>
    <n v="2"/>
    <x v="2"/>
    <x v="0"/>
    <s v="Married"/>
    <n v="3986"/>
    <n v="1"/>
    <x v="1"/>
    <n v="14"/>
    <n v="3"/>
    <n v="1"/>
    <n v="15"/>
    <n v="3"/>
    <x v="3"/>
    <n v="15"/>
    <n v="10"/>
    <n v="4"/>
    <n v="13"/>
    <n v="0"/>
    <x v="2"/>
    <x v="1"/>
    <x v="3"/>
    <n v="265.73333333333335"/>
  </r>
  <r>
    <n v="60"/>
    <x v="1"/>
    <x v="1"/>
    <n v="1"/>
    <n v="4"/>
    <s v="Medical"/>
    <n v="3"/>
    <x v="1"/>
    <n v="1"/>
    <n v="3"/>
    <x v="4"/>
    <x v="0"/>
    <s v="Divorced"/>
    <n v="10883"/>
    <n v="3"/>
    <x v="1"/>
    <n v="20"/>
    <n v="3"/>
    <n v="1"/>
    <n v="19"/>
    <n v="2"/>
    <x v="3"/>
    <n v="1"/>
    <n v="0"/>
    <n v="0"/>
    <n v="0"/>
    <n v="0"/>
    <x v="1"/>
    <x v="2"/>
    <x v="1"/>
    <n v="10883"/>
  </r>
  <r>
    <n v="33"/>
    <x v="1"/>
    <x v="1"/>
    <n v="21"/>
    <n v="3"/>
    <s v="Medical"/>
    <n v="2"/>
    <x v="1"/>
    <n v="4"/>
    <n v="1"/>
    <x v="2"/>
    <x v="1"/>
    <s v="Married"/>
    <n v="2028"/>
    <n v="1"/>
    <x v="1"/>
    <n v="18"/>
    <n v="4"/>
    <n v="3"/>
    <n v="14"/>
    <n v="6"/>
    <x v="1"/>
    <n v="14"/>
    <n v="11"/>
    <n v="2"/>
    <n v="13"/>
    <n v="0"/>
    <x v="2"/>
    <x v="1"/>
    <x v="3"/>
    <n v="144.85714285714286"/>
  </r>
  <r>
    <n v="37"/>
    <x v="1"/>
    <x v="0"/>
    <n v="1"/>
    <n v="4"/>
    <s v="Medical"/>
    <n v="3"/>
    <x v="1"/>
    <n v="1"/>
    <n v="2"/>
    <x v="0"/>
    <x v="0"/>
    <s v="Divorced"/>
    <n v="9525"/>
    <n v="1"/>
    <x v="1"/>
    <n v="14"/>
    <n v="3"/>
    <n v="2"/>
    <n v="6"/>
    <n v="2"/>
    <x v="2"/>
    <n v="6"/>
    <n v="3"/>
    <n v="1"/>
    <n v="3"/>
    <n v="0"/>
    <x v="0"/>
    <x v="0"/>
    <x v="0"/>
    <n v="1587.5"/>
  </r>
  <r>
    <n v="34"/>
    <x v="1"/>
    <x v="1"/>
    <n v="19"/>
    <n v="3"/>
    <s v="Life Sciences"/>
    <n v="2"/>
    <x v="0"/>
    <n v="2"/>
    <n v="1"/>
    <x v="1"/>
    <x v="0"/>
    <s v="Married"/>
    <n v="2929"/>
    <n v="1"/>
    <x v="1"/>
    <n v="12"/>
    <n v="2"/>
    <n v="0"/>
    <n v="10"/>
    <n v="3"/>
    <x v="1"/>
    <n v="10"/>
    <n v="9"/>
    <n v="8"/>
    <n v="7"/>
    <n v="0"/>
    <x v="2"/>
    <x v="1"/>
    <x v="0"/>
    <n v="292.89999999999998"/>
  </r>
  <r>
    <n v="23"/>
    <x v="0"/>
    <x v="0"/>
    <n v="7"/>
    <n v="3"/>
    <s v="Life Sciences"/>
    <n v="3"/>
    <x v="1"/>
    <n v="3"/>
    <n v="1"/>
    <x v="6"/>
    <x v="0"/>
    <s v="Divorced"/>
    <n v="2275"/>
    <n v="1"/>
    <x v="0"/>
    <n v="21"/>
    <n v="2"/>
    <n v="1"/>
    <n v="3"/>
    <n v="2"/>
    <x v="1"/>
    <n v="3"/>
    <n v="2"/>
    <n v="0"/>
    <n v="2"/>
    <n v="1"/>
    <x v="3"/>
    <x v="1"/>
    <x v="2"/>
    <n v="758.33333333333337"/>
  </r>
  <r>
    <n v="44"/>
    <x v="1"/>
    <x v="1"/>
    <n v="2"/>
    <n v="3"/>
    <s v="Life Sciences"/>
    <n v="3"/>
    <x v="0"/>
    <n v="4"/>
    <n v="3"/>
    <x v="4"/>
    <x v="0"/>
    <s v="Married"/>
    <n v="7879"/>
    <n v="1"/>
    <x v="0"/>
    <n v="19"/>
    <n v="2"/>
    <n v="1"/>
    <n v="9"/>
    <n v="2"/>
    <x v="1"/>
    <n v="8"/>
    <n v="7"/>
    <n v="6"/>
    <n v="7"/>
    <n v="0"/>
    <x v="0"/>
    <x v="0"/>
    <x v="0"/>
    <n v="984.875"/>
  </r>
  <r>
    <n v="35"/>
    <x v="1"/>
    <x v="1"/>
    <n v="2"/>
    <n v="4"/>
    <s v="Medical"/>
    <n v="1"/>
    <x v="1"/>
    <n v="2"/>
    <n v="1"/>
    <x v="1"/>
    <x v="0"/>
    <s v="Single"/>
    <n v="4930"/>
    <n v="0"/>
    <x v="0"/>
    <n v="14"/>
    <n v="3"/>
    <n v="0"/>
    <n v="6"/>
    <n v="2"/>
    <x v="3"/>
    <n v="5"/>
    <n v="4"/>
    <n v="1"/>
    <n v="4"/>
    <n v="0"/>
    <x v="2"/>
    <x v="0"/>
    <x v="2"/>
    <n v="986"/>
  </r>
  <r>
    <n v="43"/>
    <x v="1"/>
    <x v="0"/>
    <n v="2"/>
    <n v="3"/>
    <s v="Medical"/>
    <n v="4"/>
    <x v="1"/>
    <n v="3"/>
    <n v="2"/>
    <x v="0"/>
    <x v="0"/>
    <s v="Married"/>
    <n v="7847"/>
    <n v="1"/>
    <x v="0"/>
    <n v="17"/>
    <n v="1"/>
    <n v="1"/>
    <n v="10"/>
    <n v="3"/>
    <x v="1"/>
    <n v="10"/>
    <n v="9"/>
    <n v="8"/>
    <n v="8"/>
    <n v="0"/>
    <x v="0"/>
    <x v="0"/>
    <x v="0"/>
    <n v="784.7"/>
  </r>
  <r>
    <n v="24"/>
    <x v="1"/>
    <x v="1"/>
    <n v="9"/>
    <n v="3"/>
    <s v="Medical"/>
    <n v="3"/>
    <x v="1"/>
    <n v="4"/>
    <n v="1"/>
    <x v="1"/>
    <x v="2"/>
    <s v="Married"/>
    <n v="4401"/>
    <n v="1"/>
    <x v="1"/>
    <n v="16"/>
    <n v="4"/>
    <n v="1"/>
    <n v="5"/>
    <n v="1"/>
    <x v="1"/>
    <n v="5"/>
    <n v="3"/>
    <n v="0"/>
    <n v="4"/>
    <n v="0"/>
    <x v="3"/>
    <x v="0"/>
    <x v="2"/>
    <n v="880.2"/>
  </r>
  <r>
    <n v="41"/>
    <x v="1"/>
    <x v="0"/>
    <n v="6"/>
    <n v="3"/>
    <s v="Marketing"/>
    <n v="4"/>
    <x v="1"/>
    <n v="3"/>
    <n v="3"/>
    <x v="0"/>
    <x v="2"/>
    <s v="Single"/>
    <n v="9241"/>
    <n v="1"/>
    <x v="1"/>
    <n v="12"/>
    <n v="2"/>
    <n v="0"/>
    <n v="10"/>
    <n v="3"/>
    <x v="1"/>
    <n v="10"/>
    <n v="8"/>
    <n v="8"/>
    <n v="7"/>
    <n v="0"/>
    <x v="0"/>
    <x v="0"/>
    <x v="0"/>
    <n v="924.1"/>
  </r>
  <r>
    <n v="29"/>
    <x v="1"/>
    <x v="1"/>
    <n v="9"/>
    <n v="4"/>
    <s v="Medical"/>
    <n v="4"/>
    <x v="0"/>
    <n v="3"/>
    <n v="1"/>
    <x v="2"/>
    <x v="2"/>
    <s v="Married"/>
    <n v="2974"/>
    <n v="9"/>
    <x v="1"/>
    <n v="17"/>
    <n v="3"/>
    <n v="1"/>
    <n v="9"/>
    <n v="2"/>
    <x v="1"/>
    <n v="5"/>
    <n v="3"/>
    <n v="1"/>
    <n v="2"/>
    <n v="0"/>
    <x v="2"/>
    <x v="1"/>
    <x v="2"/>
    <n v="594.79999999999995"/>
  </r>
  <r>
    <n v="36"/>
    <x v="1"/>
    <x v="0"/>
    <n v="2"/>
    <n v="4"/>
    <s v="Life Sciences"/>
    <n v="3"/>
    <x v="0"/>
    <n v="3"/>
    <n v="2"/>
    <x v="6"/>
    <x v="0"/>
    <s v="Single"/>
    <n v="4502"/>
    <n v="3"/>
    <x v="1"/>
    <n v="15"/>
    <n v="3"/>
    <n v="0"/>
    <n v="17"/>
    <n v="2"/>
    <x v="2"/>
    <n v="13"/>
    <n v="7"/>
    <n v="6"/>
    <n v="7"/>
    <n v="0"/>
    <x v="0"/>
    <x v="0"/>
    <x v="3"/>
    <n v="346.30769230769232"/>
  </r>
  <r>
    <n v="45"/>
    <x v="1"/>
    <x v="1"/>
    <n v="1"/>
    <n v="1"/>
    <s v="Life Sciences"/>
    <n v="3"/>
    <x v="1"/>
    <n v="2"/>
    <n v="3"/>
    <x v="4"/>
    <x v="2"/>
    <s v="Married"/>
    <n v="10748"/>
    <n v="3"/>
    <x v="1"/>
    <n v="23"/>
    <n v="4"/>
    <n v="1"/>
    <n v="25"/>
    <n v="3"/>
    <x v="2"/>
    <n v="23"/>
    <n v="15"/>
    <n v="14"/>
    <n v="4"/>
    <n v="0"/>
    <x v="0"/>
    <x v="2"/>
    <x v="3"/>
    <n v="467.30434782608694"/>
  </r>
  <r>
    <n v="24"/>
    <x v="0"/>
    <x v="2"/>
    <n v="22"/>
    <n v="1"/>
    <s v="Human Resources"/>
    <n v="4"/>
    <x v="1"/>
    <n v="1"/>
    <n v="1"/>
    <x v="8"/>
    <x v="2"/>
    <s v="Married"/>
    <n v="1555"/>
    <n v="1"/>
    <x v="1"/>
    <n v="11"/>
    <n v="3"/>
    <n v="1"/>
    <n v="1"/>
    <n v="2"/>
    <x v="1"/>
    <n v="1"/>
    <n v="0"/>
    <n v="0"/>
    <n v="0"/>
    <n v="1"/>
    <x v="3"/>
    <x v="1"/>
    <x v="1"/>
    <n v="1555"/>
  </r>
  <r>
    <n v="47"/>
    <x v="0"/>
    <x v="0"/>
    <n v="9"/>
    <n v="3"/>
    <s v="Life Sciences"/>
    <n v="3"/>
    <x v="1"/>
    <n v="1"/>
    <n v="4"/>
    <x v="0"/>
    <x v="2"/>
    <s v="Married"/>
    <n v="12936"/>
    <n v="7"/>
    <x v="1"/>
    <n v="11"/>
    <n v="3"/>
    <n v="0"/>
    <n v="25"/>
    <n v="3"/>
    <x v="0"/>
    <n v="23"/>
    <n v="5"/>
    <n v="14"/>
    <n v="10"/>
    <n v="1"/>
    <x v="1"/>
    <x v="2"/>
    <x v="3"/>
    <n v="562.43478260869563"/>
  </r>
  <r>
    <n v="26"/>
    <x v="1"/>
    <x v="1"/>
    <n v="17"/>
    <n v="4"/>
    <s v="Medical"/>
    <n v="4"/>
    <x v="1"/>
    <n v="1"/>
    <n v="1"/>
    <x v="2"/>
    <x v="2"/>
    <s v="Married"/>
    <n v="2305"/>
    <n v="1"/>
    <x v="1"/>
    <n v="15"/>
    <n v="3"/>
    <n v="3"/>
    <n v="3"/>
    <n v="3"/>
    <x v="3"/>
    <n v="3"/>
    <n v="2"/>
    <n v="0"/>
    <n v="2"/>
    <n v="0"/>
    <x v="2"/>
    <x v="1"/>
    <x v="2"/>
    <n v="768.33333333333337"/>
  </r>
  <r>
    <n v="45"/>
    <x v="1"/>
    <x v="1"/>
    <n v="28"/>
    <n v="2"/>
    <s v="Technical Degree"/>
    <n v="4"/>
    <x v="0"/>
    <n v="2"/>
    <n v="4"/>
    <x v="7"/>
    <x v="1"/>
    <s v="Single"/>
    <n v="16704"/>
    <n v="1"/>
    <x v="1"/>
    <n v="11"/>
    <n v="3"/>
    <n v="0"/>
    <n v="21"/>
    <n v="2"/>
    <x v="1"/>
    <n v="21"/>
    <n v="6"/>
    <n v="8"/>
    <n v="6"/>
    <n v="0"/>
    <x v="0"/>
    <x v="2"/>
    <x v="3"/>
    <n v="795.42857142857144"/>
  </r>
  <r>
    <n v="32"/>
    <x v="1"/>
    <x v="1"/>
    <n v="10"/>
    <n v="3"/>
    <s v="Life Sciences"/>
    <n v="1"/>
    <x v="1"/>
    <n v="3"/>
    <n v="1"/>
    <x v="1"/>
    <x v="2"/>
    <s v="Married"/>
    <n v="3433"/>
    <n v="6"/>
    <x v="1"/>
    <n v="13"/>
    <n v="1"/>
    <n v="1"/>
    <n v="10"/>
    <n v="3"/>
    <x v="2"/>
    <n v="5"/>
    <n v="2"/>
    <n v="1"/>
    <n v="3"/>
    <n v="0"/>
    <x v="2"/>
    <x v="1"/>
    <x v="2"/>
    <n v="686.6"/>
  </r>
  <r>
    <n v="31"/>
    <x v="1"/>
    <x v="1"/>
    <n v="2"/>
    <n v="4"/>
    <s v="Life Sciences"/>
    <n v="2"/>
    <x v="1"/>
    <n v="3"/>
    <n v="1"/>
    <x v="2"/>
    <x v="2"/>
    <s v="Married"/>
    <n v="3477"/>
    <n v="1"/>
    <x v="1"/>
    <n v="14"/>
    <n v="4"/>
    <n v="1"/>
    <n v="6"/>
    <n v="2"/>
    <x v="3"/>
    <n v="5"/>
    <n v="2"/>
    <n v="0"/>
    <n v="3"/>
    <n v="0"/>
    <x v="2"/>
    <x v="1"/>
    <x v="2"/>
    <n v="695.4"/>
  </r>
  <r>
    <n v="41"/>
    <x v="1"/>
    <x v="2"/>
    <n v="4"/>
    <n v="3"/>
    <s v="Human Resources"/>
    <n v="3"/>
    <x v="1"/>
    <n v="1"/>
    <n v="2"/>
    <x v="8"/>
    <x v="1"/>
    <s v="Married"/>
    <n v="6430"/>
    <n v="6"/>
    <x v="1"/>
    <n v="19"/>
    <n v="2"/>
    <n v="1"/>
    <n v="10"/>
    <n v="4"/>
    <x v="1"/>
    <n v="3"/>
    <n v="2"/>
    <n v="1"/>
    <n v="2"/>
    <n v="0"/>
    <x v="0"/>
    <x v="0"/>
    <x v="2"/>
    <n v="2143.3333333333335"/>
  </r>
  <r>
    <n v="40"/>
    <x v="1"/>
    <x v="1"/>
    <n v="8"/>
    <n v="2"/>
    <s v="Life Sciences"/>
    <n v="2"/>
    <x v="0"/>
    <n v="3"/>
    <n v="2"/>
    <x v="3"/>
    <x v="3"/>
    <s v="Married"/>
    <n v="6516"/>
    <n v="2"/>
    <x v="0"/>
    <n v="16"/>
    <n v="2"/>
    <n v="1"/>
    <n v="18"/>
    <n v="3"/>
    <x v="1"/>
    <n v="1"/>
    <n v="0"/>
    <n v="0"/>
    <n v="0"/>
    <n v="0"/>
    <x v="0"/>
    <x v="0"/>
    <x v="1"/>
    <n v="6516"/>
  </r>
  <r>
    <n v="24"/>
    <x v="1"/>
    <x v="1"/>
    <n v="29"/>
    <n v="1"/>
    <s v="Medical"/>
    <n v="2"/>
    <x v="1"/>
    <n v="3"/>
    <n v="1"/>
    <x v="2"/>
    <x v="3"/>
    <s v="Divorced"/>
    <n v="3907"/>
    <n v="1"/>
    <x v="1"/>
    <n v="13"/>
    <n v="2"/>
    <n v="3"/>
    <n v="6"/>
    <n v="2"/>
    <x v="3"/>
    <n v="6"/>
    <n v="2"/>
    <n v="1"/>
    <n v="2"/>
    <n v="0"/>
    <x v="3"/>
    <x v="1"/>
    <x v="0"/>
    <n v="651.16666666666663"/>
  </r>
  <r>
    <n v="46"/>
    <x v="1"/>
    <x v="1"/>
    <n v="13"/>
    <n v="4"/>
    <s v="Life Sciences"/>
    <n v="3"/>
    <x v="1"/>
    <n v="3"/>
    <n v="2"/>
    <x v="4"/>
    <x v="1"/>
    <s v="Single"/>
    <n v="5562"/>
    <n v="6"/>
    <x v="1"/>
    <n v="14"/>
    <n v="4"/>
    <n v="0"/>
    <n v="19"/>
    <n v="3"/>
    <x v="1"/>
    <n v="10"/>
    <n v="7"/>
    <n v="0"/>
    <n v="9"/>
    <n v="0"/>
    <x v="1"/>
    <x v="0"/>
    <x v="0"/>
    <n v="556.20000000000005"/>
  </r>
  <r>
    <n v="35"/>
    <x v="1"/>
    <x v="1"/>
    <n v="27"/>
    <n v="4"/>
    <s v="Life Sciences"/>
    <n v="4"/>
    <x v="1"/>
    <n v="3"/>
    <n v="2"/>
    <x v="3"/>
    <x v="2"/>
    <s v="Married"/>
    <n v="6883"/>
    <n v="2"/>
    <x v="1"/>
    <n v="16"/>
    <n v="2"/>
    <n v="1"/>
    <n v="17"/>
    <n v="3"/>
    <x v="1"/>
    <n v="7"/>
    <n v="7"/>
    <n v="0"/>
    <n v="7"/>
    <n v="0"/>
    <x v="2"/>
    <x v="0"/>
    <x v="0"/>
    <n v="983.28571428571433"/>
  </r>
  <r>
    <n v="30"/>
    <x v="1"/>
    <x v="1"/>
    <n v="16"/>
    <n v="1"/>
    <s v="Life Sciences"/>
    <n v="2"/>
    <x v="1"/>
    <n v="3"/>
    <n v="1"/>
    <x v="1"/>
    <x v="0"/>
    <s v="Married"/>
    <n v="2862"/>
    <n v="1"/>
    <x v="1"/>
    <n v="12"/>
    <n v="2"/>
    <n v="1"/>
    <n v="10"/>
    <n v="2"/>
    <x v="2"/>
    <n v="10"/>
    <n v="0"/>
    <n v="0"/>
    <n v="8"/>
    <n v="0"/>
    <x v="2"/>
    <x v="1"/>
    <x v="0"/>
    <n v="286.2"/>
  </r>
  <r>
    <n v="47"/>
    <x v="1"/>
    <x v="0"/>
    <n v="2"/>
    <n v="4"/>
    <s v="Marketing"/>
    <n v="3"/>
    <x v="1"/>
    <n v="3"/>
    <n v="2"/>
    <x v="0"/>
    <x v="1"/>
    <s v="Married"/>
    <n v="4978"/>
    <n v="7"/>
    <x v="1"/>
    <n v="11"/>
    <n v="4"/>
    <n v="1"/>
    <n v="4"/>
    <n v="3"/>
    <x v="0"/>
    <n v="1"/>
    <n v="0"/>
    <n v="0"/>
    <n v="0"/>
    <n v="0"/>
    <x v="1"/>
    <x v="0"/>
    <x v="1"/>
    <n v="4978"/>
  </r>
  <r>
    <n v="46"/>
    <x v="1"/>
    <x v="0"/>
    <n v="2"/>
    <n v="3"/>
    <s v="Life Sciences"/>
    <n v="3"/>
    <x v="1"/>
    <n v="3"/>
    <n v="3"/>
    <x v="0"/>
    <x v="0"/>
    <s v="Divorced"/>
    <n v="10368"/>
    <n v="4"/>
    <x v="0"/>
    <n v="12"/>
    <n v="2"/>
    <n v="1"/>
    <n v="13"/>
    <n v="5"/>
    <x v="2"/>
    <n v="10"/>
    <n v="6"/>
    <n v="0"/>
    <n v="3"/>
    <n v="0"/>
    <x v="1"/>
    <x v="2"/>
    <x v="0"/>
    <n v="1036.8"/>
  </r>
  <r>
    <n v="36"/>
    <x v="0"/>
    <x v="0"/>
    <n v="13"/>
    <n v="5"/>
    <s v="Marketing"/>
    <n v="2"/>
    <x v="1"/>
    <n v="2"/>
    <n v="2"/>
    <x v="0"/>
    <x v="3"/>
    <s v="Divorced"/>
    <n v="6134"/>
    <n v="5"/>
    <x v="0"/>
    <n v="13"/>
    <n v="2"/>
    <n v="3"/>
    <n v="16"/>
    <n v="3"/>
    <x v="1"/>
    <n v="2"/>
    <n v="2"/>
    <n v="2"/>
    <n v="2"/>
    <n v="1"/>
    <x v="0"/>
    <x v="0"/>
    <x v="1"/>
    <n v="3067"/>
  </r>
  <r>
    <n v="32"/>
    <x v="0"/>
    <x v="0"/>
    <n v="1"/>
    <n v="2"/>
    <s v="Life Sciences"/>
    <n v="1"/>
    <x v="1"/>
    <n v="1"/>
    <n v="2"/>
    <x v="0"/>
    <x v="1"/>
    <s v="Single"/>
    <n v="6735"/>
    <n v="6"/>
    <x v="1"/>
    <n v="15"/>
    <n v="2"/>
    <n v="0"/>
    <n v="10"/>
    <n v="2"/>
    <x v="1"/>
    <n v="0"/>
    <n v="0"/>
    <n v="0"/>
    <n v="0"/>
    <n v="1"/>
    <x v="2"/>
    <x v="0"/>
    <x v="1"/>
    <n v="6735"/>
  </r>
  <r>
    <n v="23"/>
    <x v="1"/>
    <x v="1"/>
    <n v="4"/>
    <n v="1"/>
    <s v="Medical"/>
    <n v="3"/>
    <x v="0"/>
    <n v="3"/>
    <n v="1"/>
    <x v="2"/>
    <x v="1"/>
    <s v="Single"/>
    <n v="3295"/>
    <n v="1"/>
    <x v="1"/>
    <n v="13"/>
    <n v="3"/>
    <n v="0"/>
    <n v="3"/>
    <n v="3"/>
    <x v="0"/>
    <n v="3"/>
    <n v="2"/>
    <n v="1"/>
    <n v="2"/>
    <n v="0"/>
    <x v="3"/>
    <x v="1"/>
    <x v="2"/>
    <n v="1098.3333333333333"/>
  </r>
  <r>
    <n v="31"/>
    <x v="1"/>
    <x v="1"/>
    <n v="24"/>
    <n v="1"/>
    <s v="Technical Degree"/>
    <n v="4"/>
    <x v="0"/>
    <n v="3"/>
    <n v="2"/>
    <x v="3"/>
    <x v="0"/>
    <s v="Single"/>
    <n v="5238"/>
    <n v="2"/>
    <x v="1"/>
    <n v="20"/>
    <n v="4"/>
    <n v="0"/>
    <n v="9"/>
    <n v="3"/>
    <x v="2"/>
    <n v="5"/>
    <n v="4"/>
    <n v="1"/>
    <n v="4"/>
    <n v="0"/>
    <x v="2"/>
    <x v="0"/>
    <x v="2"/>
    <n v="1047.5999999999999"/>
  </r>
  <r>
    <n v="39"/>
    <x v="1"/>
    <x v="1"/>
    <n v="1"/>
    <n v="3"/>
    <s v="Life Sciences"/>
    <n v="4"/>
    <x v="1"/>
    <n v="3"/>
    <n v="2"/>
    <x v="2"/>
    <x v="0"/>
    <s v="Married"/>
    <n v="6472"/>
    <n v="1"/>
    <x v="0"/>
    <n v="15"/>
    <n v="4"/>
    <n v="1"/>
    <n v="9"/>
    <n v="2"/>
    <x v="1"/>
    <n v="9"/>
    <n v="8"/>
    <n v="5"/>
    <n v="8"/>
    <n v="0"/>
    <x v="0"/>
    <x v="0"/>
    <x v="0"/>
    <n v="719.11111111111109"/>
  </r>
  <r>
    <n v="32"/>
    <x v="1"/>
    <x v="0"/>
    <n v="19"/>
    <n v="3"/>
    <s v="Life Sciences"/>
    <n v="4"/>
    <x v="1"/>
    <n v="1"/>
    <n v="3"/>
    <x v="0"/>
    <x v="2"/>
    <s v="Married"/>
    <n v="9610"/>
    <n v="3"/>
    <x v="1"/>
    <n v="13"/>
    <n v="3"/>
    <n v="1"/>
    <n v="10"/>
    <n v="2"/>
    <x v="0"/>
    <n v="4"/>
    <n v="3"/>
    <n v="0"/>
    <n v="2"/>
    <n v="0"/>
    <x v="2"/>
    <x v="0"/>
    <x v="2"/>
    <n v="2402.5"/>
  </r>
  <r>
    <n v="40"/>
    <x v="1"/>
    <x v="0"/>
    <n v="7"/>
    <n v="4"/>
    <s v="Medical"/>
    <n v="2"/>
    <x v="1"/>
    <n v="3"/>
    <n v="5"/>
    <x v="5"/>
    <x v="1"/>
    <s v="Single"/>
    <n v="19833"/>
    <n v="1"/>
    <x v="1"/>
    <n v="14"/>
    <n v="2"/>
    <n v="0"/>
    <n v="21"/>
    <n v="3"/>
    <x v="2"/>
    <n v="21"/>
    <n v="8"/>
    <n v="12"/>
    <n v="8"/>
    <n v="0"/>
    <x v="0"/>
    <x v="2"/>
    <x v="3"/>
    <n v="944.42857142857144"/>
  </r>
  <r>
    <n v="45"/>
    <x v="1"/>
    <x v="2"/>
    <n v="4"/>
    <n v="3"/>
    <s v="Life Sciences"/>
    <n v="3"/>
    <x v="0"/>
    <n v="1"/>
    <n v="3"/>
    <x v="8"/>
    <x v="2"/>
    <s v="Married"/>
    <n v="9756"/>
    <n v="4"/>
    <x v="1"/>
    <n v="21"/>
    <n v="3"/>
    <n v="2"/>
    <n v="9"/>
    <n v="2"/>
    <x v="3"/>
    <n v="5"/>
    <n v="0"/>
    <n v="0"/>
    <n v="3"/>
    <n v="0"/>
    <x v="0"/>
    <x v="0"/>
    <x v="2"/>
    <n v="1951.2"/>
  </r>
  <r>
    <n v="30"/>
    <x v="1"/>
    <x v="1"/>
    <n v="2"/>
    <n v="4"/>
    <s v="Technical Degree"/>
    <n v="4"/>
    <x v="0"/>
    <n v="2"/>
    <n v="1"/>
    <x v="1"/>
    <x v="3"/>
    <s v="Single"/>
    <n v="4968"/>
    <n v="0"/>
    <x v="1"/>
    <n v="16"/>
    <n v="4"/>
    <n v="0"/>
    <n v="10"/>
    <n v="2"/>
    <x v="1"/>
    <n v="9"/>
    <n v="7"/>
    <n v="0"/>
    <n v="7"/>
    <n v="0"/>
    <x v="2"/>
    <x v="0"/>
    <x v="0"/>
    <n v="552"/>
  </r>
  <r>
    <n v="24"/>
    <x v="1"/>
    <x v="2"/>
    <n v="10"/>
    <n v="3"/>
    <s v="Medical"/>
    <n v="1"/>
    <x v="1"/>
    <n v="3"/>
    <n v="1"/>
    <x v="8"/>
    <x v="0"/>
    <s v="Married"/>
    <n v="2145"/>
    <n v="0"/>
    <x v="1"/>
    <n v="14"/>
    <n v="4"/>
    <n v="1"/>
    <n v="3"/>
    <n v="2"/>
    <x v="1"/>
    <n v="2"/>
    <n v="2"/>
    <n v="2"/>
    <n v="1"/>
    <n v="0"/>
    <x v="3"/>
    <x v="1"/>
    <x v="1"/>
    <n v="1072.5"/>
  </r>
  <r>
    <n v="30"/>
    <x v="0"/>
    <x v="2"/>
    <n v="8"/>
    <n v="3"/>
    <s v="Human Resources"/>
    <n v="3"/>
    <x v="0"/>
    <n v="2"/>
    <n v="1"/>
    <x v="8"/>
    <x v="0"/>
    <s v="Divorced"/>
    <n v="2180"/>
    <n v="6"/>
    <x v="1"/>
    <n v="11"/>
    <n v="3"/>
    <n v="1"/>
    <n v="6"/>
    <n v="0"/>
    <x v="2"/>
    <n v="4"/>
    <n v="2"/>
    <n v="1"/>
    <n v="2"/>
    <n v="1"/>
    <x v="2"/>
    <x v="1"/>
    <x v="2"/>
    <n v="545"/>
  </r>
  <r>
    <n v="31"/>
    <x v="1"/>
    <x v="0"/>
    <n v="5"/>
    <n v="3"/>
    <s v="Technical Degree"/>
    <n v="1"/>
    <x v="1"/>
    <n v="3"/>
    <n v="2"/>
    <x v="0"/>
    <x v="2"/>
    <s v="Married"/>
    <n v="8346"/>
    <n v="1"/>
    <x v="1"/>
    <n v="19"/>
    <n v="3"/>
    <n v="1"/>
    <n v="6"/>
    <n v="3"/>
    <x v="1"/>
    <n v="5"/>
    <n v="2"/>
    <n v="0"/>
    <n v="2"/>
    <n v="0"/>
    <x v="2"/>
    <x v="0"/>
    <x v="2"/>
    <n v="1669.2"/>
  </r>
  <r>
    <n v="27"/>
    <x v="1"/>
    <x v="1"/>
    <n v="8"/>
    <n v="3"/>
    <s v="Medical"/>
    <n v="3"/>
    <x v="0"/>
    <n v="3"/>
    <n v="1"/>
    <x v="1"/>
    <x v="0"/>
    <s v="Single"/>
    <n v="3445"/>
    <n v="1"/>
    <x v="1"/>
    <n v="11"/>
    <n v="3"/>
    <n v="0"/>
    <n v="6"/>
    <n v="5"/>
    <x v="2"/>
    <n v="6"/>
    <n v="2"/>
    <n v="1"/>
    <n v="4"/>
    <n v="0"/>
    <x v="2"/>
    <x v="1"/>
    <x v="0"/>
    <n v="574.16666666666663"/>
  </r>
  <r>
    <n v="29"/>
    <x v="0"/>
    <x v="0"/>
    <n v="9"/>
    <n v="3"/>
    <s v="Marketing"/>
    <n v="2"/>
    <x v="0"/>
    <n v="1"/>
    <n v="1"/>
    <x v="6"/>
    <x v="1"/>
    <s v="Single"/>
    <n v="2760"/>
    <n v="1"/>
    <x v="1"/>
    <n v="13"/>
    <n v="3"/>
    <n v="0"/>
    <n v="2"/>
    <n v="3"/>
    <x v="1"/>
    <n v="2"/>
    <n v="2"/>
    <n v="2"/>
    <n v="2"/>
    <n v="1"/>
    <x v="2"/>
    <x v="1"/>
    <x v="1"/>
    <n v="1380"/>
  </r>
  <r>
    <n v="29"/>
    <x v="1"/>
    <x v="1"/>
    <n v="1"/>
    <n v="3"/>
    <s v="Life Sciences"/>
    <n v="4"/>
    <x v="1"/>
    <n v="4"/>
    <n v="2"/>
    <x v="4"/>
    <x v="2"/>
    <s v="Single"/>
    <n v="6294"/>
    <n v="8"/>
    <x v="0"/>
    <n v="12"/>
    <n v="4"/>
    <n v="0"/>
    <n v="10"/>
    <n v="5"/>
    <x v="3"/>
    <n v="3"/>
    <n v="2"/>
    <n v="0"/>
    <n v="2"/>
    <n v="0"/>
    <x v="2"/>
    <x v="0"/>
    <x v="2"/>
    <n v="2098"/>
  </r>
  <r>
    <n v="30"/>
    <x v="1"/>
    <x v="0"/>
    <n v="15"/>
    <n v="2"/>
    <s v="Marketing"/>
    <n v="3"/>
    <x v="1"/>
    <n v="2"/>
    <n v="3"/>
    <x v="0"/>
    <x v="3"/>
    <s v="Divorced"/>
    <n v="7140"/>
    <n v="2"/>
    <x v="1"/>
    <n v="11"/>
    <n v="1"/>
    <n v="1"/>
    <n v="12"/>
    <n v="2"/>
    <x v="1"/>
    <n v="7"/>
    <n v="7"/>
    <n v="1"/>
    <n v="7"/>
    <n v="0"/>
    <x v="2"/>
    <x v="0"/>
    <x v="0"/>
    <n v="1020"/>
  </r>
  <r>
    <n v="34"/>
    <x v="1"/>
    <x v="1"/>
    <n v="2"/>
    <n v="4"/>
    <s v="Medical"/>
    <n v="4"/>
    <x v="1"/>
    <n v="4"/>
    <n v="1"/>
    <x v="1"/>
    <x v="0"/>
    <s v="Married"/>
    <n v="2932"/>
    <n v="0"/>
    <x v="0"/>
    <n v="14"/>
    <n v="1"/>
    <n v="3"/>
    <n v="6"/>
    <n v="3"/>
    <x v="1"/>
    <n v="5"/>
    <n v="0"/>
    <n v="1"/>
    <n v="2"/>
    <n v="0"/>
    <x v="2"/>
    <x v="1"/>
    <x v="2"/>
    <n v="586.4"/>
  </r>
  <r>
    <n v="33"/>
    <x v="1"/>
    <x v="0"/>
    <n v="2"/>
    <n v="3"/>
    <s v="Marketing"/>
    <n v="4"/>
    <x v="0"/>
    <n v="3"/>
    <n v="2"/>
    <x v="0"/>
    <x v="1"/>
    <s v="Single"/>
    <n v="5147"/>
    <n v="8"/>
    <x v="1"/>
    <n v="15"/>
    <n v="4"/>
    <n v="0"/>
    <n v="13"/>
    <n v="2"/>
    <x v="2"/>
    <n v="11"/>
    <n v="7"/>
    <n v="1"/>
    <n v="7"/>
    <n v="0"/>
    <x v="2"/>
    <x v="0"/>
    <x v="3"/>
    <n v="467.90909090909093"/>
  </r>
  <r>
    <n v="49"/>
    <x v="1"/>
    <x v="0"/>
    <n v="11"/>
    <n v="4"/>
    <s v="Marketing"/>
    <n v="4"/>
    <x v="0"/>
    <n v="3"/>
    <n v="2"/>
    <x v="0"/>
    <x v="0"/>
    <s v="Single"/>
    <n v="4507"/>
    <n v="3"/>
    <x v="1"/>
    <n v="12"/>
    <n v="3"/>
    <n v="0"/>
    <n v="8"/>
    <n v="1"/>
    <x v="3"/>
    <n v="5"/>
    <n v="1"/>
    <n v="0"/>
    <n v="4"/>
    <n v="0"/>
    <x v="1"/>
    <x v="0"/>
    <x v="2"/>
    <n v="901.4"/>
  </r>
  <r>
    <n v="33"/>
    <x v="0"/>
    <x v="0"/>
    <n v="16"/>
    <n v="3"/>
    <s v="Life Sciences"/>
    <n v="1"/>
    <x v="0"/>
    <n v="3"/>
    <n v="3"/>
    <x v="0"/>
    <x v="3"/>
    <s v="Single"/>
    <n v="8564"/>
    <n v="2"/>
    <x v="0"/>
    <n v="20"/>
    <n v="3"/>
    <n v="0"/>
    <n v="11"/>
    <n v="2"/>
    <x v="2"/>
    <n v="0"/>
    <n v="0"/>
    <n v="0"/>
    <n v="0"/>
    <n v="1"/>
    <x v="2"/>
    <x v="0"/>
    <x v="1"/>
    <n v="8564"/>
  </r>
  <r>
    <n v="38"/>
    <x v="1"/>
    <x v="1"/>
    <n v="2"/>
    <n v="2"/>
    <s v="Medical"/>
    <n v="3"/>
    <x v="0"/>
    <n v="2"/>
    <n v="1"/>
    <x v="2"/>
    <x v="1"/>
    <s v="Married"/>
    <n v="2468"/>
    <n v="4"/>
    <x v="1"/>
    <n v="14"/>
    <n v="2"/>
    <n v="1"/>
    <n v="9"/>
    <n v="4"/>
    <x v="2"/>
    <n v="6"/>
    <n v="1"/>
    <n v="0"/>
    <n v="5"/>
    <n v="0"/>
    <x v="0"/>
    <x v="1"/>
    <x v="0"/>
    <n v="411.33333333333331"/>
  </r>
  <r>
    <n v="31"/>
    <x v="0"/>
    <x v="0"/>
    <n v="16"/>
    <n v="4"/>
    <s v="Marketing"/>
    <n v="1"/>
    <x v="1"/>
    <n v="3"/>
    <n v="3"/>
    <x v="0"/>
    <x v="2"/>
    <s v="Married"/>
    <n v="8161"/>
    <n v="2"/>
    <x v="1"/>
    <n v="13"/>
    <n v="1"/>
    <n v="3"/>
    <n v="10"/>
    <n v="2"/>
    <x v="1"/>
    <n v="1"/>
    <n v="0"/>
    <n v="0"/>
    <n v="0"/>
    <n v="1"/>
    <x v="2"/>
    <x v="0"/>
    <x v="1"/>
    <n v="8161"/>
  </r>
  <r>
    <n v="29"/>
    <x v="1"/>
    <x v="1"/>
    <n v="4"/>
    <n v="3"/>
    <s v="Technical Degree"/>
    <n v="4"/>
    <x v="0"/>
    <n v="2"/>
    <n v="1"/>
    <x v="1"/>
    <x v="3"/>
    <s v="Divorced"/>
    <n v="2109"/>
    <n v="1"/>
    <x v="1"/>
    <n v="13"/>
    <n v="3"/>
    <n v="1"/>
    <n v="1"/>
    <n v="2"/>
    <x v="1"/>
    <n v="1"/>
    <n v="0"/>
    <n v="0"/>
    <n v="0"/>
    <n v="0"/>
    <x v="2"/>
    <x v="1"/>
    <x v="1"/>
    <n v="2109"/>
  </r>
  <r>
    <n v="30"/>
    <x v="1"/>
    <x v="1"/>
    <n v="16"/>
    <n v="3"/>
    <s v="Life Sciences"/>
    <n v="3"/>
    <x v="1"/>
    <n v="4"/>
    <n v="2"/>
    <x v="4"/>
    <x v="2"/>
    <s v="Married"/>
    <n v="5294"/>
    <n v="3"/>
    <x v="1"/>
    <n v="16"/>
    <n v="3"/>
    <n v="1"/>
    <n v="10"/>
    <n v="3"/>
    <x v="1"/>
    <n v="7"/>
    <n v="0"/>
    <n v="1"/>
    <n v="7"/>
    <n v="0"/>
    <x v="2"/>
    <x v="0"/>
    <x v="0"/>
    <n v="756.28571428571433"/>
  </r>
  <r>
    <n v="32"/>
    <x v="1"/>
    <x v="1"/>
    <n v="5"/>
    <n v="4"/>
    <s v="Technical Degree"/>
    <n v="2"/>
    <x v="1"/>
    <n v="3"/>
    <n v="1"/>
    <x v="1"/>
    <x v="1"/>
    <s v="Single"/>
    <n v="2718"/>
    <n v="2"/>
    <x v="1"/>
    <n v="14"/>
    <n v="2"/>
    <n v="0"/>
    <n v="12"/>
    <n v="3"/>
    <x v="1"/>
    <n v="7"/>
    <n v="7"/>
    <n v="0"/>
    <n v="7"/>
    <n v="0"/>
    <x v="2"/>
    <x v="1"/>
    <x v="0"/>
    <n v="388.28571428571428"/>
  </r>
  <r>
    <n v="38"/>
    <x v="1"/>
    <x v="1"/>
    <n v="18"/>
    <n v="3"/>
    <s v="Medical"/>
    <n v="2"/>
    <x v="1"/>
    <n v="1"/>
    <n v="2"/>
    <x v="4"/>
    <x v="0"/>
    <s v="Married"/>
    <n v="5811"/>
    <n v="3"/>
    <x v="0"/>
    <n v="16"/>
    <n v="3"/>
    <n v="1"/>
    <n v="15"/>
    <n v="2"/>
    <x v="1"/>
    <n v="1"/>
    <n v="0"/>
    <n v="1"/>
    <n v="0"/>
    <n v="0"/>
    <x v="0"/>
    <x v="0"/>
    <x v="1"/>
    <n v="5811"/>
  </r>
  <r>
    <n v="43"/>
    <x v="0"/>
    <x v="1"/>
    <n v="17"/>
    <n v="3"/>
    <s v="Technical Degree"/>
    <n v="3"/>
    <x v="1"/>
    <n v="2"/>
    <n v="1"/>
    <x v="1"/>
    <x v="2"/>
    <s v="Married"/>
    <n v="2437"/>
    <n v="9"/>
    <x v="0"/>
    <n v="16"/>
    <n v="4"/>
    <n v="1"/>
    <n v="6"/>
    <n v="4"/>
    <x v="1"/>
    <n v="1"/>
    <n v="0"/>
    <n v="0"/>
    <n v="0"/>
    <n v="1"/>
    <x v="0"/>
    <x v="1"/>
    <x v="1"/>
    <n v="2437"/>
  </r>
  <r>
    <n v="42"/>
    <x v="1"/>
    <x v="1"/>
    <n v="12"/>
    <n v="3"/>
    <s v="Medical"/>
    <n v="2"/>
    <x v="1"/>
    <n v="3"/>
    <n v="1"/>
    <x v="2"/>
    <x v="1"/>
    <s v="Divorced"/>
    <n v="2766"/>
    <n v="8"/>
    <x v="1"/>
    <n v="22"/>
    <n v="2"/>
    <n v="3"/>
    <n v="7"/>
    <n v="6"/>
    <x v="2"/>
    <n v="5"/>
    <n v="3"/>
    <n v="0"/>
    <n v="4"/>
    <n v="0"/>
    <x v="0"/>
    <x v="1"/>
    <x v="2"/>
    <n v="553.20000000000005"/>
  </r>
  <r>
    <n v="55"/>
    <x v="1"/>
    <x v="1"/>
    <n v="2"/>
    <n v="3"/>
    <s v="Medical"/>
    <n v="3"/>
    <x v="1"/>
    <n v="2"/>
    <n v="5"/>
    <x v="7"/>
    <x v="3"/>
    <s v="Married"/>
    <n v="19038"/>
    <n v="8"/>
    <x v="1"/>
    <n v="12"/>
    <n v="2"/>
    <n v="3"/>
    <n v="34"/>
    <n v="2"/>
    <x v="1"/>
    <n v="1"/>
    <n v="0"/>
    <n v="0"/>
    <n v="0"/>
    <n v="0"/>
    <x v="1"/>
    <x v="2"/>
    <x v="1"/>
    <n v="19038"/>
  </r>
  <r>
    <n v="33"/>
    <x v="1"/>
    <x v="1"/>
    <n v="4"/>
    <n v="3"/>
    <s v="Technical Degree"/>
    <n v="4"/>
    <x v="1"/>
    <n v="3"/>
    <n v="2"/>
    <x v="1"/>
    <x v="1"/>
    <s v="Divorced"/>
    <n v="3055"/>
    <n v="5"/>
    <x v="1"/>
    <n v="15"/>
    <n v="4"/>
    <n v="2"/>
    <n v="11"/>
    <n v="2"/>
    <x v="2"/>
    <n v="9"/>
    <n v="8"/>
    <n v="1"/>
    <n v="7"/>
    <n v="0"/>
    <x v="2"/>
    <x v="1"/>
    <x v="0"/>
    <n v="339.44444444444446"/>
  </r>
  <r>
    <n v="41"/>
    <x v="1"/>
    <x v="1"/>
    <n v="9"/>
    <n v="4"/>
    <s v="Life Sciences"/>
    <n v="3"/>
    <x v="1"/>
    <n v="3"/>
    <n v="1"/>
    <x v="2"/>
    <x v="3"/>
    <s v="Divorced"/>
    <n v="2289"/>
    <n v="1"/>
    <x v="1"/>
    <n v="20"/>
    <n v="2"/>
    <n v="2"/>
    <n v="5"/>
    <n v="2"/>
    <x v="1"/>
    <n v="5"/>
    <n v="3"/>
    <n v="0"/>
    <n v="4"/>
    <n v="0"/>
    <x v="0"/>
    <x v="1"/>
    <x v="2"/>
    <n v="457.8"/>
  </r>
  <r>
    <n v="34"/>
    <x v="1"/>
    <x v="0"/>
    <n v="10"/>
    <n v="3"/>
    <s v="Life Sciences"/>
    <n v="4"/>
    <x v="1"/>
    <n v="3"/>
    <n v="2"/>
    <x v="0"/>
    <x v="2"/>
    <s v="Divorced"/>
    <n v="4001"/>
    <n v="1"/>
    <x v="0"/>
    <n v="14"/>
    <n v="3"/>
    <n v="1"/>
    <n v="15"/>
    <n v="3"/>
    <x v="1"/>
    <n v="15"/>
    <n v="14"/>
    <n v="0"/>
    <n v="7"/>
    <n v="0"/>
    <x v="2"/>
    <x v="0"/>
    <x v="3"/>
    <n v="266.73333333333335"/>
  </r>
  <r>
    <n v="53"/>
    <x v="1"/>
    <x v="1"/>
    <n v="1"/>
    <n v="4"/>
    <s v="Medical"/>
    <n v="1"/>
    <x v="0"/>
    <n v="2"/>
    <n v="4"/>
    <x v="3"/>
    <x v="2"/>
    <s v="Married"/>
    <n v="12965"/>
    <n v="4"/>
    <x v="0"/>
    <n v="20"/>
    <n v="4"/>
    <n v="3"/>
    <n v="27"/>
    <n v="2"/>
    <x v="2"/>
    <n v="3"/>
    <n v="2"/>
    <n v="0"/>
    <n v="2"/>
    <n v="0"/>
    <x v="1"/>
    <x v="2"/>
    <x v="2"/>
    <n v="4321.666666666667"/>
  </r>
  <r>
    <n v="43"/>
    <x v="1"/>
    <x v="2"/>
    <n v="2"/>
    <n v="3"/>
    <s v="Life Sciences"/>
    <n v="2"/>
    <x v="1"/>
    <n v="3"/>
    <n v="1"/>
    <x v="8"/>
    <x v="0"/>
    <s v="Single"/>
    <n v="3539"/>
    <n v="0"/>
    <x v="1"/>
    <n v="13"/>
    <n v="2"/>
    <n v="0"/>
    <n v="10"/>
    <n v="5"/>
    <x v="1"/>
    <n v="9"/>
    <n v="7"/>
    <n v="1"/>
    <n v="8"/>
    <n v="0"/>
    <x v="0"/>
    <x v="1"/>
    <x v="0"/>
    <n v="393.22222222222223"/>
  </r>
  <r>
    <n v="34"/>
    <x v="1"/>
    <x v="0"/>
    <n v="3"/>
    <n v="2"/>
    <s v="Life Sciences"/>
    <n v="4"/>
    <x v="0"/>
    <n v="1"/>
    <n v="2"/>
    <x v="0"/>
    <x v="0"/>
    <s v="Single"/>
    <n v="6029"/>
    <n v="5"/>
    <x v="1"/>
    <n v="12"/>
    <n v="1"/>
    <n v="0"/>
    <n v="6"/>
    <n v="3"/>
    <x v="1"/>
    <n v="2"/>
    <n v="2"/>
    <n v="2"/>
    <n v="2"/>
    <n v="0"/>
    <x v="2"/>
    <x v="0"/>
    <x v="1"/>
    <n v="3014.5"/>
  </r>
  <r>
    <n v="21"/>
    <x v="0"/>
    <x v="0"/>
    <n v="7"/>
    <n v="1"/>
    <s v="Marketing"/>
    <n v="2"/>
    <x v="1"/>
    <n v="3"/>
    <n v="1"/>
    <x v="6"/>
    <x v="1"/>
    <s v="Single"/>
    <n v="2679"/>
    <n v="1"/>
    <x v="1"/>
    <n v="13"/>
    <n v="2"/>
    <n v="0"/>
    <n v="1"/>
    <n v="3"/>
    <x v="1"/>
    <n v="1"/>
    <n v="0"/>
    <n v="1"/>
    <n v="0"/>
    <n v="1"/>
    <x v="3"/>
    <x v="1"/>
    <x v="1"/>
    <n v="2679"/>
  </r>
  <r>
    <n v="38"/>
    <x v="1"/>
    <x v="1"/>
    <n v="6"/>
    <n v="2"/>
    <s v="Other"/>
    <n v="4"/>
    <x v="0"/>
    <n v="2"/>
    <n v="1"/>
    <x v="2"/>
    <x v="2"/>
    <s v="Married"/>
    <n v="3702"/>
    <n v="1"/>
    <x v="1"/>
    <n v="11"/>
    <n v="2"/>
    <n v="1"/>
    <n v="5"/>
    <n v="3"/>
    <x v="1"/>
    <n v="5"/>
    <n v="4"/>
    <n v="0"/>
    <n v="4"/>
    <n v="0"/>
    <x v="0"/>
    <x v="1"/>
    <x v="2"/>
    <n v="740.4"/>
  </r>
  <r>
    <n v="22"/>
    <x v="0"/>
    <x v="1"/>
    <n v="8"/>
    <n v="1"/>
    <s v="Medical"/>
    <n v="3"/>
    <x v="0"/>
    <n v="3"/>
    <n v="1"/>
    <x v="2"/>
    <x v="3"/>
    <s v="Married"/>
    <n v="2398"/>
    <n v="1"/>
    <x v="0"/>
    <n v="17"/>
    <n v="3"/>
    <n v="0"/>
    <n v="1"/>
    <n v="6"/>
    <x v="1"/>
    <n v="1"/>
    <n v="0"/>
    <n v="0"/>
    <n v="0"/>
    <n v="1"/>
    <x v="3"/>
    <x v="1"/>
    <x v="1"/>
    <n v="2398"/>
  </r>
  <r>
    <n v="31"/>
    <x v="1"/>
    <x v="0"/>
    <n v="29"/>
    <n v="4"/>
    <s v="Marketing"/>
    <n v="1"/>
    <x v="0"/>
    <n v="2"/>
    <n v="2"/>
    <x v="0"/>
    <x v="0"/>
    <s v="Married"/>
    <n v="5468"/>
    <n v="1"/>
    <x v="1"/>
    <n v="14"/>
    <n v="1"/>
    <n v="2"/>
    <n v="13"/>
    <n v="3"/>
    <x v="1"/>
    <n v="12"/>
    <n v="7"/>
    <n v="5"/>
    <n v="7"/>
    <n v="0"/>
    <x v="2"/>
    <x v="0"/>
    <x v="3"/>
    <n v="455.66666666666669"/>
  </r>
  <r>
    <n v="51"/>
    <x v="1"/>
    <x v="1"/>
    <n v="3"/>
    <n v="3"/>
    <s v="Technical Degree"/>
    <n v="1"/>
    <x v="0"/>
    <n v="3"/>
    <n v="3"/>
    <x v="5"/>
    <x v="2"/>
    <s v="Married"/>
    <n v="13116"/>
    <n v="2"/>
    <x v="1"/>
    <n v="11"/>
    <n v="4"/>
    <n v="0"/>
    <n v="15"/>
    <n v="2"/>
    <x v="1"/>
    <n v="2"/>
    <n v="2"/>
    <n v="2"/>
    <n v="2"/>
    <n v="0"/>
    <x v="1"/>
    <x v="2"/>
    <x v="1"/>
    <n v="6558"/>
  </r>
  <r>
    <n v="37"/>
    <x v="1"/>
    <x v="0"/>
    <n v="9"/>
    <n v="2"/>
    <s v="Marketing"/>
    <n v="2"/>
    <x v="1"/>
    <n v="2"/>
    <n v="2"/>
    <x v="0"/>
    <x v="1"/>
    <s v="Married"/>
    <n v="4189"/>
    <n v="1"/>
    <x v="1"/>
    <n v="14"/>
    <n v="1"/>
    <n v="2"/>
    <n v="5"/>
    <n v="2"/>
    <x v="1"/>
    <n v="5"/>
    <n v="2"/>
    <n v="0"/>
    <n v="3"/>
    <n v="0"/>
    <x v="0"/>
    <x v="0"/>
    <x v="2"/>
    <n v="837.8"/>
  </r>
  <r>
    <n v="46"/>
    <x v="1"/>
    <x v="1"/>
    <n v="2"/>
    <n v="4"/>
    <s v="Medical"/>
    <n v="3"/>
    <x v="1"/>
    <n v="3"/>
    <n v="5"/>
    <x v="7"/>
    <x v="0"/>
    <s v="Divorced"/>
    <n v="19328"/>
    <n v="7"/>
    <x v="0"/>
    <n v="17"/>
    <n v="3"/>
    <n v="1"/>
    <n v="24"/>
    <n v="3"/>
    <x v="1"/>
    <n v="2"/>
    <n v="1"/>
    <n v="2"/>
    <n v="2"/>
    <n v="0"/>
    <x v="1"/>
    <x v="2"/>
    <x v="1"/>
    <n v="9664"/>
  </r>
  <r>
    <n v="36"/>
    <x v="1"/>
    <x v="1"/>
    <n v="10"/>
    <n v="3"/>
    <s v="Life Sciences"/>
    <n v="4"/>
    <x v="1"/>
    <n v="3"/>
    <n v="3"/>
    <x v="4"/>
    <x v="3"/>
    <s v="Married"/>
    <n v="8321"/>
    <n v="7"/>
    <x v="0"/>
    <n v="13"/>
    <n v="4"/>
    <n v="1"/>
    <n v="15"/>
    <n v="1"/>
    <x v="1"/>
    <n v="12"/>
    <n v="8"/>
    <n v="5"/>
    <n v="7"/>
    <n v="0"/>
    <x v="0"/>
    <x v="0"/>
    <x v="3"/>
    <n v="693.41666666666663"/>
  </r>
  <r>
    <n v="44"/>
    <x v="0"/>
    <x v="1"/>
    <n v="1"/>
    <n v="2"/>
    <s v="Medical"/>
    <n v="3"/>
    <x v="1"/>
    <n v="3"/>
    <n v="1"/>
    <x v="1"/>
    <x v="1"/>
    <s v="Divorced"/>
    <n v="2342"/>
    <n v="1"/>
    <x v="0"/>
    <n v="12"/>
    <n v="3"/>
    <n v="3"/>
    <n v="6"/>
    <n v="2"/>
    <x v="2"/>
    <n v="5"/>
    <n v="3"/>
    <n v="2"/>
    <n v="3"/>
    <n v="1"/>
    <x v="0"/>
    <x v="1"/>
    <x v="2"/>
    <n v="468.4"/>
  </r>
  <r>
    <n v="37"/>
    <x v="1"/>
    <x v="2"/>
    <n v="8"/>
    <n v="2"/>
    <s v="Other"/>
    <n v="3"/>
    <x v="1"/>
    <n v="3"/>
    <n v="2"/>
    <x v="8"/>
    <x v="1"/>
    <s v="Divorced"/>
    <n v="4071"/>
    <n v="2"/>
    <x v="1"/>
    <n v="13"/>
    <n v="3"/>
    <n v="0"/>
    <n v="19"/>
    <n v="4"/>
    <x v="2"/>
    <n v="10"/>
    <n v="0"/>
    <n v="4"/>
    <n v="7"/>
    <n v="0"/>
    <x v="0"/>
    <x v="0"/>
    <x v="0"/>
    <n v="407.1"/>
  </r>
  <r>
    <n v="35"/>
    <x v="0"/>
    <x v="0"/>
    <n v="27"/>
    <n v="3"/>
    <s v="Life Sciences"/>
    <n v="3"/>
    <x v="1"/>
    <n v="3"/>
    <n v="2"/>
    <x v="0"/>
    <x v="0"/>
    <s v="Single"/>
    <n v="5813"/>
    <n v="1"/>
    <x v="0"/>
    <n v="18"/>
    <n v="4"/>
    <n v="0"/>
    <n v="10"/>
    <n v="2"/>
    <x v="1"/>
    <n v="10"/>
    <n v="7"/>
    <n v="7"/>
    <n v="7"/>
    <n v="1"/>
    <x v="2"/>
    <x v="0"/>
    <x v="0"/>
    <n v="581.29999999999995"/>
  </r>
  <r>
    <n v="33"/>
    <x v="1"/>
    <x v="1"/>
    <n v="8"/>
    <n v="4"/>
    <s v="Life Sciences"/>
    <n v="4"/>
    <x v="1"/>
    <n v="4"/>
    <n v="1"/>
    <x v="1"/>
    <x v="3"/>
    <s v="Married"/>
    <n v="3143"/>
    <n v="6"/>
    <x v="1"/>
    <n v="19"/>
    <n v="2"/>
    <n v="1"/>
    <n v="14"/>
    <n v="1"/>
    <x v="1"/>
    <n v="10"/>
    <n v="8"/>
    <n v="7"/>
    <n v="6"/>
    <n v="0"/>
    <x v="2"/>
    <x v="1"/>
    <x v="0"/>
    <n v="314.3"/>
  </r>
  <r>
    <n v="28"/>
    <x v="1"/>
    <x v="1"/>
    <n v="1"/>
    <n v="3"/>
    <s v="Life Sciences"/>
    <n v="3"/>
    <x v="1"/>
    <n v="3"/>
    <n v="1"/>
    <x v="1"/>
    <x v="0"/>
    <s v="Married"/>
    <n v="2044"/>
    <n v="1"/>
    <x v="1"/>
    <n v="11"/>
    <n v="3"/>
    <n v="1"/>
    <n v="5"/>
    <n v="6"/>
    <x v="3"/>
    <n v="5"/>
    <n v="3"/>
    <n v="0"/>
    <n v="3"/>
    <n v="0"/>
    <x v="2"/>
    <x v="1"/>
    <x v="2"/>
    <n v="408.8"/>
  </r>
  <r>
    <n v="39"/>
    <x v="1"/>
    <x v="1"/>
    <n v="10"/>
    <n v="1"/>
    <s v="Medical"/>
    <n v="3"/>
    <x v="1"/>
    <n v="3"/>
    <n v="3"/>
    <x v="7"/>
    <x v="2"/>
    <s v="Single"/>
    <n v="13464"/>
    <n v="7"/>
    <x v="1"/>
    <n v="21"/>
    <n v="3"/>
    <n v="0"/>
    <n v="9"/>
    <n v="3"/>
    <x v="1"/>
    <n v="4"/>
    <n v="3"/>
    <n v="2"/>
    <n v="2"/>
    <n v="0"/>
    <x v="0"/>
    <x v="2"/>
    <x v="2"/>
    <n v="3366"/>
  </r>
  <r>
    <n v="46"/>
    <x v="1"/>
    <x v="0"/>
    <n v="26"/>
    <n v="2"/>
    <s v="Life Sciences"/>
    <n v="2"/>
    <x v="1"/>
    <n v="2"/>
    <n v="2"/>
    <x v="0"/>
    <x v="1"/>
    <s v="Single"/>
    <n v="7991"/>
    <n v="8"/>
    <x v="1"/>
    <n v="15"/>
    <n v="3"/>
    <n v="0"/>
    <n v="6"/>
    <n v="3"/>
    <x v="1"/>
    <n v="2"/>
    <n v="2"/>
    <n v="2"/>
    <n v="2"/>
    <n v="0"/>
    <x v="1"/>
    <x v="0"/>
    <x v="1"/>
    <n v="3995.5"/>
  </r>
  <r>
    <n v="40"/>
    <x v="1"/>
    <x v="1"/>
    <n v="2"/>
    <n v="2"/>
    <s v="Life Sciences"/>
    <n v="3"/>
    <x v="0"/>
    <n v="3"/>
    <n v="1"/>
    <x v="2"/>
    <x v="3"/>
    <s v="Married"/>
    <n v="3377"/>
    <n v="4"/>
    <x v="1"/>
    <n v="17"/>
    <n v="4"/>
    <n v="1"/>
    <n v="7"/>
    <n v="5"/>
    <x v="2"/>
    <n v="4"/>
    <n v="3"/>
    <n v="0"/>
    <n v="2"/>
    <n v="0"/>
    <x v="0"/>
    <x v="1"/>
    <x v="2"/>
    <n v="844.25"/>
  </r>
  <r>
    <n v="42"/>
    <x v="1"/>
    <x v="1"/>
    <n v="13"/>
    <n v="3"/>
    <s v="Medical"/>
    <n v="2"/>
    <x v="1"/>
    <n v="4"/>
    <n v="2"/>
    <x v="4"/>
    <x v="3"/>
    <s v="Married"/>
    <n v="5538"/>
    <n v="5"/>
    <x v="1"/>
    <n v="18"/>
    <n v="3"/>
    <n v="2"/>
    <n v="10"/>
    <n v="2"/>
    <x v="2"/>
    <n v="0"/>
    <n v="0"/>
    <n v="0"/>
    <n v="0"/>
    <n v="0"/>
    <x v="0"/>
    <x v="0"/>
    <x v="1"/>
    <n v="5538"/>
  </r>
  <r>
    <n v="35"/>
    <x v="1"/>
    <x v="1"/>
    <n v="2"/>
    <n v="2"/>
    <s v="Medical"/>
    <n v="2"/>
    <x v="1"/>
    <n v="3"/>
    <n v="2"/>
    <x v="3"/>
    <x v="0"/>
    <s v="Divorced"/>
    <n v="5762"/>
    <n v="2"/>
    <x v="1"/>
    <n v="14"/>
    <n v="3"/>
    <n v="1"/>
    <n v="15"/>
    <n v="6"/>
    <x v="1"/>
    <n v="7"/>
    <n v="7"/>
    <n v="1"/>
    <n v="7"/>
    <n v="0"/>
    <x v="2"/>
    <x v="0"/>
    <x v="0"/>
    <n v="823.14285714285711"/>
  </r>
  <r>
    <n v="38"/>
    <x v="1"/>
    <x v="2"/>
    <n v="2"/>
    <n v="3"/>
    <s v="Human Resources"/>
    <n v="1"/>
    <x v="1"/>
    <n v="3"/>
    <n v="1"/>
    <x v="8"/>
    <x v="1"/>
    <s v="Divorced"/>
    <n v="2592"/>
    <n v="5"/>
    <x v="1"/>
    <n v="13"/>
    <n v="4"/>
    <n v="3"/>
    <n v="13"/>
    <n v="3"/>
    <x v="1"/>
    <n v="11"/>
    <n v="10"/>
    <n v="3"/>
    <n v="8"/>
    <n v="0"/>
    <x v="0"/>
    <x v="1"/>
    <x v="3"/>
    <n v="235.63636363636363"/>
  </r>
  <r>
    <n v="34"/>
    <x v="0"/>
    <x v="1"/>
    <n v="9"/>
    <n v="4"/>
    <s v="Life Sciences"/>
    <n v="4"/>
    <x v="1"/>
    <n v="3"/>
    <n v="2"/>
    <x v="2"/>
    <x v="3"/>
    <s v="Married"/>
    <n v="5346"/>
    <n v="4"/>
    <x v="1"/>
    <n v="17"/>
    <n v="3"/>
    <n v="1"/>
    <n v="11"/>
    <n v="3"/>
    <x v="2"/>
    <n v="7"/>
    <n v="1"/>
    <n v="0"/>
    <n v="7"/>
    <n v="1"/>
    <x v="2"/>
    <x v="0"/>
    <x v="0"/>
    <n v="763.71428571428567"/>
  </r>
  <r>
    <n v="37"/>
    <x v="0"/>
    <x v="1"/>
    <n v="10"/>
    <n v="4"/>
    <s v="Medical"/>
    <n v="4"/>
    <x v="1"/>
    <n v="3"/>
    <n v="2"/>
    <x v="3"/>
    <x v="3"/>
    <s v="Single"/>
    <n v="4213"/>
    <n v="1"/>
    <x v="1"/>
    <n v="15"/>
    <n v="2"/>
    <n v="0"/>
    <n v="10"/>
    <n v="4"/>
    <x v="0"/>
    <n v="10"/>
    <n v="3"/>
    <n v="0"/>
    <n v="8"/>
    <n v="1"/>
    <x v="0"/>
    <x v="0"/>
    <x v="0"/>
    <n v="421.3"/>
  </r>
  <r>
    <n v="39"/>
    <x v="1"/>
    <x v="0"/>
    <n v="20"/>
    <n v="3"/>
    <s v="Life Sciences"/>
    <n v="3"/>
    <x v="1"/>
    <n v="3"/>
    <n v="2"/>
    <x v="0"/>
    <x v="0"/>
    <s v="Divorced"/>
    <n v="4127"/>
    <n v="2"/>
    <x v="1"/>
    <n v="18"/>
    <n v="4"/>
    <n v="1"/>
    <n v="7"/>
    <n v="6"/>
    <x v="1"/>
    <n v="2"/>
    <n v="1"/>
    <n v="2"/>
    <n v="2"/>
    <n v="0"/>
    <x v="0"/>
    <x v="0"/>
    <x v="1"/>
    <n v="2063.5"/>
  </r>
  <r>
    <n v="43"/>
    <x v="1"/>
    <x v="1"/>
    <n v="9"/>
    <n v="3"/>
    <s v="Life Sciences"/>
    <n v="1"/>
    <x v="1"/>
    <n v="3"/>
    <n v="1"/>
    <x v="1"/>
    <x v="2"/>
    <s v="Single"/>
    <n v="2438"/>
    <n v="4"/>
    <x v="1"/>
    <n v="13"/>
    <n v="3"/>
    <n v="0"/>
    <n v="7"/>
    <n v="2"/>
    <x v="2"/>
    <n v="3"/>
    <n v="2"/>
    <n v="1"/>
    <n v="2"/>
    <n v="0"/>
    <x v="0"/>
    <x v="1"/>
    <x v="2"/>
    <n v="812.66666666666663"/>
  </r>
  <r>
    <n v="41"/>
    <x v="1"/>
    <x v="1"/>
    <n v="5"/>
    <n v="3"/>
    <s v="Life Sciences"/>
    <n v="2"/>
    <x v="1"/>
    <n v="4"/>
    <n v="2"/>
    <x v="4"/>
    <x v="1"/>
    <s v="Single"/>
    <n v="6870"/>
    <n v="3"/>
    <x v="1"/>
    <n v="12"/>
    <n v="1"/>
    <n v="0"/>
    <n v="11"/>
    <n v="3"/>
    <x v="0"/>
    <n v="3"/>
    <n v="2"/>
    <n v="1"/>
    <n v="2"/>
    <n v="0"/>
    <x v="0"/>
    <x v="0"/>
    <x v="2"/>
    <n v="2290"/>
  </r>
  <r>
    <n v="41"/>
    <x v="1"/>
    <x v="0"/>
    <n v="4"/>
    <n v="1"/>
    <s v="Marketing"/>
    <n v="3"/>
    <x v="0"/>
    <n v="3"/>
    <n v="3"/>
    <x v="0"/>
    <x v="2"/>
    <s v="Divorced"/>
    <n v="10447"/>
    <n v="0"/>
    <x v="0"/>
    <n v="13"/>
    <n v="4"/>
    <n v="1"/>
    <n v="23"/>
    <n v="3"/>
    <x v="3"/>
    <n v="22"/>
    <n v="14"/>
    <n v="13"/>
    <n v="5"/>
    <n v="0"/>
    <x v="0"/>
    <x v="2"/>
    <x v="3"/>
    <n v="474.86363636363637"/>
  </r>
  <r>
    <n v="30"/>
    <x v="1"/>
    <x v="1"/>
    <n v="10"/>
    <n v="3"/>
    <s v="Medical"/>
    <n v="1"/>
    <x v="0"/>
    <n v="3"/>
    <n v="3"/>
    <x v="3"/>
    <x v="2"/>
    <s v="Single"/>
    <n v="9667"/>
    <n v="9"/>
    <x v="1"/>
    <n v="14"/>
    <n v="2"/>
    <n v="0"/>
    <n v="9"/>
    <n v="3"/>
    <x v="1"/>
    <n v="7"/>
    <n v="7"/>
    <n v="0"/>
    <n v="2"/>
    <n v="0"/>
    <x v="2"/>
    <x v="0"/>
    <x v="0"/>
    <n v="1381"/>
  </r>
  <r>
    <n v="26"/>
    <x v="0"/>
    <x v="2"/>
    <n v="20"/>
    <n v="2"/>
    <s v="Medical"/>
    <n v="4"/>
    <x v="0"/>
    <n v="3"/>
    <n v="1"/>
    <x v="8"/>
    <x v="1"/>
    <s v="Married"/>
    <n v="2148"/>
    <n v="0"/>
    <x v="0"/>
    <n v="11"/>
    <n v="3"/>
    <n v="0"/>
    <n v="6"/>
    <n v="3"/>
    <x v="1"/>
    <n v="5"/>
    <n v="1"/>
    <n v="1"/>
    <n v="4"/>
    <n v="1"/>
    <x v="2"/>
    <x v="1"/>
    <x v="2"/>
    <n v="429.6"/>
  </r>
  <r>
    <n v="46"/>
    <x v="0"/>
    <x v="1"/>
    <n v="21"/>
    <n v="2"/>
    <s v="Medical"/>
    <n v="4"/>
    <x v="0"/>
    <n v="3"/>
    <n v="2"/>
    <x v="4"/>
    <x v="1"/>
    <s v="Married"/>
    <n v="8926"/>
    <n v="4"/>
    <x v="1"/>
    <n v="22"/>
    <n v="4"/>
    <n v="1"/>
    <n v="13"/>
    <n v="2"/>
    <x v="3"/>
    <n v="9"/>
    <n v="7"/>
    <n v="3"/>
    <n v="7"/>
    <n v="1"/>
    <x v="1"/>
    <x v="0"/>
    <x v="0"/>
    <n v="991.77777777777783"/>
  </r>
  <r>
    <n v="40"/>
    <x v="1"/>
    <x v="1"/>
    <n v="1"/>
    <n v="3"/>
    <s v="Life Sciences"/>
    <n v="3"/>
    <x v="0"/>
    <n v="3"/>
    <n v="2"/>
    <x v="4"/>
    <x v="0"/>
    <s v="Divorced"/>
    <n v="6513"/>
    <n v="4"/>
    <x v="1"/>
    <n v="17"/>
    <n v="4"/>
    <n v="1"/>
    <n v="12"/>
    <n v="3"/>
    <x v="1"/>
    <n v="5"/>
    <n v="3"/>
    <n v="0"/>
    <n v="3"/>
    <n v="0"/>
    <x v="0"/>
    <x v="0"/>
    <x v="2"/>
    <n v="1302.5999999999999"/>
  </r>
  <r>
    <n v="34"/>
    <x v="1"/>
    <x v="0"/>
    <n v="8"/>
    <n v="2"/>
    <s v="Technical Degree"/>
    <n v="2"/>
    <x v="1"/>
    <n v="4"/>
    <n v="2"/>
    <x v="0"/>
    <x v="2"/>
    <s v="Married"/>
    <n v="6799"/>
    <n v="1"/>
    <x v="1"/>
    <n v="21"/>
    <n v="3"/>
    <n v="2"/>
    <n v="10"/>
    <n v="5"/>
    <x v="1"/>
    <n v="10"/>
    <n v="8"/>
    <n v="4"/>
    <n v="8"/>
    <n v="0"/>
    <x v="2"/>
    <x v="0"/>
    <x v="0"/>
    <n v="679.9"/>
  </r>
  <r>
    <n v="58"/>
    <x v="1"/>
    <x v="0"/>
    <n v="2"/>
    <n v="3"/>
    <s v="Medical"/>
    <n v="2"/>
    <x v="1"/>
    <n v="3"/>
    <n v="4"/>
    <x v="5"/>
    <x v="1"/>
    <s v="Divorced"/>
    <n v="16291"/>
    <n v="4"/>
    <x v="1"/>
    <n v="22"/>
    <n v="4"/>
    <n v="1"/>
    <n v="37"/>
    <n v="0"/>
    <x v="2"/>
    <n v="16"/>
    <n v="9"/>
    <n v="14"/>
    <n v="14"/>
    <n v="0"/>
    <x v="1"/>
    <x v="2"/>
    <x v="3"/>
    <n v="1018.1875"/>
  </r>
  <r>
    <n v="35"/>
    <x v="1"/>
    <x v="1"/>
    <n v="23"/>
    <n v="4"/>
    <s v="Medical"/>
    <n v="2"/>
    <x v="1"/>
    <n v="1"/>
    <n v="1"/>
    <x v="2"/>
    <x v="2"/>
    <s v="Married"/>
    <n v="2705"/>
    <n v="0"/>
    <x v="1"/>
    <n v="16"/>
    <n v="2"/>
    <n v="1"/>
    <n v="6"/>
    <n v="2"/>
    <x v="3"/>
    <n v="5"/>
    <n v="4"/>
    <n v="0"/>
    <n v="3"/>
    <n v="0"/>
    <x v="2"/>
    <x v="1"/>
    <x v="2"/>
    <n v="541"/>
  </r>
  <r>
    <n v="47"/>
    <x v="1"/>
    <x v="1"/>
    <n v="4"/>
    <n v="3"/>
    <s v="Life Sciences"/>
    <n v="3"/>
    <x v="0"/>
    <n v="2"/>
    <n v="3"/>
    <x v="3"/>
    <x v="1"/>
    <s v="Divorced"/>
    <n v="10333"/>
    <n v="8"/>
    <x v="0"/>
    <n v="12"/>
    <n v="3"/>
    <n v="1"/>
    <n v="28"/>
    <n v="4"/>
    <x v="1"/>
    <n v="22"/>
    <n v="11"/>
    <n v="14"/>
    <n v="10"/>
    <n v="0"/>
    <x v="1"/>
    <x v="2"/>
    <x v="3"/>
    <n v="469.68181818181819"/>
  </r>
  <r>
    <n v="40"/>
    <x v="1"/>
    <x v="1"/>
    <n v="12"/>
    <n v="3"/>
    <s v="Life Sciences"/>
    <n v="2"/>
    <x v="0"/>
    <n v="3"/>
    <n v="2"/>
    <x v="4"/>
    <x v="3"/>
    <s v="Divorced"/>
    <n v="4448"/>
    <n v="2"/>
    <x v="1"/>
    <n v="12"/>
    <n v="2"/>
    <n v="1"/>
    <n v="15"/>
    <n v="3"/>
    <x v="1"/>
    <n v="7"/>
    <n v="4"/>
    <n v="7"/>
    <n v="7"/>
    <n v="0"/>
    <x v="0"/>
    <x v="0"/>
    <x v="0"/>
    <n v="635.42857142857144"/>
  </r>
  <r>
    <n v="54"/>
    <x v="1"/>
    <x v="1"/>
    <n v="7"/>
    <n v="4"/>
    <s v="Medical"/>
    <n v="4"/>
    <x v="0"/>
    <n v="3"/>
    <n v="2"/>
    <x v="1"/>
    <x v="0"/>
    <s v="Married"/>
    <n v="6854"/>
    <n v="4"/>
    <x v="1"/>
    <n v="15"/>
    <n v="2"/>
    <n v="1"/>
    <n v="14"/>
    <n v="2"/>
    <x v="2"/>
    <n v="7"/>
    <n v="1"/>
    <n v="1"/>
    <n v="7"/>
    <n v="0"/>
    <x v="1"/>
    <x v="0"/>
    <x v="0"/>
    <n v="979.14285714285711"/>
  </r>
  <r>
    <n v="31"/>
    <x v="1"/>
    <x v="0"/>
    <n v="7"/>
    <n v="4"/>
    <s v="Marketing"/>
    <n v="1"/>
    <x v="0"/>
    <n v="3"/>
    <n v="3"/>
    <x v="0"/>
    <x v="3"/>
    <s v="Married"/>
    <n v="9637"/>
    <n v="2"/>
    <x v="1"/>
    <n v="14"/>
    <n v="4"/>
    <n v="2"/>
    <n v="9"/>
    <n v="3"/>
    <x v="1"/>
    <n v="3"/>
    <n v="2"/>
    <n v="2"/>
    <n v="2"/>
    <n v="0"/>
    <x v="2"/>
    <x v="0"/>
    <x v="2"/>
    <n v="3212.3333333333335"/>
  </r>
  <r>
    <n v="28"/>
    <x v="1"/>
    <x v="1"/>
    <n v="1"/>
    <n v="3"/>
    <s v="Medical"/>
    <n v="3"/>
    <x v="0"/>
    <n v="3"/>
    <n v="1"/>
    <x v="1"/>
    <x v="3"/>
    <s v="Married"/>
    <n v="3591"/>
    <n v="1"/>
    <x v="1"/>
    <n v="25"/>
    <n v="3"/>
    <n v="1"/>
    <n v="3"/>
    <n v="3"/>
    <x v="1"/>
    <n v="3"/>
    <n v="2"/>
    <n v="1"/>
    <n v="2"/>
    <n v="0"/>
    <x v="2"/>
    <x v="1"/>
    <x v="2"/>
    <n v="1197"/>
  </r>
  <r>
    <n v="38"/>
    <x v="1"/>
    <x v="0"/>
    <n v="2"/>
    <n v="4"/>
    <s v="Marketing"/>
    <n v="2"/>
    <x v="0"/>
    <n v="1"/>
    <n v="2"/>
    <x v="6"/>
    <x v="0"/>
    <s v="Married"/>
    <n v="5405"/>
    <n v="2"/>
    <x v="0"/>
    <n v="20"/>
    <n v="1"/>
    <n v="2"/>
    <n v="20"/>
    <n v="4"/>
    <x v="2"/>
    <n v="4"/>
    <n v="2"/>
    <n v="0"/>
    <n v="3"/>
    <n v="0"/>
    <x v="0"/>
    <x v="0"/>
    <x v="2"/>
    <n v="1351.25"/>
  </r>
  <r>
    <n v="26"/>
    <x v="1"/>
    <x v="0"/>
    <n v="10"/>
    <n v="3"/>
    <s v="Medical"/>
    <n v="3"/>
    <x v="1"/>
    <n v="3"/>
    <n v="2"/>
    <x v="0"/>
    <x v="0"/>
    <s v="Single"/>
    <n v="4684"/>
    <n v="1"/>
    <x v="1"/>
    <n v="13"/>
    <n v="1"/>
    <n v="0"/>
    <n v="5"/>
    <n v="4"/>
    <x v="1"/>
    <n v="5"/>
    <n v="3"/>
    <n v="1"/>
    <n v="2"/>
    <n v="0"/>
    <x v="2"/>
    <x v="0"/>
    <x v="2"/>
    <n v="936.8"/>
  </r>
  <r>
    <n v="58"/>
    <x v="1"/>
    <x v="1"/>
    <n v="15"/>
    <n v="4"/>
    <s v="Life Sciences"/>
    <n v="1"/>
    <x v="1"/>
    <n v="3"/>
    <n v="4"/>
    <x v="7"/>
    <x v="2"/>
    <s v="Married"/>
    <n v="15787"/>
    <n v="2"/>
    <x v="0"/>
    <n v="14"/>
    <n v="2"/>
    <n v="0"/>
    <n v="23"/>
    <n v="3"/>
    <x v="1"/>
    <n v="2"/>
    <n v="2"/>
    <n v="2"/>
    <n v="2"/>
    <n v="0"/>
    <x v="1"/>
    <x v="2"/>
    <x v="1"/>
    <n v="7893.5"/>
  </r>
  <r>
    <n v="18"/>
    <x v="1"/>
    <x v="1"/>
    <n v="14"/>
    <n v="3"/>
    <s v="Medical"/>
    <n v="2"/>
    <x v="0"/>
    <n v="3"/>
    <n v="1"/>
    <x v="1"/>
    <x v="2"/>
    <s v="Single"/>
    <n v="1514"/>
    <n v="1"/>
    <x v="1"/>
    <n v="16"/>
    <n v="3"/>
    <n v="0"/>
    <n v="0"/>
    <n v="4"/>
    <x v="0"/>
    <n v="0"/>
    <n v="0"/>
    <n v="0"/>
    <n v="0"/>
    <n v="0"/>
    <x v="3"/>
    <x v="1"/>
    <x v="1"/>
    <n v="1514"/>
  </r>
  <r>
    <n v="31"/>
    <x v="0"/>
    <x v="2"/>
    <n v="18"/>
    <n v="5"/>
    <s v="Human Resources"/>
    <n v="4"/>
    <x v="1"/>
    <n v="4"/>
    <n v="1"/>
    <x v="8"/>
    <x v="3"/>
    <s v="Married"/>
    <n v="2956"/>
    <n v="0"/>
    <x v="1"/>
    <n v="17"/>
    <n v="3"/>
    <n v="0"/>
    <n v="2"/>
    <n v="4"/>
    <x v="1"/>
    <n v="1"/>
    <n v="0"/>
    <n v="0"/>
    <n v="0"/>
    <n v="1"/>
    <x v="2"/>
    <x v="1"/>
    <x v="1"/>
    <n v="2956"/>
  </r>
  <r>
    <n v="29"/>
    <x v="0"/>
    <x v="2"/>
    <n v="13"/>
    <n v="3"/>
    <s v="Human Resources"/>
    <n v="1"/>
    <x v="1"/>
    <n v="2"/>
    <n v="1"/>
    <x v="8"/>
    <x v="3"/>
    <s v="Divorced"/>
    <n v="2335"/>
    <n v="4"/>
    <x v="0"/>
    <n v="15"/>
    <n v="4"/>
    <n v="3"/>
    <n v="4"/>
    <n v="3"/>
    <x v="1"/>
    <n v="2"/>
    <n v="2"/>
    <n v="2"/>
    <n v="0"/>
    <n v="1"/>
    <x v="2"/>
    <x v="1"/>
    <x v="1"/>
    <n v="1167.5"/>
  </r>
  <r>
    <n v="45"/>
    <x v="1"/>
    <x v="0"/>
    <n v="2"/>
    <n v="4"/>
    <s v="Life Sciences"/>
    <n v="3"/>
    <x v="0"/>
    <n v="3"/>
    <n v="2"/>
    <x v="0"/>
    <x v="2"/>
    <s v="Married"/>
    <n v="5154"/>
    <n v="4"/>
    <x v="1"/>
    <n v="22"/>
    <n v="2"/>
    <n v="2"/>
    <n v="10"/>
    <n v="3"/>
    <x v="3"/>
    <n v="8"/>
    <n v="7"/>
    <n v="5"/>
    <n v="7"/>
    <n v="0"/>
    <x v="0"/>
    <x v="0"/>
    <x v="0"/>
    <n v="644.25"/>
  </r>
  <r>
    <n v="36"/>
    <x v="1"/>
    <x v="1"/>
    <n v="2"/>
    <n v="4"/>
    <s v="Other"/>
    <n v="4"/>
    <x v="0"/>
    <n v="3"/>
    <n v="2"/>
    <x v="1"/>
    <x v="1"/>
    <s v="Married"/>
    <n v="6962"/>
    <n v="4"/>
    <x v="0"/>
    <n v="22"/>
    <n v="4"/>
    <n v="1"/>
    <n v="15"/>
    <n v="2"/>
    <x v="1"/>
    <n v="1"/>
    <n v="0"/>
    <n v="0"/>
    <n v="0"/>
    <n v="0"/>
    <x v="0"/>
    <x v="0"/>
    <x v="1"/>
    <n v="6962"/>
  </r>
  <r>
    <n v="43"/>
    <x v="1"/>
    <x v="0"/>
    <n v="2"/>
    <n v="4"/>
    <s v="Life Sciences"/>
    <n v="1"/>
    <x v="1"/>
    <n v="3"/>
    <n v="2"/>
    <x v="0"/>
    <x v="0"/>
    <s v="Married"/>
    <n v="5675"/>
    <n v="1"/>
    <x v="1"/>
    <n v="20"/>
    <n v="3"/>
    <n v="1"/>
    <n v="7"/>
    <n v="5"/>
    <x v="1"/>
    <n v="7"/>
    <n v="7"/>
    <n v="7"/>
    <n v="7"/>
    <n v="0"/>
    <x v="0"/>
    <x v="0"/>
    <x v="0"/>
    <n v="810.71428571428567"/>
  </r>
  <r>
    <n v="27"/>
    <x v="1"/>
    <x v="1"/>
    <n v="5"/>
    <n v="2"/>
    <s v="Life Sciences"/>
    <n v="4"/>
    <x v="0"/>
    <n v="3"/>
    <n v="1"/>
    <x v="2"/>
    <x v="0"/>
    <s v="Single"/>
    <n v="2379"/>
    <n v="0"/>
    <x v="0"/>
    <n v="14"/>
    <n v="3"/>
    <n v="0"/>
    <n v="6"/>
    <n v="3"/>
    <x v="2"/>
    <n v="5"/>
    <n v="4"/>
    <n v="0"/>
    <n v="2"/>
    <n v="0"/>
    <x v="2"/>
    <x v="1"/>
    <x v="2"/>
    <n v="475.8"/>
  </r>
  <r>
    <n v="29"/>
    <x v="1"/>
    <x v="1"/>
    <n v="20"/>
    <n v="1"/>
    <s v="Medical"/>
    <n v="4"/>
    <x v="1"/>
    <n v="3"/>
    <n v="1"/>
    <x v="2"/>
    <x v="0"/>
    <s v="Married"/>
    <n v="3812"/>
    <n v="1"/>
    <x v="1"/>
    <n v="13"/>
    <n v="2"/>
    <n v="0"/>
    <n v="11"/>
    <n v="3"/>
    <x v="3"/>
    <n v="11"/>
    <n v="8"/>
    <n v="3"/>
    <n v="10"/>
    <n v="0"/>
    <x v="2"/>
    <x v="1"/>
    <x v="3"/>
    <n v="346.54545454545456"/>
  </r>
  <r>
    <n v="32"/>
    <x v="1"/>
    <x v="0"/>
    <n v="10"/>
    <n v="4"/>
    <s v="Marketing"/>
    <n v="4"/>
    <x v="1"/>
    <n v="3"/>
    <n v="2"/>
    <x v="0"/>
    <x v="0"/>
    <s v="Single"/>
    <n v="4648"/>
    <n v="8"/>
    <x v="1"/>
    <n v="13"/>
    <n v="3"/>
    <n v="0"/>
    <n v="4"/>
    <n v="2"/>
    <x v="3"/>
    <n v="0"/>
    <n v="0"/>
    <n v="0"/>
    <n v="0"/>
    <n v="0"/>
    <x v="2"/>
    <x v="0"/>
    <x v="1"/>
    <n v="4648"/>
  </r>
  <r>
    <n v="42"/>
    <x v="1"/>
    <x v="1"/>
    <n v="10"/>
    <n v="4"/>
    <s v="Technical Degree"/>
    <n v="3"/>
    <x v="1"/>
    <n v="3"/>
    <n v="1"/>
    <x v="1"/>
    <x v="2"/>
    <s v="Married"/>
    <n v="2936"/>
    <n v="3"/>
    <x v="1"/>
    <n v="22"/>
    <n v="2"/>
    <n v="2"/>
    <n v="10"/>
    <n v="1"/>
    <x v="2"/>
    <n v="6"/>
    <n v="3"/>
    <n v="3"/>
    <n v="3"/>
    <n v="0"/>
    <x v="0"/>
    <x v="1"/>
    <x v="0"/>
    <n v="489.33333333333331"/>
  </r>
  <r>
    <n v="47"/>
    <x v="1"/>
    <x v="1"/>
    <n v="9"/>
    <n v="4"/>
    <s v="Life Sciences"/>
    <n v="2"/>
    <x v="0"/>
    <n v="3"/>
    <n v="1"/>
    <x v="2"/>
    <x v="2"/>
    <s v="Single"/>
    <n v="2105"/>
    <n v="4"/>
    <x v="1"/>
    <n v="12"/>
    <n v="3"/>
    <n v="0"/>
    <n v="7"/>
    <n v="2"/>
    <x v="1"/>
    <n v="2"/>
    <n v="2"/>
    <n v="2"/>
    <n v="0"/>
    <n v="0"/>
    <x v="1"/>
    <x v="1"/>
    <x v="1"/>
    <n v="1052.5"/>
  </r>
  <r>
    <n v="46"/>
    <x v="1"/>
    <x v="1"/>
    <n v="2"/>
    <n v="2"/>
    <s v="Life Sciences"/>
    <n v="4"/>
    <x v="1"/>
    <n v="3"/>
    <n v="3"/>
    <x v="3"/>
    <x v="0"/>
    <s v="Divorced"/>
    <n v="8578"/>
    <n v="3"/>
    <x v="1"/>
    <n v="14"/>
    <n v="3"/>
    <n v="1"/>
    <n v="12"/>
    <n v="4"/>
    <x v="2"/>
    <n v="9"/>
    <n v="8"/>
    <n v="4"/>
    <n v="7"/>
    <n v="0"/>
    <x v="1"/>
    <x v="0"/>
    <x v="0"/>
    <n v="953.11111111111109"/>
  </r>
  <r>
    <n v="28"/>
    <x v="1"/>
    <x v="2"/>
    <n v="1"/>
    <n v="2"/>
    <s v="Life Sciences"/>
    <n v="3"/>
    <x v="1"/>
    <n v="3"/>
    <n v="1"/>
    <x v="8"/>
    <x v="0"/>
    <s v="Divorced"/>
    <n v="2706"/>
    <n v="1"/>
    <x v="1"/>
    <n v="15"/>
    <n v="2"/>
    <n v="1"/>
    <n v="3"/>
    <n v="2"/>
    <x v="1"/>
    <n v="3"/>
    <n v="2"/>
    <n v="2"/>
    <n v="2"/>
    <n v="0"/>
    <x v="2"/>
    <x v="1"/>
    <x v="2"/>
    <n v="902"/>
  </r>
  <r>
    <n v="29"/>
    <x v="1"/>
    <x v="1"/>
    <n v="29"/>
    <n v="1"/>
    <s v="Life Sciences"/>
    <n v="4"/>
    <x v="1"/>
    <n v="1"/>
    <n v="2"/>
    <x v="4"/>
    <x v="2"/>
    <s v="Divorced"/>
    <n v="6384"/>
    <n v="8"/>
    <x v="1"/>
    <n v="17"/>
    <n v="4"/>
    <n v="2"/>
    <n v="11"/>
    <n v="3"/>
    <x v="1"/>
    <n v="7"/>
    <n v="0"/>
    <n v="1"/>
    <n v="6"/>
    <n v="0"/>
    <x v="2"/>
    <x v="0"/>
    <x v="0"/>
    <n v="912"/>
  </r>
  <r>
    <n v="42"/>
    <x v="1"/>
    <x v="1"/>
    <n v="8"/>
    <n v="3"/>
    <s v="Life Sciences"/>
    <n v="4"/>
    <x v="1"/>
    <n v="3"/>
    <n v="1"/>
    <x v="2"/>
    <x v="2"/>
    <s v="Single"/>
    <n v="3968"/>
    <n v="4"/>
    <x v="1"/>
    <n v="13"/>
    <n v="4"/>
    <n v="0"/>
    <n v="8"/>
    <n v="3"/>
    <x v="1"/>
    <n v="0"/>
    <n v="0"/>
    <n v="0"/>
    <n v="0"/>
    <n v="0"/>
    <x v="0"/>
    <x v="1"/>
    <x v="1"/>
    <n v="3968"/>
  </r>
  <r>
    <n v="32"/>
    <x v="0"/>
    <x v="0"/>
    <n v="2"/>
    <n v="4"/>
    <s v="Marketing"/>
    <n v="3"/>
    <x v="1"/>
    <n v="2"/>
    <n v="2"/>
    <x v="0"/>
    <x v="1"/>
    <s v="Single"/>
    <n v="9907"/>
    <n v="7"/>
    <x v="0"/>
    <n v="12"/>
    <n v="3"/>
    <n v="0"/>
    <n v="7"/>
    <n v="3"/>
    <x v="2"/>
    <n v="2"/>
    <n v="2"/>
    <n v="2"/>
    <n v="2"/>
    <n v="1"/>
    <x v="2"/>
    <x v="0"/>
    <x v="1"/>
    <n v="4953.5"/>
  </r>
  <r>
    <n v="46"/>
    <x v="1"/>
    <x v="0"/>
    <n v="3"/>
    <n v="3"/>
    <s v="Technical Degree"/>
    <n v="1"/>
    <x v="0"/>
    <n v="4"/>
    <n v="4"/>
    <x v="0"/>
    <x v="3"/>
    <s v="Divorced"/>
    <n v="13225"/>
    <n v="2"/>
    <x v="1"/>
    <n v="12"/>
    <n v="4"/>
    <n v="1"/>
    <n v="25"/>
    <n v="5"/>
    <x v="1"/>
    <n v="19"/>
    <n v="17"/>
    <n v="2"/>
    <n v="8"/>
    <n v="0"/>
    <x v="1"/>
    <x v="2"/>
    <x v="3"/>
    <n v="696.0526315789474"/>
  </r>
  <r>
    <n v="27"/>
    <x v="1"/>
    <x v="0"/>
    <n v="23"/>
    <n v="1"/>
    <s v="Medical"/>
    <n v="2"/>
    <x v="0"/>
    <n v="2"/>
    <n v="2"/>
    <x v="6"/>
    <x v="2"/>
    <s v="Married"/>
    <n v="3540"/>
    <n v="1"/>
    <x v="1"/>
    <n v="21"/>
    <n v="4"/>
    <n v="1"/>
    <n v="9"/>
    <n v="5"/>
    <x v="1"/>
    <n v="9"/>
    <n v="8"/>
    <n v="5"/>
    <n v="8"/>
    <n v="0"/>
    <x v="2"/>
    <x v="1"/>
    <x v="0"/>
    <n v="393.33333333333331"/>
  </r>
  <r>
    <n v="29"/>
    <x v="1"/>
    <x v="2"/>
    <n v="6"/>
    <n v="1"/>
    <s v="Medical"/>
    <n v="4"/>
    <x v="1"/>
    <n v="2"/>
    <n v="1"/>
    <x v="8"/>
    <x v="1"/>
    <s v="Married"/>
    <n v="2804"/>
    <n v="1"/>
    <x v="1"/>
    <n v="11"/>
    <n v="4"/>
    <n v="0"/>
    <n v="1"/>
    <n v="3"/>
    <x v="1"/>
    <n v="1"/>
    <n v="0"/>
    <n v="0"/>
    <n v="0"/>
    <n v="0"/>
    <x v="2"/>
    <x v="1"/>
    <x v="1"/>
    <n v="2804"/>
  </r>
  <r>
    <n v="43"/>
    <x v="1"/>
    <x v="1"/>
    <n v="6"/>
    <n v="3"/>
    <s v="Medical"/>
    <n v="1"/>
    <x v="0"/>
    <n v="2"/>
    <n v="5"/>
    <x v="5"/>
    <x v="2"/>
    <s v="Married"/>
    <n v="19392"/>
    <n v="7"/>
    <x v="1"/>
    <n v="13"/>
    <n v="4"/>
    <n v="0"/>
    <n v="21"/>
    <n v="2"/>
    <x v="1"/>
    <n v="16"/>
    <n v="12"/>
    <n v="6"/>
    <n v="14"/>
    <n v="0"/>
    <x v="0"/>
    <x v="2"/>
    <x v="3"/>
    <n v="1212"/>
  </r>
  <r>
    <n v="48"/>
    <x v="1"/>
    <x v="1"/>
    <n v="10"/>
    <n v="3"/>
    <s v="Life Sciences"/>
    <n v="4"/>
    <x v="1"/>
    <n v="2"/>
    <n v="5"/>
    <x v="7"/>
    <x v="1"/>
    <s v="Married"/>
    <n v="19665"/>
    <n v="4"/>
    <x v="1"/>
    <n v="12"/>
    <n v="4"/>
    <n v="0"/>
    <n v="29"/>
    <n v="3"/>
    <x v="1"/>
    <n v="22"/>
    <n v="10"/>
    <n v="12"/>
    <n v="9"/>
    <n v="0"/>
    <x v="1"/>
    <x v="2"/>
    <x v="3"/>
    <n v="893.86363636363637"/>
  </r>
  <r>
    <n v="29"/>
    <x v="0"/>
    <x v="1"/>
    <n v="24"/>
    <n v="2"/>
    <s v="Life Sciences"/>
    <n v="4"/>
    <x v="1"/>
    <n v="2"/>
    <n v="1"/>
    <x v="1"/>
    <x v="0"/>
    <s v="Single"/>
    <n v="2439"/>
    <n v="1"/>
    <x v="0"/>
    <n v="24"/>
    <n v="2"/>
    <n v="0"/>
    <n v="1"/>
    <n v="3"/>
    <x v="2"/>
    <n v="1"/>
    <n v="0"/>
    <n v="1"/>
    <n v="0"/>
    <n v="1"/>
    <x v="2"/>
    <x v="1"/>
    <x v="1"/>
    <n v="2439"/>
  </r>
  <r>
    <n v="46"/>
    <x v="0"/>
    <x v="0"/>
    <n v="10"/>
    <n v="3"/>
    <s v="Life Sciences"/>
    <n v="3"/>
    <x v="0"/>
    <n v="3"/>
    <n v="3"/>
    <x v="0"/>
    <x v="1"/>
    <s v="Married"/>
    <n v="7314"/>
    <n v="5"/>
    <x v="1"/>
    <n v="21"/>
    <n v="3"/>
    <n v="3"/>
    <n v="14"/>
    <n v="2"/>
    <x v="1"/>
    <n v="8"/>
    <n v="7"/>
    <n v="0"/>
    <n v="7"/>
    <n v="1"/>
    <x v="1"/>
    <x v="0"/>
    <x v="0"/>
    <n v="914.25"/>
  </r>
  <r>
    <n v="27"/>
    <x v="1"/>
    <x v="1"/>
    <n v="15"/>
    <n v="3"/>
    <s v="Life Sciences"/>
    <n v="4"/>
    <x v="0"/>
    <n v="2"/>
    <n v="1"/>
    <x v="1"/>
    <x v="3"/>
    <s v="Married"/>
    <n v="4774"/>
    <n v="0"/>
    <x v="1"/>
    <n v="19"/>
    <n v="4"/>
    <n v="1"/>
    <n v="8"/>
    <n v="2"/>
    <x v="2"/>
    <n v="7"/>
    <n v="6"/>
    <n v="7"/>
    <n v="3"/>
    <n v="0"/>
    <x v="2"/>
    <x v="0"/>
    <x v="0"/>
    <n v="682"/>
  </r>
  <r>
    <n v="39"/>
    <x v="1"/>
    <x v="1"/>
    <n v="19"/>
    <n v="4"/>
    <s v="Other"/>
    <n v="4"/>
    <x v="1"/>
    <n v="3"/>
    <n v="2"/>
    <x v="1"/>
    <x v="0"/>
    <s v="Divorced"/>
    <n v="3902"/>
    <n v="8"/>
    <x v="1"/>
    <n v="14"/>
    <n v="2"/>
    <n v="3"/>
    <n v="7"/>
    <n v="2"/>
    <x v="1"/>
    <n v="2"/>
    <n v="2"/>
    <n v="2"/>
    <n v="2"/>
    <n v="0"/>
    <x v="0"/>
    <x v="1"/>
    <x v="1"/>
    <n v="1951"/>
  </r>
  <r>
    <n v="55"/>
    <x v="1"/>
    <x v="1"/>
    <n v="2"/>
    <n v="4"/>
    <s v="Technical Degree"/>
    <n v="2"/>
    <x v="1"/>
    <n v="2"/>
    <n v="1"/>
    <x v="1"/>
    <x v="0"/>
    <s v="Married"/>
    <n v="2662"/>
    <n v="8"/>
    <x v="1"/>
    <n v="20"/>
    <n v="2"/>
    <n v="1"/>
    <n v="19"/>
    <n v="2"/>
    <x v="3"/>
    <n v="5"/>
    <n v="2"/>
    <n v="0"/>
    <n v="4"/>
    <n v="0"/>
    <x v="1"/>
    <x v="1"/>
    <x v="2"/>
    <n v="532.4"/>
  </r>
  <r>
    <n v="28"/>
    <x v="1"/>
    <x v="0"/>
    <n v="3"/>
    <n v="3"/>
    <s v="Medical"/>
    <n v="2"/>
    <x v="0"/>
    <n v="3"/>
    <n v="1"/>
    <x v="6"/>
    <x v="1"/>
    <s v="Married"/>
    <n v="2856"/>
    <n v="1"/>
    <x v="1"/>
    <n v="19"/>
    <n v="4"/>
    <n v="1"/>
    <n v="1"/>
    <n v="3"/>
    <x v="1"/>
    <n v="1"/>
    <n v="0"/>
    <n v="0"/>
    <n v="0"/>
    <n v="0"/>
    <x v="2"/>
    <x v="1"/>
    <x v="1"/>
    <n v="2856"/>
  </r>
  <r>
    <n v="30"/>
    <x v="0"/>
    <x v="0"/>
    <n v="9"/>
    <n v="3"/>
    <s v="Medical"/>
    <n v="2"/>
    <x v="1"/>
    <n v="3"/>
    <n v="1"/>
    <x v="6"/>
    <x v="0"/>
    <s v="Single"/>
    <n v="1081"/>
    <n v="1"/>
    <x v="1"/>
    <n v="13"/>
    <n v="3"/>
    <n v="0"/>
    <n v="1"/>
    <n v="3"/>
    <x v="2"/>
    <n v="1"/>
    <n v="0"/>
    <n v="0"/>
    <n v="0"/>
    <n v="1"/>
    <x v="2"/>
    <x v="1"/>
    <x v="1"/>
    <n v="1081"/>
  </r>
  <r>
    <n v="22"/>
    <x v="0"/>
    <x v="1"/>
    <n v="7"/>
    <n v="1"/>
    <s v="Life Sciences"/>
    <n v="4"/>
    <x v="1"/>
    <n v="3"/>
    <n v="1"/>
    <x v="1"/>
    <x v="1"/>
    <s v="Single"/>
    <n v="2472"/>
    <n v="1"/>
    <x v="0"/>
    <n v="23"/>
    <n v="1"/>
    <n v="0"/>
    <n v="1"/>
    <n v="2"/>
    <x v="1"/>
    <n v="1"/>
    <n v="0"/>
    <n v="0"/>
    <n v="0"/>
    <n v="1"/>
    <x v="3"/>
    <x v="1"/>
    <x v="1"/>
    <n v="2472"/>
  </r>
  <r>
    <n v="36"/>
    <x v="1"/>
    <x v="0"/>
    <n v="10"/>
    <n v="4"/>
    <s v="Technical Degree"/>
    <n v="2"/>
    <x v="0"/>
    <n v="2"/>
    <n v="2"/>
    <x v="0"/>
    <x v="2"/>
    <s v="Married"/>
    <n v="5673"/>
    <n v="1"/>
    <x v="0"/>
    <n v="13"/>
    <n v="1"/>
    <n v="1"/>
    <n v="10"/>
    <n v="4"/>
    <x v="1"/>
    <n v="10"/>
    <n v="9"/>
    <n v="1"/>
    <n v="7"/>
    <n v="0"/>
    <x v="0"/>
    <x v="0"/>
    <x v="0"/>
    <n v="567.29999999999995"/>
  </r>
  <r>
    <n v="31"/>
    <x v="1"/>
    <x v="1"/>
    <n v="20"/>
    <n v="3"/>
    <s v="Life Sciences"/>
    <n v="2"/>
    <x v="1"/>
    <n v="3"/>
    <n v="2"/>
    <x v="2"/>
    <x v="2"/>
    <s v="Divorced"/>
    <n v="4197"/>
    <n v="1"/>
    <x v="1"/>
    <n v="11"/>
    <n v="1"/>
    <n v="1"/>
    <n v="10"/>
    <n v="2"/>
    <x v="1"/>
    <n v="10"/>
    <n v="8"/>
    <n v="0"/>
    <n v="2"/>
    <n v="0"/>
    <x v="2"/>
    <x v="0"/>
    <x v="0"/>
    <n v="419.7"/>
  </r>
  <r>
    <n v="34"/>
    <x v="1"/>
    <x v="0"/>
    <n v="4"/>
    <n v="3"/>
    <s v="Life Sciences"/>
    <n v="3"/>
    <x v="1"/>
    <n v="3"/>
    <n v="3"/>
    <x v="0"/>
    <x v="0"/>
    <s v="Married"/>
    <n v="9713"/>
    <n v="2"/>
    <x v="0"/>
    <n v="13"/>
    <n v="4"/>
    <n v="3"/>
    <n v="9"/>
    <n v="3"/>
    <x v="1"/>
    <n v="5"/>
    <n v="3"/>
    <n v="1"/>
    <n v="0"/>
    <n v="0"/>
    <x v="2"/>
    <x v="0"/>
    <x v="2"/>
    <n v="1942.6"/>
  </r>
  <r>
    <n v="29"/>
    <x v="1"/>
    <x v="1"/>
    <n v="7"/>
    <n v="3"/>
    <s v="Life Sciences"/>
    <n v="4"/>
    <x v="1"/>
    <n v="3"/>
    <n v="1"/>
    <x v="2"/>
    <x v="3"/>
    <s v="Single"/>
    <n v="2062"/>
    <n v="3"/>
    <x v="1"/>
    <n v="14"/>
    <n v="2"/>
    <n v="0"/>
    <n v="11"/>
    <n v="2"/>
    <x v="1"/>
    <n v="3"/>
    <n v="2"/>
    <n v="1"/>
    <n v="2"/>
    <n v="0"/>
    <x v="2"/>
    <x v="1"/>
    <x v="2"/>
    <n v="687.33333333333337"/>
  </r>
  <r>
    <n v="37"/>
    <x v="1"/>
    <x v="1"/>
    <n v="7"/>
    <n v="4"/>
    <s v="Medical"/>
    <n v="4"/>
    <x v="1"/>
    <n v="3"/>
    <n v="2"/>
    <x v="1"/>
    <x v="3"/>
    <s v="Married"/>
    <n v="4284"/>
    <n v="5"/>
    <x v="0"/>
    <n v="22"/>
    <n v="3"/>
    <n v="1"/>
    <n v="16"/>
    <n v="2"/>
    <x v="1"/>
    <n v="5"/>
    <n v="3"/>
    <n v="0"/>
    <n v="4"/>
    <n v="0"/>
    <x v="0"/>
    <x v="0"/>
    <x v="2"/>
    <n v="856.8"/>
  </r>
  <r>
    <n v="35"/>
    <x v="1"/>
    <x v="1"/>
    <n v="16"/>
    <n v="2"/>
    <s v="Other"/>
    <n v="4"/>
    <x v="0"/>
    <n v="2"/>
    <n v="2"/>
    <x v="3"/>
    <x v="1"/>
    <s v="Married"/>
    <n v="4788"/>
    <n v="0"/>
    <x v="0"/>
    <n v="11"/>
    <n v="4"/>
    <n v="0"/>
    <n v="4"/>
    <n v="2"/>
    <x v="1"/>
    <n v="3"/>
    <n v="2"/>
    <n v="0"/>
    <n v="2"/>
    <n v="0"/>
    <x v="2"/>
    <x v="0"/>
    <x v="2"/>
    <n v="1596"/>
  </r>
  <r>
    <n v="45"/>
    <x v="1"/>
    <x v="1"/>
    <n v="25"/>
    <n v="2"/>
    <s v="Life Sciences"/>
    <n v="2"/>
    <x v="0"/>
    <n v="2"/>
    <n v="2"/>
    <x v="3"/>
    <x v="0"/>
    <s v="Married"/>
    <n v="5906"/>
    <n v="0"/>
    <x v="1"/>
    <n v="13"/>
    <n v="4"/>
    <n v="2"/>
    <n v="10"/>
    <n v="2"/>
    <x v="2"/>
    <n v="9"/>
    <n v="8"/>
    <n v="3"/>
    <n v="8"/>
    <n v="0"/>
    <x v="0"/>
    <x v="0"/>
    <x v="0"/>
    <n v="656.22222222222217"/>
  </r>
  <r>
    <n v="36"/>
    <x v="1"/>
    <x v="2"/>
    <n v="2"/>
    <n v="1"/>
    <s v="Human Resources"/>
    <n v="2"/>
    <x v="1"/>
    <n v="2"/>
    <n v="2"/>
    <x v="8"/>
    <x v="0"/>
    <s v="Single"/>
    <n v="3886"/>
    <n v="1"/>
    <x v="1"/>
    <n v="21"/>
    <n v="4"/>
    <n v="0"/>
    <n v="10"/>
    <n v="2"/>
    <x v="2"/>
    <n v="10"/>
    <n v="1"/>
    <n v="0"/>
    <n v="8"/>
    <n v="0"/>
    <x v="0"/>
    <x v="1"/>
    <x v="0"/>
    <n v="388.6"/>
  </r>
  <r>
    <n v="40"/>
    <x v="1"/>
    <x v="1"/>
    <n v="1"/>
    <n v="4"/>
    <s v="Life Sciences"/>
    <n v="1"/>
    <x v="1"/>
    <n v="3"/>
    <n v="4"/>
    <x v="5"/>
    <x v="3"/>
    <s v="Divorced"/>
    <n v="16823"/>
    <n v="2"/>
    <x v="1"/>
    <n v="11"/>
    <n v="1"/>
    <n v="1"/>
    <n v="22"/>
    <n v="3"/>
    <x v="1"/>
    <n v="19"/>
    <n v="7"/>
    <n v="11"/>
    <n v="16"/>
    <n v="0"/>
    <x v="0"/>
    <x v="2"/>
    <x v="3"/>
    <n v="885.42105263157896"/>
  </r>
  <r>
    <n v="26"/>
    <x v="1"/>
    <x v="1"/>
    <n v="1"/>
    <n v="2"/>
    <s v="Life Sciences"/>
    <n v="2"/>
    <x v="0"/>
    <n v="2"/>
    <n v="1"/>
    <x v="1"/>
    <x v="2"/>
    <s v="Married"/>
    <n v="2933"/>
    <n v="1"/>
    <x v="0"/>
    <n v="13"/>
    <n v="3"/>
    <n v="1"/>
    <n v="1"/>
    <n v="3"/>
    <x v="2"/>
    <n v="1"/>
    <n v="0"/>
    <n v="1"/>
    <n v="0"/>
    <n v="0"/>
    <x v="2"/>
    <x v="1"/>
    <x v="1"/>
    <n v="2933"/>
  </r>
  <r>
    <n v="27"/>
    <x v="1"/>
    <x v="0"/>
    <n v="2"/>
    <n v="2"/>
    <s v="Medical"/>
    <n v="1"/>
    <x v="0"/>
    <n v="4"/>
    <n v="2"/>
    <x v="0"/>
    <x v="2"/>
    <s v="Single"/>
    <n v="6500"/>
    <n v="0"/>
    <x v="1"/>
    <n v="14"/>
    <n v="2"/>
    <n v="0"/>
    <n v="9"/>
    <n v="5"/>
    <x v="2"/>
    <n v="8"/>
    <n v="7"/>
    <n v="0"/>
    <n v="7"/>
    <n v="0"/>
    <x v="2"/>
    <x v="0"/>
    <x v="0"/>
    <n v="812.5"/>
  </r>
  <r>
    <n v="48"/>
    <x v="1"/>
    <x v="1"/>
    <n v="22"/>
    <n v="3"/>
    <s v="Medical"/>
    <n v="4"/>
    <x v="0"/>
    <n v="3"/>
    <n v="4"/>
    <x v="5"/>
    <x v="0"/>
    <s v="Divorced"/>
    <n v="17174"/>
    <n v="3"/>
    <x v="1"/>
    <n v="11"/>
    <n v="2"/>
    <n v="1"/>
    <n v="24"/>
    <n v="3"/>
    <x v="1"/>
    <n v="22"/>
    <n v="17"/>
    <n v="4"/>
    <n v="7"/>
    <n v="0"/>
    <x v="1"/>
    <x v="2"/>
    <x v="3"/>
    <n v="780.63636363636363"/>
  </r>
  <r>
    <n v="44"/>
    <x v="1"/>
    <x v="1"/>
    <n v="1"/>
    <n v="4"/>
    <s v="Life Sciences"/>
    <n v="2"/>
    <x v="1"/>
    <n v="4"/>
    <n v="2"/>
    <x v="4"/>
    <x v="3"/>
    <s v="Married"/>
    <n v="5033"/>
    <n v="2"/>
    <x v="1"/>
    <n v="15"/>
    <n v="4"/>
    <n v="1"/>
    <n v="10"/>
    <n v="5"/>
    <x v="1"/>
    <n v="2"/>
    <n v="0"/>
    <n v="2"/>
    <n v="2"/>
    <n v="0"/>
    <x v="0"/>
    <x v="0"/>
    <x v="1"/>
    <n v="2516.5"/>
  </r>
  <r>
    <n v="34"/>
    <x v="0"/>
    <x v="1"/>
    <n v="16"/>
    <n v="4"/>
    <s v="Technical Degree"/>
    <n v="4"/>
    <x v="1"/>
    <n v="1"/>
    <n v="1"/>
    <x v="1"/>
    <x v="3"/>
    <s v="Married"/>
    <n v="2307"/>
    <n v="1"/>
    <x v="0"/>
    <n v="23"/>
    <n v="2"/>
    <n v="1"/>
    <n v="5"/>
    <n v="2"/>
    <x v="1"/>
    <n v="5"/>
    <n v="2"/>
    <n v="3"/>
    <n v="0"/>
    <n v="1"/>
    <x v="2"/>
    <x v="1"/>
    <x v="2"/>
    <n v="461.4"/>
  </r>
  <r>
    <n v="56"/>
    <x v="0"/>
    <x v="1"/>
    <n v="24"/>
    <n v="2"/>
    <s v="Life Sciences"/>
    <n v="1"/>
    <x v="1"/>
    <n v="3"/>
    <n v="1"/>
    <x v="2"/>
    <x v="0"/>
    <s v="Single"/>
    <n v="2587"/>
    <n v="1"/>
    <x v="1"/>
    <n v="16"/>
    <n v="4"/>
    <n v="0"/>
    <n v="5"/>
    <n v="3"/>
    <x v="1"/>
    <n v="4"/>
    <n v="2"/>
    <n v="1"/>
    <n v="0"/>
    <n v="1"/>
    <x v="1"/>
    <x v="1"/>
    <x v="2"/>
    <n v="646.75"/>
  </r>
  <r>
    <n v="36"/>
    <x v="1"/>
    <x v="0"/>
    <n v="17"/>
    <n v="2"/>
    <s v="Marketing"/>
    <n v="3"/>
    <x v="1"/>
    <n v="2"/>
    <n v="2"/>
    <x v="0"/>
    <x v="1"/>
    <s v="Married"/>
    <n v="5507"/>
    <n v="2"/>
    <x v="1"/>
    <n v="16"/>
    <n v="3"/>
    <n v="2"/>
    <n v="12"/>
    <n v="1"/>
    <x v="0"/>
    <n v="4"/>
    <n v="2"/>
    <n v="1"/>
    <n v="3"/>
    <n v="0"/>
    <x v="0"/>
    <x v="0"/>
    <x v="2"/>
    <n v="1376.75"/>
  </r>
  <r>
    <n v="41"/>
    <x v="1"/>
    <x v="0"/>
    <n v="8"/>
    <n v="3"/>
    <s v="Marketing"/>
    <n v="3"/>
    <x v="0"/>
    <n v="3"/>
    <n v="2"/>
    <x v="0"/>
    <x v="1"/>
    <s v="Married"/>
    <n v="4393"/>
    <n v="5"/>
    <x v="1"/>
    <n v="21"/>
    <n v="3"/>
    <n v="1"/>
    <n v="14"/>
    <n v="3"/>
    <x v="1"/>
    <n v="5"/>
    <n v="4"/>
    <n v="1"/>
    <n v="4"/>
    <n v="0"/>
    <x v="0"/>
    <x v="0"/>
    <x v="2"/>
    <n v="878.6"/>
  </r>
  <r>
    <n v="42"/>
    <x v="1"/>
    <x v="1"/>
    <n v="6"/>
    <n v="3"/>
    <s v="Medical"/>
    <n v="3"/>
    <x v="1"/>
    <n v="3"/>
    <n v="3"/>
    <x v="7"/>
    <x v="3"/>
    <s v="Married"/>
    <n v="13348"/>
    <n v="9"/>
    <x v="1"/>
    <n v="13"/>
    <n v="2"/>
    <n v="1"/>
    <n v="18"/>
    <n v="3"/>
    <x v="3"/>
    <n v="13"/>
    <n v="7"/>
    <n v="5"/>
    <n v="7"/>
    <n v="0"/>
    <x v="0"/>
    <x v="2"/>
    <x v="3"/>
    <n v="1026.7692307692307"/>
  </r>
  <r>
    <n v="31"/>
    <x v="1"/>
    <x v="0"/>
    <n v="10"/>
    <n v="2"/>
    <s v="Medical"/>
    <n v="3"/>
    <x v="0"/>
    <n v="3"/>
    <n v="2"/>
    <x v="0"/>
    <x v="0"/>
    <s v="Divorced"/>
    <n v="6583"/>
    <n v="2"/>
    <x v="0"/>
    <n v="11"/>
    <n v="4"/>
    <n v="1"/>
    <n v="8"/>
    <n v="2"/>
    <x v="1"/>
    <n v="5"/>
    <n v="2"/>
    <n v="1"/>
    <n v="4"/>
    <n v="0"/>
    <x v="2"/>
    <x v="0"/>
    <x v="2"/>
    <n v="1316.6"/>
  </r>
  <r>
    <n v="34"/>
    <x v="1"/>
    <x v="0"/>
    <n v="3"/>
    <n v="1"/>
    <s v="Medical"/>
    <n v="4"/>
    <x v="0"/>
    <n v="2"/>
    <n v="2"/>
    <x v="0"/>
    <x v="0"/>
    <s v="Married"/>
    <n v="8103"/>
    <n v="3"/>
    <x v="0"/>
    <n v="12"/>
    <n v="3"/>
    <n v="0"/>
    <n v="9"/>
    <n v="3"/>
    <x v="2"/>
    <n v="4"/>
    <n v="2"/>
    <n v="0"/>
    <n v="1"/>
    <n v="0"/>
    <x v="2"/>
    <x v="0"/>
    <x v="2"/>
    <n v="2025.75"/>
  </r>
  <r>
    <n v="31"/>
    <x v="1"/>
    <x v="1"/>
    <n v="4"/>
    <n v="3"/>
    <s v="Medical"/>
    <n v="1"/>
    <x v="0"/>
    <n v="4"/>
    <n v="1"/>
    <x v="2"/>
    <x v="2"/>
    <s v="Divorced"/>
    <n v="3978"/>
    <n v="8"/>
    <x v="1"/>
    <n v="12"/>
    <n v="2"/>
    <n v="1"/>
    <n v="4"/>
    <n v="0"/>
    <x v="2"/>
    <n v="2"/>
    <n v="2"/>
    <n v="2"/>
    <n v="2"/>
    <n v="0"/>
    <x v="2"/>
    <x v="1"/>
    <x v="1"/>
    <n v="1989"/>
  </r>
  <r>
    <n v="26"/>
    <x v="1"/>
    <x v="1"/>
    <n v="6"/>
    <n v="3"/>
    <s v="Other"/>
    <n v="3"/>
    <x v="1"/>
    <n v="4"/>
    <n v="1"/>
    <x v="2"/>
    <x v="0"/>
    <s v="Married"/>
    <n v="2544"/>
    <n v="0"/>
    <x v="1"/>
    <n v="18"/>
    <n v="1"/>
    <n v="1"/>
    <n v="8"/>
    <n v="3"/>
    <x v="1"/>
    <n v="7"/>
    <n v="7"/>
    <n v="7"/>
    <n v="7"/>
    <n v="0"/>
    <x v="2"/>
    <x v="1"/>
    <x v="0"/>
    <n v="363.42857142857144"/>
  </r>
  <r>
    <n v="45"/>
    <x v="1"/>
    <x v="1"/>
    <n v="1"/>
    <n v="4"/>
    <s v="Medical"/>
    <n v="2"/>
    <x v="1"/>
    <n v="3"/>
    <n v="2"/>
    <x v="4"/>
    <x v="2"/>
    <s v="Single"/>
    <n v="5399"/>
    <n v="4"/>
    <x v="1"/>
    <n v="12"/>
    <n v="3"/>
    <n v="0"/>
    <n v="12"/>
    <n v="3"/>
    <x v="1"/>
    <n v="4"/>
    <n v="2"/>
    <n v="0"/>
    <n v="3"/>
    <n v="0"/>
    <x v="0"/>
    <x v="0"/>
    <x v="2"/>
    <n v="1349.75"/>
  </r>
  <r>
    <n v="33"/>
    <x v="1"/>
    <x v="0"/>
    <n v="10"/>
    <n v="4"/>
    <s v="Marketing"/>
    <n v="2"/>
    <x v="1"/>
    <n v="3"/>
    <n v="2"/>
    <x v="0"/>
    <x v="2"/>
    <s v="Single"/>
    <n v="5487"/>
    <n v="1"/>
    <x v="1"/>
    <n v="14"/>
    <n v="2"/>
    <n v="0"/>
    <n v="10"/>
    <n v="2"/>
    <x v="2"/>
    <n v="10"/>
    <n v="4"/>
    <n v="0"/>
    <n v="9"/>
    <n v="0"/>
    <x v="2"/>
    <x v="0"/>
    <x v="0"/>
    <n v="548.70000000000005"/>
  </r>
  <r>
    <n v="28"/>
    <x v="1"/>
    <x v="0"/>
    <n v="1"/>
    <n v="2"/>
    <s v="Life Sciences"/>
    <n v="3"/>
    <x v="1"/>
    <n v="2"/>
    <n v="2"/>
    <x v="0"/>
    <x v="0"/>
    <s v="Married"/>
    <n v="6834"/>
    <n v="1"/>
    <x v="0"/>
    <n v="12"/>
    <n v="3"/>
    <n v="1"/>
    <n v="7"/>
    <n v="2"/>
    <x v="1"/>
    <n v="7"/>
    <n v="7"/>
    <n v="0"/>
    <n v="7"/>
    <n v="0"/>
    <x v="2"/>
    <x v="0"/>
    <x v="0"/>
    <n v="976.28571428571433"/>
  </r>
  <r>
    <n v="29"/>
    <x v="0"/>
    <x v="0"/>
    <n v="24"/>
    <n v="3"/>
    <s v="Technical Degree"/>
    <n v="3"/>
    <x v="1"/>
    <n v="4"/>
    <n v="1"/>
    <x v="6"/>
    <x v="3"/>
    <s v="Single"/>
    <n v="1091"/>
    <n v="1"/>
    <x v="1"/>
    <n v="17"/>
    <n v="4"/>
    <n v="0"/>
    <n v="1"/>
    <n v="3"/>
    <x v="1"/>
    <n v="1"/>
    <n v="0"/>
    <n v="0"/>
    <n v="0"/>
    <n v="1"/>
    <x v="2"/>
    <x v="1"/>
    <x v="1"/>
    <n v="1091"/>
  </r>
  <r>
    <n v="39"/>
    <x v="1"/>
    <x v="0"/>
    <n v="21"/>
    <n v="4"/>
    <s v="Life Sciences"/>
    <n v="1"/>
    <x v="0"/>
    <n v="1"/>
    <n v="2"/>
    <x v="0"/>
    <x v="2"/>
    <s v="Married"/>
    <n v="5736"/>
    <n v="6"/>
    <x v="1"/>
    <n v="19"/>
    <n v="3"/>
    <n v="1"/>
    <n v="10"/>
    <n v="1"/>
    <x v="1"/>
    <n v="3"/>
    <n v="2"/>
    <n v="1"/>
    <n v="2"/>
    <n v="0"/>
    <x v="0"/>
    <x v="0"/>
    <x v="2"/>
    <n v="1912"/>
  </r>
  <r>
    <n v="27"/>
    <x v="1"/>
    <x v="1"/>
    <n v="2"/>
    <n v="4"/>
    <s v="Technical Degree"/>
    <n v="2"/>
    <x v="1"/>
    <n v="3"/>
    <n v="1"/>
    <x v="1"/>
    <x v="1"/>
    <s v="Married"/>
    <n v="2226"/>
    <n v="1"/>
    <x v="1"/>
    <n v="11"/>
    <n v="3"/>
    <n v="1"/>
    <n v="6"/>
    <n v="3"/>
    <x v="2"/>
    <n v="5"/>
    <n v="3"/>
    <n v="1"/>
    <n v="2"/>
    <n v="0"/>
    <x v="2"/>
    <x v="1"/>
    <x v="2"/>
    <n v="445.2"/>
  </r>
  <r>
    <n v="34"/>
    <x v="1"/>
    <x v="1"/>
    <n v="22"/>
    <n v="4"/>
    <s v="Other"/>
    <n v="3"/>
    <x v="1"/>
    <n v="2"/>
    <n v="2"/>
    <x v="1"/>
    <x v="0"/>
    <s v="Married"/>
    <n v="5747"/>
    <n v="1"/>
    <x v="0"/>
    <n v="15"/>
    <n v="2"/>
    <n v="0"/>
    <n v="16"/>
    <n v="3"/>
    <x v="1"/>
    <n v="15"/>
    <n v="10"/>
    <n v="6"/>
    <n v="11"/>
    <n v="0"/>
    <x v="2"/>
    <x v="0"/>
    <x v="3"/>
    <n v="383.13333333333333"/>
  </r>
  <r>
    <n v="28"/>
    <x v="0"/>
    <x v="0"/>
    <n v="13"/>
    <n v="2"/>
    <s v="Marketing"/>
    <n v="4"/>
    <x v="0"/>
    <n v="3"/>
    <n v="2"/>
    <x v="0"/>
    <x v="2"/>
    <s v="Single"/>
    <n v="9854"/>
    <n v="3"/>
    <x v="0"/>
    <n v="11"/>
    <n v="4"/>
    <n v="0"/>
    <n v="6"/>
    <n v="0"/>
    <x v="1"/>
    <n v="2"/>
    <n v="0"/>
    <n v="2"/>
    <n v="2"/>
    <n v="1"/>
    <x v="2"/>
    <x v="0"/>
    <x v="1"/>
    <n v="4927"/>
  </r>
  <r>
    <n v="47"/>
    <x v="1"/>
    <x v="1"/>
    <n v="14"/>
    <n v="4"/>
    <s v="Technical Degree"/>
    <n v="3"/>
    <x v="1"/>
    <n v="3"/>
    <n v="2"/>
    <x v="1"/>
    <x v="1"/>
    <s v="Married"/>
    <n v="5467"/>
    <n v="8"/>
    <x v="1"/>
    <n v="18"/>
    <n v="3"/>
    <n v="1"/>
    <n v="16"/>
    <n v="4"/>
    <x v="3"/>
    <n v="8"/>
    <n v="7"/>
    <n v="1"/>
    <n v="7"/>
    <n v="0"/>
    <x v="1"/>
    <x v="0"/>
    <x v="0"/>
    <n v="683.375"/>
  </r>
  <r>
    <n v="56"/>
    <x v="1"/>
    <x v="0"/>
    <n v="11"/>
    <n v="5"/>
    <s v="Marketing"/>
    <n v="4"/>
    <x v="0"/>
    <n v="2"/>
    <n v="2"/>
    <x v="0"/>
    <x v="3"/>
    <s v="Married"/>
    <n v="5380"/>
    <n v="4"/>
    <x v="1"/>
    <n v="16"/>
    <n v="3"/>
    <n v="1"/>
    <n v="6"/>
    <n v="3"/>
    <x v="1"/>
    <n v="0"/>
    <n v="0"/>
    <n v="0"/>
    <n v="0"/>
    <n v="0"/>
    <x v="1"/>
    <x v="0"/>
    <x v="1"/>
    <n v="5380"/>
  </r>
  <r>
    <n v="39"/>
    <x v="1"/>
    <x v="1"/>
    <n v="9"/>
    <n v="2"/>
    <s v="Medical"/>
    <n v="1"/>
    <x v="1"/>
    <n v="3"/>
    <n v="2"/>
    <x v="3"/>
    <x v="3"/>
    <s v="Married"/>
    <n v="5151"/>
    <n v="1"/>
    <x v="1"/>
    <n v="25"/>
    <n v="4"/>
    <n v="1"/>
    <n v="10"/>
    <n v="3"/>
    <x v="1"/>
    <n v="10"/>
    <n v="0"/>
    <n v="7"/>
    <n v="9"/>
    <n v="0"/>
    <x v="0"/>
    <x v="0"/>
    <x v="0"/>
    <n v="515.1"/>
  </r>
  <r>
    <n v="38"/>
    <x v="1"/>
    <x v="1"/>
    <n v="8"/>
    <n v="3"/>
    <s v="Medical"/>
    <n v="4"/>
    <x v="0"/>
    <n v="2"/>
    <n v="2"/>
    <x v="1"/>
    <x v="1"/>
    <s v="Divorced"/>
    <n v="2133"/>
    <n v="1"/>
    <x v="0"/>
    <n v="16"/>
    <n v="3"/>
    <n v="1"/>
    <n v="20"/>
    <n v="3"/>
    <x v="1"/>
    <n v="20"/>
    <n v="11"/>
    <n v="0"/>
    <n v="7"/>
    <n v="0"/>
    <x v="0"/>
    <x v="1"/>
    <x v="3"/>
    <n v="106.65"/>
  </r>
  <r>
    <n v="58"/>
    <x v="1"/>
    <x v="0"/>
    <n v="21"/>
    <n v="3"/>
    <s v="Life Sciences"/>
    <n v="4"/>
    <x v="0"/>
    <n v="3"/>
    <n v="4"/>
    <x v="5"/>
    <x v="0"/>
    <s v="Married"/>
    <n v="17875"/>
    <n v="4"/>
    <x v="0"/>
    <n v="13"/>
    <n v="3"/>
    <n v="1"/>
    <n v="29"/>
    <n v="2"/>
    <x v="2"/>
    <n v="1"/>
    <n v="0"/>
    <n v="0"/>
    <n v="0"/>
    <n v="0"/>
    <x v="1"/>
    <x v="2"/>
    <x v="1"/>
    <n v="17875"/>
  </r>
  <r>
    <n v="32"/>
    <x v="0"/>
    <x v="1"/>
    <n v="5"/>
    <n v="2"/>
    <s v="Life Sciences"/>
    <n v="1"/>
    <x v="0"/>
    <n v="4"/>
    <n v="1"/>
    <x v="1"/>
    <x v="2"/>
    <s v="Single"/>
    <n v="2432"/>
    <n v="3"/>
    <x v="0"/>
    <n v="14"/>
    <n v="1"/>
    <n v="0"/>
    <n v="8"/>
    <n v="2"/>
    <x v="1"/>
    <n v="4"/>
    <n v="1"/>
    <n v="0"/>
    <n v="3"/>
    <n v="1"/>
    <x v="2"/>
    <x v="1"/>
    <x v="2"/>
    <n v="608"/>
  </r>
  <r>
    <n v="38"/>
    <x v="1"/>
    <x v="1"/>
    <n v="9"/>
    <n v="2"/>
    <s v="Life Sciences"/>
    <n v="2"/>
    <x v="1"/>
    <n v="3"/>
    <n v="1"/>
    <x v="1"/>
    <x v="0"/>
    <s v="Divorced"/>
    <n v="4771"/>
    <n v="2"/>
    <x v="1"/>
    <n v="19"/>
    <n v="4"/>
    <n v="2"/>
    <n v="10"/>
    <n v="0"/>
    <x v="3"/>
    <n v="5"/>
    <n v="2"/>
    <n v="0"/>
    <n v="3"/>
    <n v="0"/>
    <x v="0"/>
    <x v="0"/>
    <x v="2"/>
    <n v="954.2"/>
  </r>
  <r>
    <n v="49"/>
    <x v="1"/>
    <x v="1"/>
    <n v="2"/>
    <n v="1"/>
    <s v="Life Sciences"/>
    <n v="2"/>
    <x v="1"/>
    <n v="3"/>
    <n v="5"/>
    <x v="7"/>
    <x v="0"/>
    <s v="Married"/>
    <n v="19161"/>
    <n v="3"/>
    <x v="1"/>
    <n v="15"/>
    <n v="4"/>
    <n v="0"/>
    <n v="28"/>
    <n v="3"/>
    <x v="1"/>
    <n v="5"/>
    <n v="4"/>
    <n v="4"/>
    <n v="3"/>
    <n v="0"/>
    <x v="1"/>
    <x v="2"/>
    <x v="2"/>
    <n v="3832.2"/>
  </r>
  <r>
    <n v="42"/>
    <x v="1"/>
    <x v="0"/>
    <n v="12"/>
    <n v="4"/>
    <s v="Marketing"/>
    <n v="2"/>
    <x v="1"/>
    <n v="3"/>
    <n v="2"/>
    <x v="0"/>
    <x v="0"/>
    <s v="Divorced"/>
    <n v="5087"/>
    <n v="3"/>
    <x v="0"/>
    <n v="12"/>
    <n v="3"/>
    <n v="2"/>
    <n v="14"/>
    <n v="4"/>
    <x v="1"/>
    <n v="0"/>
    <n v="0"/>
    <n v="0"/>
    <n v="0"/>
    <n v="0"/>
    <x v="0"/>
    <x v="0"/>
    <x v="1"/>
    <n v="5087"/>
  </r>
  <r>
    <n v="27"/>
    <x v="0"/>
    <x v="2"/>
    <n v="22"/>
    <n v="3"/>
    <s v="Human Resources"/>
    <n v="1"/>
    <x v="0"/>
    <n v="2"/>
    <n v="1"/>
    <x v="8"/>
    <x v="1"/>
    <s v="Married"/>
    <n v="2863"/>
    <n v="1"/>
    <x v="1"/>
    <n v="12"/>
    <n v="1"/>
    <n v="0"/>
    <n v="1"/>
    <n v="2"/>
    <x v="1"/>
    <n v="1"/>
    <n v="0"/>
    <n v="0"/>
    <n v="0"/>
    <n v="1"/>
    <x v="2"/>
    <x v="1"/>
    <x v="1"/>
    <n v="2863"/>
  </r>
  <r>
    <n v="35"/>
    <x v="1"/>
    <x v="0"/>
    <n v="18"/>
    <n v="4"/>
    <s v="Medical"/>
    <n v="2"/>
    <x v="1"/>
    <n v="3"/>
    <n v="2"/>
    <x v="0"/>
    <x v="3"/>
    <s v="Married"/>
    <n v="5561"/>
    <n v="0"/>
    <x v="1"/>
    <n v="16"/>
    <n v="4"/>
    <n v="1"/>
    <n v="6"/>
    <n v="2"/>
    <x v="0"/>
    <n v="5"/>
    <n v="3"/>
    <n v="0"/>
    <n v="4"/>
    <n v="0"/>
    <x v="2"/>
    <x v="0"/>
    <x v="2"/>
    <n v="1112.2"/>
  </r>
  <r>
    <n v="28"/>
    <x v="1"/>
    <x v="1"/>
    <n v="16"/>
    <n v="3"/>
    <s v="Medical"/>
    <n v="3"/>
    <x v="1"/>
    <n v="3"/>
    <n v="1"/>
    <x v="1"/>
    <x v="2"/>
    <s v="Single"/>
    <n v="2144"/>
    <n v="1"/>
    <x v="1"/>
    <n v="14"/>
    <n v="3"/>
    <n v="0"/>
    <n v="5"/>
    <n v="3"/>
    <x v="2"/>
    <n v="5"/>
    <n v="3"/>
    <n v="1"/>
    <n v="4"/>
    <n v="0"/>
    <x v="2"/>
    <x v="1"/>
    <x v="2"/>
    <n v="428.8"/>
  </r>
  <r>
    <n v="31"/>
    <x v="1"/>
    <x v="1"/>
    <n v="3"/>
    <n v="2"/>
    <s v="Medical"/>
    <n v="3"/>
    <x v="1"/>
    <n v="3"/>
    <n v="1"/>
    <x v="1"/>
    <x v="3"/>
    <s v="Divorced"/>
    <n v="3065"/>
    <n v="1"/>
    <x v="0"/>
    <n v="13"/>
    <n v="4"/>
    <n v="1"/>
    <n v="4"/>
    <n v="3"/>
    <x v="3"/>
    <n v="4"/>
    <n v="2"/>
    <n v="2"/>
    <n v="3"/>
    <n v="0"/>
    <x v="2"/>
    <x v="1"/>
    <x v="2"/>
    <n v="766.25"/>
  </r>
  <r>
    <n v="36"/>
    <x v="1"/>
    <x v="1"/>
    <n v="9"/>
    <n v="4"/>
    <s v="Life Sciences"/>
    <n v="1"/>
    <x v="1"/>
    <n v="4"/>
    <n v="1"/>
    <x v="2"/>
    <x v="1"/>
    <s v="Married"/>
    <n v="2810"/>
    <n v="1"/>
    <x v="1"/>
    <n v="22"/>
    <n v="2"/>
    <n v="0"/>
    <n v="5"/>
    <n v="3"/>
    <x v="1"/>
    <n v="5"/>
    <n v="4"/>
    <n v="0"/>
    <n v="2"/>
    <n v="0"/>
    <x v="0"/>
    <x v="1"/>
    <x v="2"/>
    <n v="562"/>
  </r>
  <r>
    <n v="34"/>
    <x v="1"/>
    <x v="0"/>
    <n v="1"/>
    <n v="3"/>
    <s v="Marketing"/>
    <n v="1"/>
    <x v="1"/>
    <n v="3"/>
    <n v="3"/>
    <x v="0"/>
    <x v="0"/>
    <s v="Single"/>
    <n v="9888"/>
    <n v="1"/>
    <x v="1"/>
    <n v="21"/>
    <n v="1"/>
    <n v="0"/>
    <n v="14"/>
    <n v="3"/>
    <x v="2"/>
    <n v="14"/>
    <n v="8"/>
    <n v="2"/>
    <n v="1"/>
    <n v="0"/>
    <x v="2"/>
    <x v="0"/>
    <x v="3"/>
    <n v="706.28571428571433"/>
  </r>
  <r>
    <n v="34"/>
    <x v="1"/>
    <x v="0"/>
    <n v="13"/>
    <n v="4"/>
    <s v="Medical"/>
    <n v="4"/>
    <x v="1"/>
    <n v="3"/>
    <n v="3"/>
    <x v="0"/>
    <x v="2"/>
    <s v="Divorced"/>
    <n v="8628"/>
    <n v="1"/>
    <x v="1"/>
    <n v="18"/>
    <n v="3"/>
    <n v="1"/>
    <n v="9"/>
    <n v="2"/>
    <x v="2"/>
    <n v="8"/>
    <n v="7"/>
    <n v="1"/>
    <n v="1"/>
    <n v="0"/>
    <x v="2"/>
    <x v="0"/>
    <x v="0"/>
    <n v="1078.5"/>
  </r>
  <r>
    <n v="26"/>
    <x v="1"/>
    <x v="1"/>
    <n v="1"/>
    <n v="3"/>
    <s v="Medical"/>
    <n v="3"/>
    <x v="1"/>
    <n v="3"/>
    <n v="1"/>
    <x v="2"/>
    <x v="3"/>
    <s v="Single"/>
    <n v="2867"/>
    <n v="0"/>
    <x v="1"/>
    <n v="13"/>
    <n v="4"/>
    <n v="0"/>
    <n v="8"/>
    <n v="6"/>
    <x v="2"/>
    <n v="7"/>
    <n v="7"/>
    <n v="7"/>
    <n v="6"/>
    <n v="0"/>
    <x v="2"/>
    <x v="1"/>
    <x v="0"/>
    <n v="409.57142857142856"/>
  </r>
  <r>
    <n v="29"/>
    <x v="1"/>
    <x v="1"/>
    <n v="1"/>
    <n v="3"/>
    <s v="Life Sciences"/>
    <n v="1"/>
    <x v="1"/>
    <n v="3"/>
    <n v="2"/>
    <x v="4"/>
    <x v="3"/>
    <s v="Married"/>
    <n v="5373"/>
    <n v="0"/>
    <x v="1"/>
    <n v="12"/>
    <n v="1"/>
    <n v="1"/>
    <n v="6"/>
    <n v="5"/>
    <x v="2"/>
    <n v="5"/>
    <n v="3"/>
    <n v="0"/>
    <n v="2"/>
    <n v="0"/>
    <x v="2"/>
    <x v="0"/>
    <x v="2"/>
    <n v="1074.5999999999999"/>
  </r>
  <r>
    <n v="32"/>
    <x v="1"/>
    <x v="1"/>
    <n v="15"/>
    <n v="4"/>
    <s v="Medical"/>
    <n v="3"/>
    <x v="0"/>
    <n v="3"/>
    <n v="2"/>
    <x v="4"/>
    <x v="0"/>
    <s v="Divorced"/>
    <n v="6667"/>
    <n v="5"/>
    <x v="1"/>
    <n v="18"/>
    <n v="2"/>
    <n v="1"/>
    <n v="9"/>
    <n v="6"/>
    <x v="1"/>
    <n v="5"/>
    <n v="1"/>
    <n v="1"/>
    <n v="2"/>
    <n v="0"/>
    <x v="2"/>
    <x v="0"/>
    <x v="2"/>
    <n v="1333.4"/>
  </r>
  <r>
    <n v="31"/>
    <x v="1"/>
    <x v="1"/>
    <n v="1"/>
    <n v="3"/>
    <s v="Life Sciences"/>
    <n v="4"/>
    <x v="1"/>
    <n v="1"/>
    <n v="2"/>
    <x v="1"/>
    <x v="3"/>
    <s v="Married"/>
    <n v="5003"/>
    <n v="1"/>
    <x v="1"/>
    <n v="21"/>
    <n v="2"/>
    <n v="0"/>
    <n v="10"/>
    <n v="6"/>
    <x v="1"/>
    <n v="10"/>
    <n v="8"/>
    <n v="8"/>
    <n v="7"/>
    <n v="0"/>
    <x v="2"/>
    <x v="0"/>
    <x v="0"/>
    <n v="500.3"/>
  </r>
  <r>
    <n v="28"/>
    <x v="0"/>
    <x v="1"/>
    <n v="17"/>
    <n v="3"/>
    <s v="Technical Degree"/>
    <n v="3"/>
    <x v="1"/>
    <n v="2"/>
    <n v="1"/>
    <x v="2"/>
    <x v="0"/>
    <s v="Divorced"/>
    <n v="2367"/>
    <n v="5"/>
    <x v="1"/>
    <n v="12"/>
    <n v="1"/>
    <n v="1"/>
    <n v="6"/>
    <n v="2"/>
    <x v="2"/>
    <n v="4"/>
    <n v="1"/>
    <n v="0"/>
    <n v="3"/>
    <n v="1"/>
    <x v="2"/>
    <x v="1"/>
    <x v="2"/>
    <n v="591.75"/>
  </r>
  <r>
    <n v="38"/>
    <x v="1"/>
    <x v="0"/>
    <n v="1"/>
    <n v="3"/>
    <s v="Life Sciences"/>
    <n v="1"/>
    <x v="1"/>
    <n v="2"/>
    <n v="1"/>
    <x v="6"/>
    <x v="3"/>
    <s v="Single"/>
    <n v="2858"/>
    <n v="4"/>
    <x v="1"/>
    <n v="14"/>
    <n v="1"/>
    <n v="0"/>
    <n v="20"/>
    <n v="3"/>
    <x v="2"/>
    <n v="1"/>
    <n v="0"/>
    <n v="0"/>
    <n v="0"/>
    <n v="0"/>
    <x v="0"/>
    <x v="1"/>
    <x v="1"/>
    <n v="2858"/>
  </r>
  <r>
    <n v="35"/>
    <x v="1"/>
    <x v="0"/>
    <n v="7"/>
    <n v="4"/>
    <s v="Life Sciences"/>
    <n v="3"/>
    <x v="0"/>
    <n v="3"/>
    <n v="2"/>
    <x v="0"/>
    <x v="0"/>
    <s v="Married"/>
    <n v="5204"/>
    <n v="1"/>
    <x v="0"/>
    <n v="11"/>
    <n v="4"/>
    <n v="0"/>
    <n v="10"/>
    <n v="2"/>
    <x v="1"/>
    <n v="10"/>
    <n v="8"/>
    <n v="0"/>
    <n v="9"/>
    <n v="0"/>
    <x v="2"/>
    <x v="0"/>
    <x v="0"/>
    <n v="520.4"/>
  </r>
  <r>
    <n v="27"/>
    <x v="1"/>
    <x v="0"/>
    <n v="9"/>
    <n v="3"/>
    <s v="Marketing"/>
    <n v="4"/>
    <x v="1"/>
    <n v="3"/>
    <n v="2"/>
    <x v="0"/>
    <x v="0"/>
    <s v="Single"/>
    <n v="4105"/>
    <n v="1"/>
    <x v="1"/>
    <n v="14"/>
    <n v="1"/>
    <n v="0"/>
    <n v="7"/>
    <n v="5"/>
    <x v="1"/>
    <n v="7"/>
    <n v="7"/>
    <n v="0"/>
    <n v="7"/>
    <n v="0"/>
    <x v="2"/>
    <x v="0"/>
    <x v="0"/>
    <n v="586.42857142857144"/>
  </r>
  <r>
    <n v="32"/>
    <x v="1"/>
    <x v="1"/>
    <n v="5"/>
    <n v="4"/>
    <s v="Life Sciences"/>
    <n v="4"/>
    <x v="1"/>
    <n v="2"/>
    <n v="2"/>
    <x v="3"/>
    <x v="0"/>
    <s v="Single"/>
    <n v="9679"/>
    <n v="8"/>
    <x v="1"/>
    <n v="24"/>
    <n v="2"/>
    <n v="0"/>
    <n v="8"/>
    <n v="1"/>
    <x v="1"/>
    <n v="1"/>
    <n v="0"/>
    <n v="0"/>
    <n v="0"/>
    <n v="0"/>
    <x v="2"/>
    <x v="0"/>
    <x v="1"/>
    <n v="9679"/>
  </r>
  <r>
    <n v="31"/>
    <x v="0"/>
    <x v="0"/>
    <n v="26"/>
    <n v="4"/>
    <s v="Marketing"/>
    <n v="1"/>
    <x v="1"/>
    <n v="3"/>
    <n v="2"/>
    <x v="0"/>
    <x v="0"/>
    <s v="Married"/>
    <n v="5617"/>
    <n v="1"/>
    <x v="0"/>
    <n v="11"/>
    <n v="3"/>
    <n v="0"/>
    <n v="10"/>
    <n v="4"/>
    <x v="1"/>
    <n v="10"/>
    <n v="7"/>
    <n v="0"/>
    <n v="8"/>
    <n v="1"/>
    <x v="2"/>
    <x v="0"/>
    <x v="0"/>
    <n v="561.70000000000005"/>
  </r>
  <r>
    <n v="53"/>
    <x v="0"/>
    <x v="0"/>
    <n v="24"/>
    <n v="4"/>
    <s v="Life Sciences"/>
    <n v="1"/>
    <x v="1"/>
    <n v="3"/>
    <n v="3"/>
    <x v="0"/>
    <x v="3"/>
    <s v="Single"/>
    <n v="10448"/>
    <n v="6"/>
    <x v="0"/>
    <n v="13"/>
    <n v="2"/>
    <n v="0"/>
    <n v="15"/>
    <n v="2"/>
    <x v="2"/>
    <n v="2"/>
    <n v="2"/>
    <n v="2"/>
    <n v="2"/>
    <n v="1"/>
    <x v="1"/>
    <x v="2"/>
    <x v="1"/>
    <n v="5224"/>
  </r>
  <r>
    <n v="54"/>
    <x v="1"/>
    <x v="1"/>
    <n v="9"/>
    <n v="2"/>
    <s v="Life Sciences"/>
    <n v="1"/>
    <x v="0"/>
    <n v="3"/>
    <n v="2"/>
    <x v="1"/>
    <x v="2"/>
    <s v="Married"/>
    <n v="2897"/>
    <n v="3"/>
    <x v="1"/>
    <n v="11"/>
    <n v="3"/>
    <n v="2"/>
    <n v="9"/>
    <n v="6"/>
    <x v="2"/>
    <n v="4"/>
    <n v="3"/>
    <n v="2"/>
    <n v="3"/>
    <n v="0"/>
    <x v="1"/>
    <x v="1"/>
    <x v="2"/>
    <n v="724.25"/>
  </r>
  <r>
    <n v="33"/>
    <x v="1"/>
    <x v="1"/>
    <n v="7"/>
    <n v="2"/>
    <s v="Life Sciences"/>
    <n v="4"/>
    <x v="1"/>
    <n v="3"/>
    <n v="2"/>
    <x v="4"/>
    <x v="2"/>
    <s v="Divorced"/>
    <n v="5968"/>
    <n v="1"/>
    <x v="1"/>
    <n v="20"/>
    <n v="3"/>
    <n v="3"/>
    <n v="9"/>
    <n v="2"/>
    <x v="1"/>
    <n v="9"/>
    <n v="7"/>
    <n v="2"/>
    <n v="8"/>
    <n v="0"/>
    <x v="2"/>
    <x v="0"/>
    <x v="0"/>
    <n v="663.11111111111109"/>
  </r>
  <r>
    <n v="43"/>
    <x v="1"/>
    <x v="1"/>
    <n v="11"/>
    <n v="3"/>
    <s v="Life Sciences"/>
    <n v="1"/>
    <x v="1"/>
    <n v="3"/>
    <n v="3"/>
    <x v="4"/>
    <x v="2"/>
    <s v="Married"/>
    <n v="7510"/>
    <n v="1"/>
    <x v="1"/>
    <n v="17"/>
    <n v="2"/>
    <n v="1"/>
    <n v="10"/>
    <n v="1"/>
    <x v="1"/>
    <n v="10"/>
    <n v="9"/>
    <n v="0"/>
    <n v="9"/>
    <n v="0"/>
    <x v="0"/>
    <x v="0"/>
    <x v="0"/>
    <n v="751"/>
  </r>
  <r>
    <n v="38"/>
    <x v="1"/>
    <x v="2"/>
    <n v="1"/>
    <n v="4"/>
    <s v="Other"/>
    <n v="4"/>
    <x v="1"/>
    <n v="3"/>
    <n v="1"/>
    <x v="8"/>
    <x v="1"/>
    <s v="Married"/>
    <n v="2991"/>
    <n v="0"/>
    <x v="0"/>
    <n v="11"/>
    <n v="2"/>
    <n v="1"/>
    <n v="7"/>
    <n v="2"/>
    <x v="1"/>
    <n v="6"/>
    <n v="2"/>
    <n v="1"/>
    <n v="2"/>
    <n v="0"/>
    <x v="0"/>
    <x v="1"/>
    <x v="0"/>
    <n v="498.5"/>
  </r>
  <r>
    <n v="55"/>
    <x v="1"/>
    <x v="2"/>
    <n v="26"/>
    <n v="4"/>
    <s v="Human Resources"/>
    <n v="3"/>
    <x v="1"/>
    <n v="4"/>
    <n v="5"/>
    <x v="5"/>
    <x v="1"/>
    <s v="Married"/>
    <n v="19636"/>
    <n v="4"/>
    <x v="0"/>
    <n v="18"/>
    <n v="1"/>
    <n v="1"/>
    <n v="35"/>
    <n v="0"/>
    <x v="1"/>
    <n v="10"/>
    <n v="9"/>
    <n v="1"/>
    <n v="4"/>
    <n v="0"/>
    <x v="1"/>
    <x v="2"/>
    <x v="0"/>
    <n v="1963.6"/>
  </r>
  <r>
    <n v="31"/>
    <x v="1"/>
    <x v="1"/>
    <n v="2"/>
    <n v="1"/>
    <s v="Medical"/>
    <n v="4"/>
    <x v="0"/>
    <n v="1"/>
    <n v="1"/>
    <x v="2"/>
    <x v="0"/>
    <s v="Divorced"/>
    <n v="1129"/>
    <n v="1"/>
    <x v="0"/>
    <n v="11"/>
    <n v="3"/>
    <n v="3"/>
    <n v="1"/>
    <n v="4"/>
    <x v="1"/>
    <n v="1"/>
    <n v="0"/>
    <n v="0"/>
    <n v="0"/>
    <n v="0"/>
    <x v="2"/>
    <x v="1"/>
    <x v="1"/>
    <n v="1129"/>
  </r>
  <r>
    <n v="39"/>
    <x v="1"/>
    <x v="0"/>
    <n v="15"/>
    <n v="4"/>
    <s v="Marketing"/>
    <n v="2"/>
    <x v="1"/>
    <n v="3"/>
    <n v="4"/>
    <x v="0"/>
    <x v="3"/>
    <s v="Single"/>
    <n v="13341"/>
    <n v="0"/>
    <x v="1"/>
    <n v="12"/>
    <n v="1"/>
    <n v="0"/>
    <n v="21"/>
    <n v="3"/>
    <x v="1"/>
    <n v="20"/>
    <n v="8"/>
    <n v="11"/>
    <n v="10"/>
    <n v="0"/>
    <x v="0"/>
    <x v="2"/>
    <x v="3"/>
    <n v="667.05"/>
  </r>
  <r>
    <n v="42"/>
    <x v="1"/>
    <x v="1"/>
    <n v="23"/>
    <n v="2"/>
    <s v="Life Sciences"/>
    <n v="4"/>
    <x v="1"/>
    <n v="2"/>
    <n v="2"/>
    <x v="1"/>
    <x v="2"/>
    <s v="Single"/>
    <n v="4332"/>
    <n v="1"/>
    <x v="1"/>
    <n v="12"/>
    <n v="4"/>
    <n v="0"/>
    <n v="20"/>
    <n v="2"/>
    <x v="1"/>
    <n v="20"/>
    <n v="9"/>
    <n v="3"/>
    <n v="7"/>
    <n v="0"/>
    <x v="0"/>
    <x v="0"/>
    <x v="3"/>
    <n v="216.6"/>
  </r>
  <r>
    <n v="31"/>
    <x v="1"/>
    <x v="1"/>
    <n v="10"/>
    <n v="3"/>
    <s v="Medical"/>
    <n v="3"/>
    <x v="0"/>
    <n v="3"/>
    <n v="3"/>
    <x v="7"/>
    <x v="2"/>
    <s v="Married"/>
    <n v="11031"/>
    <n v="4"/>
    <x v="1"/>
    <n v="20"/>
    <n v="3"/>
    <n v="1"/>
    <n v="13"/>
    <n v="2"/>
    <x v="3"/>
    <n v="11"/>
    <n v="7"/>
    <n v="4"/>
    <n v="8"/>
    <n v="0"/>
    <x v="2"/>
    <x v="2"/>
    <x v="3"/>
    <n v="1002.8181818181819"/>
  </r>
  <r>
    <n v="54"/>
    <x v="1"/>
    <x v="1"/>
    <n v="10"/>
    <n v="3"/>
    <s v="Medical"/>
    <n v="3"/>
    <x v="0"/>
    <n v="3"/>
    <n v="2"/>
    <x v="3"/>
    <x v="3"/>
    <s v="Single"/>
    <n v="4440"/>
    <n v="6"/>
    <x v="0"/>
    <n v="19"/>
    <n v="4"/>
    <n v="0"/>
    <n v="9"/>
    <n v="3"/>
    <x v="1"/>
    <n v="5"/>
    <n v="2"/>
    <n v="1"/>
    <n v="4"/>
    <n v="0"/>
    <x v="1"/>
    <x v="0"/>
    <x v="2"/>
    <n v="888"/>
  </r>
  <r>
    <n v="24"/>
    <x v="1"/>
    <x v="1"/>
    <n v="1"/>
    <n v="2"/>
    <s v="Life Sciences"/>
    <n v="2"/>
    <x v="1"/>
    <n v="2"/>
    <n v="2"/>
    <x v="4"/>
    <x v="2"/>
    <s v="Single"/>
    <n v="4617"/>
    <n v="1"/>
    <x v="1"/>
    <n v="12"/>
    <n v="2"/>
    <n v="0"/>
    <n v="4"/>
    <n v="2"/>
    <x v="2"/>
    <n v="4"/>
    <n v="3"/>
    <n v="1"/>
    <n v="2"/>
    <n v="0"/>
    <x v="3"/>
    <x v="0"/>
    <x v="2"/>
    <n v="1154.25"/>
  </r>
  <r>
    <n v="23"/>
    <x v="1"/>
    <x v="1"/>
    <n v="12"/>
    <n v="2"/>
    <s v="Other"/>
    <n v="4"/>
    <x v="1"/>
    <n v="3"/>
    <n v="1"/>
    <x v="2"/>
    <x v="0"/>
    <s v="Single"/>
    <n v="2647"/>
    <n v="1"/>
    <x v="1"/>
    <n v="13"/>
    <n v="3"/>
    <n v="0"/>
    <n v="5"/>
    <n v="6"/>
    <x v="3"/>
    <n v="5"/>
    <n v="2"/>
    <n v="1"/>
    <n v="4"/>
    <n v="0"/>
    <x v="3"/>
    <x v="1"/>
    <x v="2"/>
    <n v="529.4"/>
  </r>
  <r>
    <n v="40"/>
    <x v="1"/>
    <x v="1"/>
    <n v="11"/>
    <n v="3"/>
    <s v="Technical Degree"/>
    <n v="4"/>
    <x v="0"/>
    <n v="3"/>
    <n v="2"/>
    <x v="2"/>
    <x v="2"/>
    <s v="Married"/>
    <n v="6323"/>
    <n v="1"/>
    <x v="1"/>
    <n v="11"/>
    <n v="1"/>
    <n v="1"/>
    <n v="10"/>
    <n v="2"/>
    <x v="3"/>
    <n v="10"/>
    <n v="9"/>
    <n v="9"/>
    <n v="4"/>
    <n v="0"/>
    <x v="0"/>
    <x v="0"/>
    <x v="0"/>
    <n v="632.29999999999995"/>
  </r>
  <r>
    <n v="40"/>
    <x v="1"/>
    <x v="0"/>
    <n v="2"/>
    <n v="2"/>
    <s v="Marketing"/>
    <n v="2"/>
    <x v="0"/>
    <n v="3"/>
    <n v="2"/>
    <x v="0"/>
    <x v="1"/>
    <s v="Married"/>
    <n v="5677"/>
    <n v="3"/>
    <x v="1"/>
    <n v="14"/>
    <n v="3"/>
    <n v="1"/>
    <n v="15"/>
    <n v="4"/>
    <x v="1"/>
    <n v="11"/>
    <n v="8"/>
    <n v="5"/>
    <n v="10"/>
    <n v="0"/>
    <x v="0"/>
    <x v="0"/>
    <x v="3"/>
    <n v="516.09090909090912"/>
  </r>
  <r>
    <n v="25"/>
    <x v="1"/>
    <x v="2"/>
    <n v="2"/>
    <n v="3"/>
    <s v="Human Resources"/>
    <n v="3"/>
    <x v="0"/>
    <n v="3"/>
    <n v="1"/>
    <x v="8"/>
    <x v="1"/>
    <s v="Married"/>
    <n v="2187"/>
    <n v="4"/>
    <x v="1"/>
    <n v="14"/>
    <n v="3"/>
    <n v="0"/>
    <n v="6"/>
    <n v="3"/>
    <x v="1"/>
    <n v="2"/>
    <n v="0"/>
    <n v="1"/>
    <n v="2"/>
    <n v="0"/>
    <x v="3"/>
    <x v="1"/>
    <x v="1"/>
    <n v="1093.5"/>
  </r>
  <r>
    <n v="30"/>
    <x v="1"/>
    <x v="1"/>
    <n v="1"/>
    <n v="2"/>
    <s v="Medical"/>
    <n v="4"/>
    <x v="1"/>
    <n v="3"/>
    <n v="1"/>
    <x v="2"/>
    <x v="1"/>
    <s v="Married"/>
    <n v="3748"/>
    <n v="1"/>
    <x v="1"/>
    <n v="13"/>
    <n v="3"/>
    <n v="0"/>
    <n v="12"/>
    <n v="6"/>
    <x v="2"/>
    <n v="12"/>
    <n v="8"/>
    <n v="1"/>
    <n v="7"/>
    <n v="0"/>
    <x v="2"/>
    <x v="1"/>
    <x v="3"/>
    <n v="312.33333333333331"/>
  </r>
  <r>
    <n v="25"/>
    <x v="1"/>
    <x v="1"/>
    <n v="2"/>
    <n v="1"/>
    <s v="Other"/>
    <n v="4"/>
    <x v="1"/>
    <n v="3"/>
    <n v="1"/>
    <x v="2"/>
    <x v="2"/>
    <s v="Divorced"/>
    <n v="3977"/>
    <n v="6"/>
    <x v="0"/>
    <n v="19"/>
    <n v="3"/>
    <n v="1"/>
    <n v="7"/>
    <n v="2"/>
    <x v="2"/>
    <n v="2"/>
    <n v="2"/>
    <n v="0"/>
    <n v="2"/>
    <n v="0"/>
    <x v="3"/>
    <x v="1"/>
    <x v="1"/>
    <n v="1988.5"/>
  </r>
  <r>
    <n v="47"/>
    <x v="1"/>
    <x v="1"/>
    <n v="25"/>
    <n v="3"/>
    <s v="Medical"/>
    <n v="1"/>
    <x v="1"/>
    <n v="3"/>
    <n v="3"/>
    <x v="4"/>
    <x v="2"/>
    <s v="Single"/>
    <n v="8633"/>
    <n v="2"/>
    <x v="1"/>
    <n v="23"/>
    <n v="2"/>
    <n v="0"/>
    <n v="25"/>
    <n v="3"/>
    <x v="1"/>
    <n v="17"/>
    <n v="14"/>
    <n v="12"/>
    <n v="11"/>
    <n v="0"/>
    <x v="1"/>
    <x v="0"/>
    <x v="3"/>
    <n v="507.8235294117647"/>
  </r>
  <r>
    <n v="33"/>
    <x v="1"/>
    <x v="1"/>
    <n v="1"/>
    <n v="2"/>
    <s v="Medical"/>
    <n v="2"/>
    <x v="1"/>
    <n v="2"/>
    <n v="1"/>
    <x v="2"/>
    <x v="2"/>
    <s v="Divorced"/>
    <n v="2008"/>
    <n v="1"/>
    <x v="1"/>
    <n v="12"/>
    <n v="3"/>
    <n v="3"/>
    <n v="1"/>
    <n v="2"/>
    <x v="2"/>
    <n v="1"/>
    <n v="1"/>
    <n v="0"/>
    <n v="0"/>
    <n v="0"/>
    <x v="2"/>
    <x v="1"/>
    <x v="1"/>
    <n v="2008"/>
  </r>
  <r>
    <n v="38"/>
    <x v="1"/>
    <x v="0"/>
    <n v="1"/>
    <n v="4"/>
    <s v="Life Sciences"/>
    <n v="4"/>
    <x v="1"/>
    <n v="3"/>
    <n v="2"/>
    <x v="0"/>
    <x v="1"/>
    <s v="Married"/>
    <n v="4440"/>
    <n v="0"/>
    <x v="1"/>
    <n v="15"/>
    <n v="1"/>
    <n v="2"/>
    <n v="16"/>
    <n v="3"/>
    <x v="1"/>
    <n v="15"/>
    <n v="13"/>
    <n v="5"/>
    <n v="8"/>
    <n v="0"/>
    <x v="0"/>
    <x v="0"/>
    <x v="3"/>
    <n v="296"/>
  </r>
  <r>
    <n v="31"/>
    <x v="1"/>
    <x v="0"/>
    <n v="2"/>
    <n v="2"/>
    <s v="Life Sciences"/>
    <n v="1"/>
    <x v="1"/>
    <n v="3"/>
    <n v="1"/>
    <x v="6"/>
    <x v="2"/>
    <s v="Married"/>
    <n v="3067"/>
    <n v="0"/>
    <x v="1"/>
    <n v="19"/>
    <n v="3"/>
    <n v="1"/>
    <n v="3"/>
    <n v="1"/>
    <x v="1"/>
    <n v="2"/>
    <n v="2"/>
    <n v="1"/>
    <n v="2"/>
    <n v="0"/>
    <x v="2"/>
    <x v="1"/>
    <x v="1"/>
    <n v="1533.5"/>
  </r>
  <r>
    <n v="38"/>
    <x v="1"/>
    <x v="1"/>
    <n v="6"/>
    <n v="4"/>
    <s v="Life Sciences"/>
    <n v="1"/>
    <x v="1"/>
    <n v="2"/>
    <n v="2"/>
    <x v="3"/>
    <x v="2"/>
    <s v="Married"/>
    <n v="5321"/>
    <n v="2"/>
    <x v="1"/>
    <n v="11"/>
    <n v="4"/>
    <n v="1"/>
    <n v="10"/>
    <n v="1"/>
    <x v="1"/>
    <n v="8"/>
    <n v="3"/>
    <n v="7"/>
    <n v="7"/>
    <n v="0"/>
    <x v="0"/>
    <x v="0"/>
    <x v="0"/>
    <n v="665.125"/>
  </r>
  <r>
    <n v="42"/>
    <x v="1"/>
    <x v="1"/>
    <n v="18"/>
    <n v="4"/>
    <s v="Life Sciences"/>
    <n v="4"/>
    <x v="1"/>
    <n v="3"/>
    <n v="2"/>
    <x v="1"/>
    <x v="3"/>
    <s v="Divorced"/>
    <n v="5410"/>
    <n v="6"/>
    <x v="0"/>
    <n v="17"/>
    <n v="3"/>
    <n v="1"/>
    <n v="9"/>
    <n v="3"/>
    <x v="2"/>
    <n v="4"/>
    <n v="3"/>
    <n v="1"/>
    <n v="2"/>
    <n v="0"/>
    <x v="0"/>
    <x v="0"/>
    <x v="2"/>
    <n v="1352.5"/>
  </r>
  <r>
    <n v="41"/>
    <x v="1"/>
    <x v="1"/>
    <n v="1"/>
    <n v="3"/>
    <s v="Life Sciences"/>
    <n v="4"/>
    <x v="1"/>
    <n v="3"/>
    <n v="1"/>
    <x v="1"/>
    <x v="0"/>
    <s v="Married"/>
    <n v="2782"/>
    <n v="3"/>
    <x v="1"/>
    <n v="22"/>
    <n v="1"/>
    <n v="1"/>
    <n v="12"/>
    <n v="3"/>
    <x v="1"/>
    <n v="5"/>
    <n v="3"/>
    <n v="1"/>
    <n v="0"/>
    <n v="0"/>
    <x v="0"/>
    <x v="1"/>
    <x v="2"/>
    <n v="556.4"/>
  </r>
  <r>
    <n v="47"/>
    <x v="1"/>
    <x v="1"/>
    <n v="1"/>
    <n v="1"/>
    <s v="Medical"/>
    <n v="3"/>
    <x v="0"/>
    <n v="3"/>
    <n v="3"/>
    <x v="7"/>
    <x v="1"/>
    <s v="Married"/>
    <n v="11957"/>
    <n v="0"/>
    <x v="1"/>
    <n v="18"/>
    <n v="1"/>
    <n v="2"/>
    <n v="14"/>
    <n v="3"/>
    <x v="0"/>
    <n v="13"/>
    <n v="8"/>
    <n v="5"/>
    <n v="12"/>
    <n v="0"/>
    <x v="1"/>
    <x v="2"/>
    <x v="3"/>
    <n v="919.76923076923072"/>
  </r>
  <r>
    <n v="35"/>
    <x v="1"/>
    <x v="1"/>
    <n v="11"/>
    <n v="4"/>
    <s v="Medical"/>
    <n v="4"/>
    <x v="1"/>
    <n v="3"/>
    <n v="1"/>
    <x v="2"/>
    <x v="2"/>
    <s v="Married"/>
    <n v="2660"/>
    <n v="7"/>
    <x v="0"/>
    <n v="11"/>
    <n v="3"/>
    <n v="1"/>
    <n v="5"/>
    <n v="3"/>
    <x v="1"/>
    <n v="2"/>
    <n v="2"/>
    <n v="2"/>
    <n v="2"/>
    <n v="0"/>
    <x v="2"/>
    <x v="1"/>
    <x v="1"/>
    <n v="1330"/>
  </r>
  <r>
    <n v="22"/>
    <x v="1"/>
    <x v="1"/>
    <n v="1"/>
    <n v="2"/>
    <s v="Life Sciences"/>
    <n v="4"/>
    <x v="1"/>
    <n v="3"/>
    <n v="1"/>
    <x v="1"/>
    <x v="2"/>
    <s v="Single"/>
    <n v="3375"/>
    <n v="0"/>
    <x v="1"/>
    <n v="12"/>
    <n v="4"/>
    <n v="0"/>
    <n v="4"/>
    <n v="2"/>
    <x v="3"/>
    <n v="3"/>
    <n v="2"/>
    <n v="1"/>
    <n v="2"/>
    <n v="0"/>
    <x v="3"/>
    <x v="1"/>
    <x v="2"/>
    <n v="1125"/>
  </r>
  <r>
    <n v="35"/>
    <x v="1"/>
    <x v="1"/>
    <n v="9"/>
    <n v="4"/>
    <s v="Medical"/>
    <n v="2"/>
    <x v="1"/>
    <n v="3"/>
    <n v="2"/>
    <x v="1"/>
    <x v="2"/>
    <s v="Single"/>
    <n v="5098"/>
    <n v="1"/>
    <x v="1"/>
    <n v="19"/>
    <n v="2"/>
    <n v="0"/>
    <n v="10"/>
    <n v="5"/>
    <x v="1"/>
    <n v="10"/>
    <n v="7"/>
    <n v="0"/>
    <n v="8"/>
    <n v="0"/>
    <x v="2"/>
    <x v="0"/>
    <x v="0"/>
    <n v="509.8"/>
  </r>
  <r>
    <n v="33"/>
    <x v="1"/>
    <x v="1"/>
    <n v="15"/>
    <n v="2"/>
    <s v="Medical"/>
    <n v="2"/>
    <x v="0"/>
    <n v="3"/>
    <n v="2"/>
    <x v="4"/>
    <x v="0"/>
    <s v="Married"/>
    <n v="4878"/>
    <n v="0"/>
    <x v="0"/>
    <n v="13"/>
    <n v="1"/>
    <n v="1"/>
    <n v="10"/>
    <n v="6"/>
    <x v="1"/>
    <n v="9"/>
    <n v="7"/>
    <n v="8"/>
    <n v="1"/>
    <n v="0"/>
    <x v="2"/>
    <x v="0"/>
    <x v="0"/>
    <n v="542"/>
  </r>
  <r>
    <n v="32"/>
    <x v="1"/>
    <x v="1"/>
    <n v="29"/>
    <n v="4"/>
    <s v="Life Sciences"/>
    <n v="3"/>
    <x v="0"/>
    <n v="2"/>
    <n v="1"/>
    <x v="2"/>
    <x v="1"/>
    <s v="Single"/>
    <n v="2837"/>
    <n v="1"/>
    <x v="1"/>
    <n v="13"/>
    <n v="3"/>
    <n v="0"/>
    <n v="6"/>
    <n v="3"/>
    <x v="1"/>
    <n v="6"/>
    <n v="2"/>
    <n v="4"/>
    <n v="1"/>
    <n v="0"/>
    <x v="2"/>
    <x v="1"/>
    <x v="0"/>
    <n v="472.83333333333331"/>
  </r>
  <r>
    <n v="40"/>
    <x v="1"/>
    <x v="1"/>
    <n v="1"/>
    <n v="4"/>
    <s v="Life Sciences"/>
    <n v="1"/>
    <x v="1"/>
    <n v="3"/>
    <n v="1"/>
    <x v="2"/>
    <x v="0"/>
    <s v="Married"/>
    <n v="2406"/>
    <n v="8"/>
    <x v="1"/>
    <n v="19"/>
    <n v="3"/>
    <n v="2"/>
    <n v="8"/>
    <n v="3"/>
    <x v="2"/>
    <n v="1"/>
    <n v="0"/>
    <n v="0"/>
    <n v="0"/>
    <n v="0"/>
    <x v="0"/>
    <x v="1"/>
    <x v="1"/>
    <n v="2406"/>
  </r>
  <r>
    <n v="32"/>
    <x v="1"/>
    <x v="0"/>
    <n v="1"/>
    <n v="4"/>
    <s v="Medical"/>
    <n v="2"/>
    <x v="1"/>
    <n v="2"/>
    <n v="1"/>
    <x v="6"/>
    <x v="1"/>
    <s v="Married"/>
    <n v="2269"/>
    <n v="0"/>
    <x v="1"/>
    <n v="14"/>
    <n v="2"/>
    <n v="1"/>
    <n v="3"/>
    <n v="2"/>
    <x v="1"/>
    <n v="2"/>
    <n v="2"/>
    <n v="2"/>
    <n v="2"/>
    <n v="0"/>
    <x v="2"/>
    <x v="1"/>
    <x v="1"/>
    <n v="1134.5"/>
  </r>
  <r>
    <n v="39"/>
    <x v="1"/>
    <x v="1"/>
    <n v="24"/>
    <n v="1"/>
    <s v="Life Sciences"/>
    <n v="1"/>
    <x v="1"/>
    <n v="3"/>
    <n v="2"/>
    <x v="1"/>
    <x v="0"/>
    <s v="Single"/>
    <n v="4108"/>
    <n v="7"/>
    <x v="1"/>
    <n v="13"/>
    <n v="1"/>
    <n v="0"/>
    <n v="18"/>
    <n v="2"/>
    <x v="1"/>
    <n v="7"/>
    <n v="7"/>
    <n v="1"/>
    <n v="7"/>
    <n v="0"/>
    <x v="0"/>
    <x v="0"/>
    <x v="0"/>
    <n v="586.85714285714289"/>
  </r>
  <r>
    <n v="38"/>
    <x v="1"/>
    <x v="1"/>
    <n v="10"/>
    <n v="3"/>
    <s v="Medical"/>
    <n v="2"/>
    <x v="0"/>
    <n v="1"/>
    <n v="3"/>
    <x v="7"/>
    <x v="2"/>
    <s v="Married"/>
    <n v="13206"/>
    <n v="3"/>
    <x v="1"/>
    <n v="12"/>
    <n v="1"/>
    <n v="1"/>
    <n v="20"/>
    <n v="3"/>
    <x v="1"/>
    <n v="18"/>
    <n v="16"/>
    <n v="1"/>
    <n v="11"/>
    <n v="0"/>
    <x v="0"/>
    <x v="2"/>
    <x v="3"/>
    <n v="733.66666666666663"/>
  </r>
  <r>
    <n v="32"/>
    <x v="1"/>
    <x v="0"/>
    <n v="1"/>
    <n v="4"/>
    <s v="Marketing"/>
    <n v="3"/>
    <x v="0"/>
    <n v="3"/>
    <n v="3"/>
    <x v="0"/>
    <x v="0"/>
    <s v="Married"/>
    <n v="10422"/>
    <n v="1"/>
    <x v="1"/>
    <n v="19"/>
    <n v="3"/>
    <n v="2"/>
    <n v="14"/>
    <n v="3"/>
    <x v="1"/>
    <n v="14"/>
    <n v="10"/>
    <n v="5"/>
    <n v="7"/>
    <n v="0"/>
    <x v="2"/>
    <x v="2"/>
    <x v="3"/>
    <n v="744.42857142857144"/>
  </r>
  <r>
    <n v="37"/>
    <x v="1"/>
    <x v="1"/>
    <n v="10"/>
    <n v="3"/>
    <s v="Life Sciences"/>
    <n v="3"/>
    <x v="0"/>
    <n v="4"/>
    <n v="3"/>
    <x v="7"/>
    <x v="0"/>
    <s v="Married"/>
    <n v="13744"/>
    <n v="1"/>
    <x v="0"/>
    <n v="25"/>
    <n v="1"/>
    <n v="1"/>
    <n v="16"/>
    <n v="2"/>
    <x v="1"/>
    <n v="16"/>
    <n v="11"/>
    <n v="6"/>
    <n v="8"/>
    <n v="0"/>
    <x v="0"/>
    <x v="2"/>
    <x v="3"/>
    <n v="859"/>
  </r>
  <r>
    <n v="25"/>
    <x v="1"/>
    <x v="0"/>
    <n v="8"/>
    <n v="2"/>
    <s v="Other"/>
    <n v="1"/>
    <x v="0"/>
    <n v="3"/>
    <n v="2"/>
    <x v="0"/>
    <x v="2"/>
    <s v="Divorced"/>
    <n v="4907"/>
    <n v="0"/>
    <x v="0"/>
    <n v="22"/>
    <n v="2"/>
    <n v="1"/>
    <n v="6"/>
    <n v="3"/>
    <x v="2"/>
    <n v="5"/>
    <n v="3"/>
    <n v="0"/>
    <n v="4"/>
    <n v="0"/>
    <x v="3"/>
    <x v="0"/>
    <x v="2"/>
    <n v="981.4"/>
  </r>
  <r>
    <n v="52"/>
    <x v="1"/>
    <x v="0"/>
    <n v="29"/>
    <n v="4"/>
    <s v="Life Sciences"/>
    <n v="1"/>
    <x v="1"/>
    <n v="3"/>
    <n v="1"/>
    <x v="6"/>
    <x v="0"/>
    <s v="Divorced"/>
    <n v="3482"/>
    <n v="2"/>
    <x v="1"/>
    <n v="15"/>
    <n v="2"/>
    <n v="2"/>
    <n v="16"/>
    <n v="3"/>
    <x v="2"/>
    <n v="9"/>
    <n v="8"/>
    <n v="0"/>
    <n v="0"/>
    <n v="0"/>
    <x v="1"/>
    <x v="1"/>
    <x v="0"/>
    <n v="386.88888888888891"/>
  </r>
  <r>
    <n v="44"/>
    <x v="1"/>
    <x v="1"/>
    <n v="1"/>
    <n v="3"/>
    <s v="Medical"/>
    <n v="2"/>
    <x v="1"/>
    <n v="3"/>
    <n v="1"/>
    <x v="1"/>
    <x v="0"/>
    <s v="Single"/>
    <n v="2436"/>
    <n v="6"/>
    <x v="0"/>
    <n v="12"/>
    <n v="3"/>
    <n v="0"/>
    <n v="6"/>
    <n v="2"/>
    <x v="1"/>
    <n v="4"/>
    <n v="3"/>
    <n v="1"/>
    <n v="2"/>
    <n v="0"/>
    <x v="0"/>
    <x v="1"/>
    <x v="2"/>
    <n v="609"/>
  </r>
  <r>
    <n v="21"/>
    <x v="1"/>
    <x v="0"/>
    <n v="5"/>
    <n v="1"/>
    <s v="Medical"/>
    <n v="3"/>
    <x v="1"/>
    <n v="3"/>
    <n v="1"/>
    <x v="6"/>
    <x v="3"/>
    <s v="Single"/>
    <n v="2380"/>
    <n v="1"/>
    <x v="0"/>
    <n v="11"/>
    <n v="4"/>
    <n v="0"/>
    <n v="2"/>
    <n v="6"/>
    <x v="1"/>
    <n v="2"/>
    <n v="2"/>
    <n v="1"/>
    <n v="2"/>
    <n v="0"/>
    <x v="3"/>
    <x v="1"/>
    <x v="1"/>
    <n v="1190"/>
  </r>
  <r>
    <n v="39"/>
    <x v="1"/>
    <x v="1"/>
    <n v="9"/>
    <n v="3"/>
    <s v="Life Sciences"/>
    <n v="4"/>
    <x v="1"/>
    <n v="3"/>
    <n v="5"/>
    <x v="5"/>
    <x v="0"/>
    <s v="Single"/>
    <n v="19431"/>
    <n v="2"/>
    <x v="1"/>
    <n v="13"/>
    <n v="3"/>
    <n v="0"/>
    <n v="21"/>
    <n v="3"/>
    <x v="2"/>
    <n v="6"/>
    <n v="0"/>
    <n v="1"/>
    <n v="3"/>
    <n v="0"/>
    <x v="0"/>
    <x v="2"/>
    <x v="0"/>
    <n v="3238.5"/>
  </r>
  <r>
    <n v="23"/>
    <x v="0"/>
    <x v="0"/>
    <n v="9"/>
    <n v="3"/>
    <s v="Marketing"/>
    <n v="4"/>
    <x v="1"/>
    <n v="3"/>
    <n v="1"/>
    <x v="6"/>
    <x v="3"/>
    <s v="Married"/>
    <n v="1790"/>
    <n v="1"/>
    <x v="1"/>
    <n v="19"/>
    <n v="1"/>
    <n v="1"/>
    <n v="1"/>
    <n v="3"/>
    <x v="2"/>
    <n v="1"/>
    <n v="0"/>
    <n v="1"/>
    <n v="0"/>
    <n v="1"/>
    <x v="3"/>
    <x v="1"/>
    <x v="1"/>
    <n v="1790"/>
  </r>
  <r>
    <n v="36"/>
    <x v="1"/>
    <x v="0"/>
    <n v="3"/>
    <n v="3"/>
    <s v="Medical"/>
    <n v="1"/>
    <x v="0"/>
    <n v="2"/>
    <n v="3"/>
    <x v="0"/>
    <x v="0"/>
    <s v="Married"/>
    <n v="7644"/>
    <n v="0"/>
    <x v="1"/>
    <n v="19"/>
    <n v="3"/>
    <n v="2"/>
    <n v="10"/>
    <n v="2"/>
    <x v="1"/>
    <n v="9"/>
    <n v="7"/>
    <n v="3"/>
    <n v="4"/>
    <n v="0"/>
    <x v="0"/>
    <x v="0"/>
    <x v="0"/>
    <n v="849.33333333333337"/>
  </r>
  <r>
    <n v="36"/>
    <x v="1"/>
    <x v="1"/>
    <n v="4"/>
    <n v="2"/>
    <s v="Life Sciences"/>
    <n v="4"/>
    <x v="0"/>
    <n v="3"/>
    <n v="2"/>
    <x v="3"/>
    <x v="1"/>
    <s v="Divorced"/>
    <n v="5131"/>
    <n v="7"/>
    <x v="1"/>
    <n v="13"/>
    <n v="2"/>
    <n v="3"/>
    <n v="18"/>
    <n v="3"/>
    <x v="1"/>
    <n v="4"/>
    <n v="2"/>
    <n v="0"/>
    <n v="2"/>
    <n v="0"/>
    <x v="0"/>
    <x v="0"/>
    <x v="2"/>
    <n v="1282.75"/>
  </r>
  <r>
    <n v="56"/>
    <x v="1"/>
    <x v="1"/>
    <n v="1"/>
    <n v="4"/>
    <s v="Life Sciences"/>
    <n v="3"/>
    <x v="1"/>
    <n v="3"/>
    <n v="2"/>
    <x v="4"/>
    <x v="2"/>
    <s v="Divorced"/>
    <n v="6306"/>
    <n v="1"/>
    <x v="1"/>
    <n v="21"/>
    <n v="1"/>
    <n v="1"/>
    <n v="13"/>
    <n v="2"/>
    <x v="2"/>
    <n v="13"/>
    <n v="12"/>
    <n v="1"/>
    <n v="9"/>
    <n v="0"/>
    <x v="1"/>
    <x v="0"/>
    <x v="3"/>
    <n v="485.07692307692309"/>
  </r>
  <r>
    <n v="29"/>
    <x v="0"/>
    <x v="1"/>
    <n v="1"/>
    <n v="4"/>
    <s v="Medical"/>
    <n v="1"/>
    <x v="1"/>
    <n v="3"/>
    <n v="1"/>
    <x v="1"/>
    <x v="0"/>
    <s v="Married"/>
    <n v="4787"/>
    <n v="9"/>
    <x v="0"/>
    <n v="14"/>
    <n v="2"/>
    <n v="3"/>
    <n v="4"/>
    <n v="3"/>
    <x v="3"/>
    <n v="2"/>
    <n v="2"/>
    <n v="2"/>
    <n v="2"/>
    <n v="1"/>
    <x v="2"/>
    <x v="0"/>
    <x v="1"/>
    <n v="2393.5"/>
  </r>
  <r>
    <n v="42"/>
    <x v="1"/>
    <x v="1"/>
    <n v="2"/>
    <n v="3"/>
    <s v="Life Sciences"/>
    <n v="1"/>
    <x v="1"/>
    <n v="3"/>
    <n v="5"/>
    <x v="5"/>
    <x v="2"/>
    <s v="Married"/>
    <n v="18880"/>
    <n v="5"/>
    <x v="1"/>
    <n v="11"/>
    <n v="1"/>
    <n v="0"/>
    <n v="24"/>
    <n v="2"/>
    <x v="2"/>
    <n v="22"/>
    <n v="6"/>
    <n v="4"/>
    <n v="14"/>
    <n v="0"/>
    <x v="0"/>
    <x v="2"/>
    <x v="3"/>
    <n v="858.18181818181813"/>
  </r>
  <r>
    <n v="56"/>
    <x v="0"/>
    <x v="1"/>
    <n v="7"/>
    <n v="2"/>
    <s v="Technical Degree"/>
    <n v="4"/>
    <x v="1"/>
    <n v="3"/>
    <n v="1"/>
    <x v="2"/>
    <x v="2"/>
    <s v="Married"/>
    <n v="2339"/>
    <n v="8"/>
    <x v="1"/>
    <n v="11"/>
    <n v="4"/>
    <n v="1"/>
    <n v="14"/>
    <n v="4"/>
    <x v="0"/>
    <n v="10"/>
    <n v="9"/>
    <n v="9"/>
    <n v="8"/>
    <n v="1"/>
    <x v="1"/>
    <x v="1"/>
    <x v="0"/>
    <n v="233.9"/>
  </r>
  <r>
    <n v="41"/>
    <x v="1"/>
    <x v="1"/>
    <n v="28"/>
    <n v="4"/>
    <s v="Life Sciences"/>
    <n v="1"/>
    <x v="0"/>
    <n v="2"/>
    <n v="4"/>
    <x v="3"/>
    <x v="1"/>
    <s v="Married"/>
    <n v="13570"/>
    <n v="0"/>
    <x v="1"/>
    <n v="23"/>
    <n v="3"/>
    <n v="1"/>
    <n v="21"/>
    <n v="3"/>
    <x v="1"/>
    <n v="20"/>
    <n v="7"/>
    <n v="0"/>
    <n v="10"/>
    <n v="0"/>
    <x v="0"/>
    <x v="2"/>
    <x v="3"/>
    <n v="678.5"/>
  </r>
  <r>
    <n v="34"/>
    <x v="1"/>
    <x v="0"/>
    <n v="28"/>
    <n v="3"/>
    <s v="Marketing"/>
    <n v="4"/>
    <x v="0"/>
    <n v="2"/>
    <n v="2"/>
    <x v="0"/>
    <x v="2"/>
    <s v="Married"/>
    <n v="6712"/>
    <n v="1"/>
    <x v="1"/>
    <n v="21"/>
    <n v="4"/>
    <n v="2"/>
    <n v="8"/>
    <n v="2"/>
    <x v="1"/>
    <n v="8"/>
    <n v="7"/>
    <n v="1"/>
    <n v="7"/>
    <n v="0"/>
    <x v="2"/>
    <x v="0"/>
    <x v="0"/>
    <n v="839"/>
  </r>
  <r>
    <n v="36"/>
    <x v="1"/>
    <x v="0"/>
    <n v="15"/>
    <n v="4"/>
    <s v="Marketing"/>
    <n v="4"/>
    <x v="1"/>
    <n v="1"/>
    <n v="2"/>
    <x v="0"/>
    <x v="0"/>
    <s v="Divorced"/>
    <n v="5406"/>
    <n v="1"/>
    <x v="1"/>
    <n v="24"/>
    <n v="1"/>
    <n v="1"/>
    <n v="15"/>
    <n v="4"/>
    <x v="2"/>
    <n v="15"/>
    <n v="12"/>
    <n v="11"/>
    <n v="11"/>
    <n v="0"/>
    <x v="0"/>
    <x v="0"/>
    <x v="3"/>
    <n v="360.4"/>
  </r>
  <r>
    <n v="41"/>
    <x v="1"/>
    <x v="0"/>
    <n v="3"/>
    <n v="3"/>
    <s v="Life Sciences"/>
    <n v="3"/>
    <x v="1"/>
    <n v="2"/>
    <n v="2"/>
    <x v="0"/>
    <x v="1"/>
    <s v="Divorced"/>
    <n v="8938"/>
    <n v="2"/>
    <x v="1"/>
    <n v="11"/>
    <n v="3"/>
    <n v="1"/>
    <n v="14"/>
    <n v="5"/>
    <x v="1"/>
    <n v="5"/>
    <n v="4"/>
    <n v="0"/>
    <n v="4"/>
    <n v="0"/>
    <x v="0"/>
    <x v="0"/>
    <x v="2"/>
    <n v="1787.6"/>
  </r>
  <r>
    <n v="32"/>
    <x v="1"/>
    <x v="1"/>
    <n v="2"/>
    <n v="3"/>
    <s v="Technical Degree"/>
    <n v="4"/>
    <x v="1"/>
    <n v="3"/>
    <n v="1"/>
    <x v="1"/>
    <x v="3"/>
    <s v="Single"/>
    <n v="2439"/>
    <n v="1"/>
    <x v="1"/>
    <n v="14"/>
    <n v="4"/>
    <n v="0"/>
    <n v="4"/>
    <n v="4"/>
    <x v="1"/>
    <n v="4"/>
    <n v="2"/>
    <n v="1"/>
    <n v="2"/>
    <n v="0"/>
    <x v="2"/>
    <x v="1"/>
    <x v="2"/>
    <n v="609.75"/>
  </r>
  <r>
    <n v="35"/>
    <x v="1"/>
    <x v="2"/>
    <n v="26"/>
    <n v="4"/>
    <s v="Life Sciences"/>
    <n v="3"/>
    <x v="0"/>
    <n v="3"/>
    <n v="3"/>
    <x v="8"/>
    <x v="0"/>
    <s v="Single"/>
    <n v="8837"/>
    <n v="1"/>
    <x v="0"/>
    <n v="16"/>
    <n v="3"/>
    <n v="0"/>
    <n v="9"/>
    <n v="2"/>
    <x v="1"/>
    <n v="9"/>
    <n v="0"/>
    <n v="1"/>
    <n v="7"/>
    <n v="0"/>
    <x v="2"/>
    <x v="0"/>
    <x v="0"/>
    <n v="981.88888888888891"/>
  </r>
  <r>
    <n v="38"/>
    <x v="1"/>
    <x v="0"/>
    <n v="10"/>
    <n v="2"/>
    <s v="Life Sciences"/>
    <n v="1"/>
    <x v="0"/>
    <n v="3"/>
    <n v="2"/>
    <x v="0"/>
    <x v="0"/>
    <s v="Married"/>
    <n v="5343"/>
    <n v="1"/>
    <x v="1"/>
    <n v="11"/>
    <n v="3"/>
    <n v="1"/>
    <n v="10"/>
    <n v="1"/>
    <x v="1"/>
    <n v="10"/>
    <n v="7"/>
    <n v="1"/>
    <n v="9"/>
    <n v="0"/>
    <x v="0"/>
    <x v="0"/>
    <x v="0"/>
    <n v="534.29999999999995"/>
  </r>
  <r>
    <n v="50"/>
    <x v="0"/>
    <x v="0"/>
    <n v="1"/>
    <n v="4"/>
    <s v="Life Sciences"/>
    <n v="2"/>
    <x v="1"/>
    <n v="3"/>
    <n v="2"/>
    <x v="0"/>
    <x v="2"/>
    <s v="Divorced"/>
    <n v="6728"/>
    <n v="7"/>
    <x v="1"/>
    <n v="12"/>
    <n v="4"/>
    <n v="2"/>
    <n v="12"/>
    <n v="3"/>
    <x v="1"/>
    <n v="6"/>
    <n v="3"/>
    <n v="0"/>
    <n v="1"/>
    <n v="1"/>
    <x v="1"/>
    <x v="0"/>
    <x v="0"/>
    <n v="1121.3333333333333"/>
  </r>
  <r>
    <n v="36"/>
    <x v="1"/>
    <x v="0"/>
    <n v="11"/>
    <n v="4"/>
    <s v="Marketing"/>
    <n v="2"/>
    <x v="0"/>
    <n v="2"/>
    <n v="2"/>
    <x v="0"/>
    <x v="0"/>
    <s v="Married"/>
    <n v="6652"/>
    <n v="4"/>
    <x v="1"/>
    <n v="13"/>
    <n v="1"/>
    <n v="1"/>
    <n v="8"/>
    <n v="2"/>
    <x v="2"/>
    <n v="6"/>
    <n v="3"/>
    <n v="0"/>
    <n v="0"/>
    <n v="0"/>
    <x v="0"/>
    <x v="0"/>
    <x v="0"/>
    <n v="1108.6666666666667"/>
  </r>
  <r>
    <n v="45"/>
    <x v="1"/>
    <x v="0"/>
    <n v="20"/>
    <n v="3"/>
    <s v="Life Sciences"/>
    <n v="4"/>
    <x v="0"/>
    <n v="3"/>
    <n v="2"/>
    <x v="0"/>
    <x v="2"/>
    <s v="Single"/>
    <n v="4850"/>
    <n v="8"/>
    <x v="1"/>
    <n v="15"/>
    <n v="3"/>
    <n v="0"/>
    <n v="8"/>
    <n v="3"/>
    <x v="1"/>
    <n v="5"/>
    <n v="3"/>
    <n v="0"/>
    <n v="1"/>
    <n v="0"/>
    <x v="0"/>
    <x v="0"/>
    <x v="2"/>
    <n v="970"/>
  </r>
  <r>
    <n v="40"/>
    <x v="1"/>
    <x v="1"/>
    <n v="2"/>
    <n v="4"/>
    <s v="Life Sciences"/>
    <n v="3"/>
    <x v="1"/>
    <n v="2"/>
    <n v="1"/>
    <x v="1"/>
    <x v="2"/>
    <s v="Single"/>
    <n v="2809"/>
    <n v="2"/>
    <x v="1"/>
    <n v="14"/>
    <n v="4"/>
    <n v="0"/>
    <n v="8"/>
    <n v="2"/>
    <x v="1"/>
    <n v="2"/>
    <n v="2"/>
    <n v="2"/>
    <n v="2"/>
    <n v="0"/>
    <x v="0"/>
    <x v="1"/>
    <x v="1"/>
    <n v="1404.5"/>
  </r>
  <r>
    <n v="35"/>
    <x v="1"/>
    <x v="1"/>
    <n v="18"/>
    <n v="4"/>
    <s v="Life Sciences"/>
    <n v="3"/>
    <x v="1"/>
    <n v="3"/>
    <n v="2"/>
    <x v="4"/>
    <x v="2"/>
    <s v="Married"/>
    <n v="5689"/>
    <n v="1"/>
    <x v="0"/>
    <n v="14"/>
    <n v="4"/>
    <n v="2"/>
    <n v="10"/>
    <n v="2"/>
    <x v="3"/>
    <n v="10"/>
    <n v="2"/>
    <n v="0"/>
    <n v="2"/>
    <n v="0"/>
    <x v="2"/>
    <x v="0"/>
    <x v="0"/>
    <n v="568.9"/>
  </r>
  <r>
    <n v="40"/>
    <x v="1"/>
    <x v="1"/>
    <n v="2"/>
    <n v="4"/>
    <s v="Medical"/>
    <n v="3"/>
    <x v="0"/>
    <n v="3"/>
    <n v="1"/>
    <x v="1"/>
    <x v="2"/>
    <s v="Married"/>
    <n v="2001"/>
    <n v="2"/>
    <x v="1"/>
    <n v="14"/>
    <n v="2"/>
    <n v="3"/>
    <n v="20"/>
    <n v="2"/>
    <x v="1"/>
    <n v="5"/>
    <n v="3"/>
    <n v="0"/>
    <n v="2"/>
    <n v="0"/>
    <x v="0"/>
    <x v="1"/>
    <x v="2"/>
    <n v="400.2"/>
  </r>
  <r>
    <n v="35"/>
    <x v="1"/>
    <x v="1"/>
    <n v="1"/>
    <n v="4"/>
    <s v="Life Sciences"/>
    <n v="3"/>
    <x v="0"/>
    <n v="1"/>
    <n v="1"/>
    <x v="1"/>
    <x v="0"/>
    <s v="Married"/>
    <n v="2977"/>
    <n v="1"/>
    <x v="1"/>
    <n v="12"/>
    <n v="4"/>
    <n v="1"/>
    <n v="4"/>
    <n v="5"/>
    <x v="1"/>
    <n v="4"/>
    <n v="3"/>
    <n v="1"/>
    <n v="1"/>
    <n v="0"/>
    <x v="2"/>
    <x v="1"/>
    <x v="2"/>
    <n v="744.25"/>
  </r>
  <r>
    <n v="29"/>
    <x v="1"/>
    <x v="1"/>
    <n v="13"/>
    <n v="2"/>
    <s v="Other"/>
    <n v="4"/>
    <x v="1"/>
    <n v="2"/>
    <n v="2"/>
    <x v="2"/>
    <x v="1"/>
    <s v="Married"/>
    <n v="4025"/>
    <n v="4"/>
    <x v="0"/>
    <n v="13"/>
    <n v="1"/>
    <n v="1"/>
    <n v="10"/>
    <n v="2"/>
    <x v="1"/>
    <n v="4"/>
    <n v="3"/>
    <n v="0"/>
    <n v="3"/>
    <n v="0"/>
    <x v="2"/>
    <x v="0"/>
    <x v="2"/>
    <n v="1006.25"/>
  </r>
  <r>
    <n v="29"/>
    <x v="1"/>
    <x v="1"/>
    <n v="28"/>
    <n v="4"/>
    <s v="Medical"/>
    <n v="4"/>
    <x v="0"/>
    <n v="2"/>
    <n v="1"/>
    <x v="1"/>
    <x v="3"/>
    <s v="Single"/>
    <n v="3785"/>
    <n v="1"/>
    <x v="1"/>
    <n v="14"/>
    <n v="2"/>
    <n v="0"/>
    <n v="5"/>
    <n v="3"/>
    <x v="0"/>
    <n v="5"/>
    <n v="4"/>
    <n v="0"/>
    <n v="4"/>
    <n v="0"/>
    <x v="2"/>
    <x v="1"/>
    <x v="2"/>
    <n v="757"/>
  </r>
  <r>
    <n v="50"/>
    <x v="0"/>
    <x v="0"/>
    <n v="28"/>
    <n v="3"/>
    <s v="Marketing"/>
    <n v="4"/>
    <x v="1"/>
    <n v="2"/>
    <n v="3"/>
    <x v="0"/>
    <x v="3"/>
    <s v="Divorced"/>
    <n v="10854"/>
    <n v="4"/>
    <x v="0"/>
    <n v="13"/>
    <n v="2"/>
    <n v="1"/>
    <n v="20"/>
    <n v="3"/>
    <x v="1"/>
    <n v="3"/>
    <n v="2"/>
    <n v="2"/>
    <n v="0"/>
    <n v="1"/>
    <x v="1"/>
    <x v="2"/>
    <x v="2"/>
    <n v="3618"/>
  </r>
  <r>
    <n v="39"/>
    <x v="1"/>
    <x v="0"/>
    <n v="24"/>
    <n v="1"/>
    <s v="Marketing"/>
    <n v="2"/>
    <x v="0"/>
    <n v="2"/>
    <n v="4"/>
    <x v="0"/>
    <x v="0"/>
    <s v="Married"/>
    <n v="12031"/>
    <n v="0"/>
    <x v="1"/>
    <n v="11"/>
    <n v="1"/>
    <n v="1"/>
    <n v="21"/>
    <n v="2"/>
    <x v="2"/>
    <n v="20"/>
    <n v="9"/>
    <n v="9"/>
    <n v="6"/>
    <n v="0"/>
    <x v="0"/>
    <x v="2"/>
    <x v="3"/>
    <n v="601.54999999999995"/>
  </r>
  <r>
    <n v="31"/>
    <x v="1"/>
    <x v="1"/>
    <n v="5"/>
    <n v="3"/>
    <s v="Medical"/>
    <n v="2"/>
    <x v="1"/>
    <n v="3"/>
    <n v="2"/>
    <x v="3"/>
    <x v="3"/>
    <s v="Single"/>
    <n v="9936"/>
    <n v="0"/>
    <x v="1"/>
    <n v="19"/>
    <n v="2"/>
    <n v="0"/>
    <n v="10"/>
    <n v="2"/>
    <x v="1"/>
    <n v="9"/>
    <n v="4"/>
    <n v="1"/>
    <n v="7"/>
    <n v="0"/>
    <x v="2"/>
    <x v="0"/>
    <x v="0"/>
    <n v="1104"/>
  </r>
  <r>
    <n v="26"/>
    <x v="1"/>
    <x v="0"/>
    <n v="5"/>
    <n v="3"/>
    <s v="Other"/>
    <n v="4"/>
    <x v="0"/>
    <n v="2"/>
    <n v="1"/>
    <x v="6"/>
    <x v="2"/>
    <s v="Single"/>
    <n v="2966"/>
    <n v="0"/>
    <x v="1"/>
    <n v="18"/>
    <n v="4"/>
    <n v="0"/>
    <n v="5"/>
    <n v="2"/>
    <x v="1"/>
    <n v="4"/>
    <n v="2"/>
    <n v="0"/>
    <n v="0"/>
    <n v="0"/>
    <x v="2"/>
    <x v="1"/>
    <x v="2"/>
    <n v="741.5"/>
  </r>
  <r>
    <n v="36"/>
    <x v="1"/>
    <x v="1"/>
    <n v="23"/>
    <n v="2"/>
    <s v="Medical"/>
    <n v="3"/>
    <x v="1"/>
    <n v="4"/>
    <n v="2"/>
    <x v="2"/>
    <x v="0"/>
    <s v="Married"/>
    <n v="2571"/>
    <n v="4"/>
    <x v="1"/>
    <n v="17"/>
    <n v="3"/>
    <n v="1"/>
    <n v="17"/>
    <n v="3"/>
    <x v="1"/>
    <n v="5"/>
    <n v="2"/>
    <n v="0"/>
    <n v="3"/>
    <n v="0"/>
    <x v="0"/>
    <x v="1"/>
    <x v="2"/>
    <n v="514.20000000000005"/>
  </r>
  <r>
    <n v="39"/>
    <x v="1"/>
    <x v="1"/>
    <n v="6"/>
    <n v="1"/>
    <s v="Medical"/>
    <n v="4"/>
    <x v="1"/>
    <n v="2"/>
    <n v="3"/>
    <x v="4"/>
    <x v="3"/>
    <s v="Married"/>
    <n v="9991"/>
    <n v="4"/>
    <x v="1"/>
    <n v="15"/>
    <n v="1"/>
    <n v="1"/>
    <n v="9"/>
    <n v="5"/>
    <x v="1"/>
    <n v="7"/>
    <n v="7"/>
    <n v="1"/>
    <n v="7"/>
    <n v="0"/>
    <x v="0"/>
    <x v="0"/>
    <x v="0"/>
    <n v="1427.2857142857142"/>
  </r>
  <r>
    <n v="27"/>
    <x v="1"/>
    <x v="1"/>
    <n v="4"/>
    <n v="3"/>
    <s v="Life Sciences"/>
    <n v="2"/>
    <x v="1"/>
    <n v="4"/>
    <n v="2"/>
    <x v="3"/>
    <x v="1"/>
    <s v="Married"/>
    <n v="6142"/>
    <n v="1"/>
    <x v="0"/>
    <n v="20"/>
    <n v="2"/>
    <n v="1"/>
    <n v="6"/>
    <n v="0"/>
    <x v="1"/>
    <n v="6"/>
    <n v="2"/>
    <n v="0"/>
    <n v="3"/>
    <n v="0"/>
    <x v="2"/>
    <x v="0"/>
    <x v="0"/>
    <n v="1023.6666666666666"/>
  </r>
  <r>
    <n v="49"/>
    <x v="1"/>
    <x v="0"/>
    <n v="2"/>
    <n v="3"/>
    <s v="Medical"/>
    <n v="4"/>
    <x v="1"/>
    <n v="2"/>
    <n v="2"/>
    <x v="0"/>
    <x v="1"/>
    <s v="Married"/>
    <n v="5390"/>
    <n v="2"/>
    <x v="1"/>
    <n v="14"/>
    <n v="4"/>
    <n v="0"/>
    <n v="17"/>
    <n v="3"/>
    <x v="2"/>
    <n v="9"/>
    <n v="6"/>
    <n v="0"/>
    <n v="8"/>
    <n v="0"/>
    <x v="1"/>
    <x v="0"/>
    <x v="0"/>
    <n v="598.88888888888891"/>
  </r>
  <r>
    <n v="34"/>
    <x v="1"/>
    <x v="1"/>
    <n v="8"/>
    <n v="3"/>
    <s v="Medical"/>
    <n v="2"/>
    <x v="1"/>
    <n v="4"/>
    <n v="2"/>
    <x v="2"/>
    <x v="2"/>
    <s v="Married"/>
    <n v="4404"/>
    <n v="2"/>
    <x v="1"/>
    <n v="12"/>
    <n v="1"/>
    <n v="0"/>
    <n v="6"/>
    <n v="3"/>
    <x v="3"/>
    <n v="4"/>
    <n v="3"/>
    <n v="1"/>
    <n v="2"/>
    <n v="0"/>
    <x v="2"/>
    <x v="0"/>
    <x v="2"/>
    <n v="1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FA593-5080-49EB-9683-3149A2D0132E}" name="PivotTable16"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7" rowHeaderCaption="Age_Group">
  <location ref="M25:N29" firstHeaderRow="1" firstDataRow="1" firstDataCol="1"/>
  <pivotFields count="32">
    <pivotField showAll="0"/>
    <pivotField multipleItemSelectionAllowed="1"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3"/>
        <item x="2"/>
        <item x="0"/>
        <item m="1" x="4"/>
        <item x="1"/>
        <item t="default"/>
      </items>
    </pivotField>
    <pivotField showAll="0"/>
    <pivotField showAll="0"/>
    <pivotField numFmtId="1" showAll="0"/>
    <pivotField dragToRow="0" dragToCol="0" dragToPage="0" showAll="0" defaultSubtotal="0"/>
  </pivotFields>
  <rowFields count="1">
    <field x="27"/>
  </rowFields>
  <rowItems count="4">
    <i>
      <x/>
    </i>
    <i>
      <x v="1"/>
    </i>
    <i>
      <x v="2"/>
    </i>
    <i>
      <x v="4"/>
    </i>
  </rowItems>
  <colItems count="1">
    <i/>
  </colItems>
  <dataFields count="1">
    <dataField name="Average of Attrition_Binary" fld="26" subtotal="average" baseField="0" baseItem="9" numFmtId="9"/>
  </dataFields>
  <formats count="1">
    <format dxfId="28">
      <pivotArea outline="0" collapsedLevelsAreSubtotals="1" fieldPosition="0"/>
    </format>
  </formats>
  <chartFormats count="3">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27" count="1" selected="0">
            <x v="0"/>
          </reference>
        </references>
      </pivotArea>
    </chartFormat>
    <chartFormat chart="5" format="25">
      <pivotArea type="data" outline="0" fieldPosition="0">
        <references count="2">
          <reference field="4294967294" count="1" selected="0">
            <x v="0"/>
          </reference>
          <reference field="27"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F4A756-E843-42FF-A5D1-DC0D8711CE78}" name="PivotTable17"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7" rowHeaderCaption="Experience_Category">
  <location ref="M33:N37" firstHeaderRow="1" firstDataRow="1" firstDataCol="1"/>
  <pivotFields count="32">
    <pivotField showAll="0"/>
    <pivotField multipleItemSelectionAllowed="1"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1"/>
        <item x="3"/>
        <item x="2"/>
        <item x="0"/>
        <item t="default"/>
      </items>
    </pivotField>
    <pivotField numFmtId="1" showAll="0"/>
    <pivotField dragToRow="0" dragToCol="0" dragToPage="0" showAll="0" defaultSubtotal="0"/>
  </pivotFields>
  <rowFields count="1">
    <field x="29"/>
  </rowFields>
  <rowItems count="4">
    <i>
      <x/>
    </i>
    <i>
      <x v="1"/>
    </i>
    <i>
      <x v="2"/>
    </i>
    <i>
      <x v="3"/>
    </i>
  </rowItems>
  <colItems count="1">
    <i/>
  </colItems>
  <dataFields count="1">
    <dataField name="Average of Attrition_Binary" fld="26" subtotal="average" baseField="0" baseItem="9" numFmtId="9"/>
  </dataFields>
  <formats count="1">
    <format dxfId="29">
      <pivotArea outline="0" collapsedLevelsAreSubtotals="1" fieldPosition="0"/>
    </format>
  </formats>
  <chartFormats count="3">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29" count="1" selected="0">
            <x v="0"/>
          </reference>
        </references>
      </pivotArea>
    </chartFormat>
    <chartFormat chart="5" format="16">
      <pivotArea type="data" outline="0" fieldPosition="0">
        <references count="2">
          <reference field="4294967294" count="1" selected="0">
            <x v="0"/>
          </reference>
          <reference field="29"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E94D53-2DD8-4732-8B00-440B5984ABC0}" name="PivotTable19"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20:A21" firstHeaderRow="1" firstDataRow="1" firstDataCol="0" rowPageCount="1" colPageCount="1"/>
  <pivotFields count="32">
    <pivotField showAll="0"/>
    <pivotField axis="axisPage" dataField="1" multipleItemSelectionAllowed="1" showAll="0">
      <items count="3">
        <item h="1"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ragToRow="0" dragToCol="0" dragToPage="0" showAll="0" defaultSubtotal="0"/>
  </pivotFields>
  <rowItems count="1">
    <i/>
  </rowItems>
  <colItems count="1">
    <i/>
  </colItems>
  <pageFields count="1">
    <pageField fld="1" hier="-1"/>
  </pageFields>
  <dataFields count="1">
    <dataField name="Total Attrition" fld="1" subtotal="count" baseField="0" baseItem="980418560"/>
  </dataFields>
  <formats count="1">
    <format dxfId="30">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30F14F-9C2F-42B6-8497-2DCEE7F878C8}" name="PivotTable1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13:A14" firstHeaderRow="1" firstDataRow="1" firstDataCol="0"/>
  <pivotFields count="32">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ragToRow="0" dragToCol="0" dragToPage="0" showAll="0" defaultSubtotal="0"/>
  </pivotFields>
  <rowItems count="1">
    <i/>
  </rowItems>
  <colItems count="1">
    <i/>
  </colItems>
  <dataFields count="1">
    <dataField name="Average of MonthlyIncome" fld="13" subtotal="average" baseField="0" baseItem="9" numFmtId="1"/>
  </dataFields>
  <formats count="1">
    <format dxfId="31">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C2862-8740-439E-89DD-2AE22FCAB305}" name="PivotTable8"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0" rowHeaderCaption="Department">
  <location ref="D10:E13" firstHeaderRow="1" firstDataRow="1" firstDataCol="1"/>
  <pivotFields count="32">
    <pivotField showAll="0"/>
    <pivotField showAll="0"/>
    <pivotField axis="axisRow" showAll="0">
      <items count="4">
        <item x="2"/>
        <item x="1"/>
        <item x="0"/>
        <item t="default"/>
      </items>
    </pivotField>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Fields count="1">
    <field x="2"/>
  </rowFields>
  <rowItems count="3">
    <i>
      <x/>
    </i>
    <i>
      <x v="1"/>
    </i>
    <i>
      <x v="2"/>
    </i>
  </rowItems>
  <colItems count="1">
    <i/>
  </colItems>
  <dataFields count="1">
    <dataField name="Average of Attrition_Binary" fld="26" subtotal="average" baseField="2" baseItem="0" numFmtId="9"/>
  </dataFields>
  <formats count="3">
    <format dxfId="34">
      <pivotArea field="2" type="button" dataOnly="0" labelOnly="1" outline="0" axis="axisRow" fieldPosition="0"/>
    </format>
    <format dxfId="33">
      <pivotArea outline="0" collapsedLevelsAreSubtotals="1" fieldPosition="0"/>
    </format>
    <format dxfId="32">
      <pivotArea outline="0" collapsedLevelsAreSubtotals="1" fieldPosition="0"/>
    </format>
  </formats>
  <chartFormats count="1">
    <chartFormat chart="3" format="35"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9E583-7AD4-488C-B375-B9D42094B5AD}"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4:A5" firstHeaderRow="1" firstDataRow="1" firstDataCol="0"/>
  <pivotFields count="32">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ragToRow="0" dragToCol="0" dragToPage="0" showAll="0" defaultSubtotal="0"/>
  </pivotFields>
  <rowItems count="1">
    <i/>
  </rowItems>
  <colItems count="1">
    <i/>
  </colItems>
  <dataFields count="1">
    <dataField name="Total Employees" fld="9" subtotal="count" baseField="0" baseItem="98041856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7ED7FA-9B3B-46F0-B471-40BA0814B22C}"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16:A17" firstHeaderRow="1" firstDataRow="1" firstDataCol="0"/>
  <pivotFields count="32">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 showAll="0"/>
    <pivotField dragToRow="0" dragToCol="0" dragToPage="0" showAll="0" defaultSubtotal="0"/>
  </pivotFields>
  <rowItems count="1">
    <i/>
  </rowItems>
  <colItems count="1">
    <i/>
  </colItems>
  <dataFields count="1">
    <dataField name="Average of YearsAtCompany" fld="22" subtotal="average" baseField="0" baseItem="9" numFmtId="1"/>
  </dataFields>
  <formats count="1">
    <format dxfId="35">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AD4623-236D-4EA6-98D7-71C22AFE64F0}" name="PivotTable18"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1" rowHeaderCaption="Work Life Balance">
  <location ref="M11:N15" firstHeaderRow="1" firstDataRow="1" firstDataCol="1"/>
  <pivotFields count="32">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Fields count="1">
    <field x="21"/>
  </rowFields>
  <rowItems count="4">
    <i>
      <x/>
    </i>
    <i>
      <x v="1"/>
    </i>
    <i>
      <x v="2"/>
    </i>
    <i>
      <x v="3"/>
    </i>
  </rowItems>
  <colItems count="1">
    <i/>
  </colItems>
  <dataFields count="1">
    <dataField name="Average of Attrition_Binary" fld="26" subtotal="average" baseField="0" baseItem="9" numFmtId="9"/>
  </dataFields>
  <formats count="1">
    <format dxfId="36">
      <pivotArea outline="0" collapsedLevelsAreSubtotals="1" fieldPosition="0"/>
    </format>
  </formats>
  <chartFormats count="15">
    <chartFormat chart="2" format="38" series="1">
      <pivotArea type="data" outline="0" fieldPosition="0">
        <references count="1">
          <reference field="4294967294" count="1" selected="0">
            <x v="0"/>
          </reference>
        </references>
      </pivotArea>
    </chartFormat>
    <chartFormat chart="2" format="39">
      <pivotArea type="data" outline="0" fieldPosition="0">
        <references count="2">
          <reference field="4294967294" count="1" selected="0">
            <x v="0"/>
          </reference>
          <reference field="21" count="1" selected="0">
            <x v="0"/>
          </reference>
        </references>
      </pivotArea>
    </chartFormat>
    <chartFormat chart="2" format="40">
      <pivotArea type="data" outline="0" fieldPosition="0">
        <references count="2">
          <reference field="4294967294" count="1" selected="0">
            <x v="0"/>
          </reference>
          <reference field="21" count="1" selected="0">
            <x v="1"/>
          </reference>
        </references>
      </pivotArea>
    </chartFormat>
    <chartFormat chart="6" format="44" series="1">
      <pivotArea type="data" outline="0" fieldPosition="0">
        <references count="1">
          <reference field="4294967294" count="1" selected="0">
            <x v="0"/>
          </reference>
        </references>
      </pivotArea>
    </chartFormat>
    <chartFormat chart="6" format="45">
      <pivotArea type="data" outline="0" fieldPosition="0">
        <references count="2">
          <reference field="4294967294" count="1" selected="0">
            <x v="0"/>
          </reference>
          <reference field="21" count="1" selected="0">
            <x v="0"/>
          </reference>
        </references>
      </pivotArea>
    </chartFormat>
    <chartFormat chart="6" format="46">
      <pivotArea type="data" outline="0" fieldPosition="0">
        <references count="2">
          <reference field="4294967294" count="1" selected="0">
            <x v="0"/>
          </reference>
          <reference field="21" count="1" selected="0">
            <x v="1"/>
          </reference>
        </references>
      </pivotArea>
    </chartFormat>
    <chartFormat chart="7" format="47" series="1">
      <pivotArea type="data" outline="0" fieldPosition="0">
        <references count="1">
          <reference field="4294967294" count="1" selected="0">
            <x v="0"/>
          </reference>
        </references>
      </pivotArea>
    </chartFormat>
    <chartFormat chart="7" format="48">
      <pivotArea type="data" outline="0" fieldPosition="0">
        <references count="2">
          <reference field="4294967294" count="1" selected="0">
            <x v="0"/>
          </reference>
          <reference field="21" count="1" selected="0">
            <x v="0"/>
          </reference>
        </references>
      </pivotArea>
    </chartFormat>
    <chartFormat chart="7" format="49">
      <pivotArea type="data" outline="0" fieldPosition="0">
        <references count="2">
          <reference field="4294967294" count="1" selected="0">
            <x v="0"/>
          </reference>
          <reference field="21" count="1" selected="0">
            <x v="1"/>
          </reference>
        </references>
      </pivotArea>
    </chartFormat>
    <chartFormat chart="8" format="50" series="1">
      <pivotArea type="data" outline="0" fieldPosition="0">
        <references count="1">
          <reference field="4294967294" count="1" selected="0">
            <x v="0"/>
          </reference>
        </references>
      </pivotArea>
    </chartFormat>
    <chartFormat chart="8" format="51">
      <pivotArea type="data" outline="0" fieldPosition="0">
        <references count="2">
          <reference field="4294967294" count="1" selected="0">
            <x v="0"/>
          </reference>
          <reference field="21" count="1" selected="0">
            <x v="0"/>
          </reference>
        </references>
      </pivotArea>
    </chartFormat>
    <chartFormat chart="8" format="52">
      <pivotArea type="data" outline="0" fieldPosition="0">
        <references count="2">
          <reference field="4294967294" count="1" selected="0">
            <x v="0"/>
          </reference>
          <reference field="21" count="1" selected="0">
            <x v="1"/>
          </reference>
        </references>
      </pivotArea>
    </chartFormat>
    <chartFormat chart="9" format="53" series="1">
      <pivotArea type="data" outline="0" fieldPosition="0">
        <references count="1">
          <reference field="4294967294" count="1" selected="0">
            <x v="0"/>
          </reference>
        </references>
      </pivotArea>
    </chartFormat>
    <chartFormat chart="9" format="54">
      <pivotArea type="data" outline="0" fieldPosition="0">
        <references count="2">
          <reference field="4294967294" count="1" selected="0">
            <x v="0"/>
          </reference>
          <reference field="21" count="1" selected="0">
            <x v="0"/>
          </reference>
        </references>
      </pivotArea>
    </chartFormat>
    <chartFormat chart="9" format="55">
      <pivotArea type="data" outline="0" fieldPosition="0">
        <references count="2">
          <reference field="4294967294" count="1" selected="0">
            <x v="0"/>
          </reference>
          <reference field="21"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ED81CC-29C3-4FF4-8D0B-07DAE427F191}" name="PivotTable9"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6" rowHeaderCaption="JobSatisfaction">
  <location ref="D17:E21" firstHeaderRow="1" firstDataRow="1" firstDataCol="1"/>
  <pivotFields count="32">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Fields count="1">
    <field x="11"/>
  </rowFields>
  <rowItems count="4">
    <i>
      <x/>
    </i>
    <i>
      <x v="1"/>
    </i>
    <i>
      <x v="2"/>
    </i>
    <i>
      <x v="3"/>
    </i>
  </rowItems>
  <colItems count="1">
    <i/>
  </colItems>
  <dataFields count="1">
    <dataField name="Average of Attrition_Binary" fld="26" subtotal="average" baseField="0" baseItem="9" numFmtId="9"/>
  </dataFields>
  <formats count="1">
    <format dxfId="37">
      <pivotArea outline="0" collapsedLevelsAreSubtotals="1" fieldPosition="0"/>
    </format>
  </formats>
  <chartFormats count="6">
    <chartFormat chart="2" format="38" series="1">
      <pivotArea type="data" outline="0" fieldPosition="0">
        <references count="1">
          <reference field="4294967294" count="1" selected="0">
            <x v="0"/>
          </reference>
        </references>
      </pivotArea>
    </chartFormat>
    <chartFormat chart="2" format="39">
      <pivotArea type="data" outline="0" fieldPosition="0">
        <references count="2">
          <reference field="4294967294" count="1" selected="0">
            <x v="0"/>
          </reference>
          <reference field="11" count="1" selected="0">
            <x v="0"/>
          </reference>
        </references>
      </pivotArea>
    </chartFormat>
    <chartFormat chart="2" format="40">
      <pivotArea type="data" outline="0" fieldPosition="0">
        <references count="2">
          <reference field="4294967294" count="1" selected="0">
            <x v="0"/>
          </reference>
          <reference field="11" count="1" selected="0">
            <x v="1"/>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11" count="1" selected="0">
            <x v="0"/>
          </reference>
        </references>
      </pivotArea>
    </chartFormat>
    <chartFormat chart="4" format="43">
      <pivotArea type="data" outline="0" fieldPosition="0">
        <references count="2">
          <reference field="4294967294" count="1" selected="0">
            <x v="0"/>
          </reference>
          <reference field="11"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2B1F70-919A-48A4-AAE0-15F5A97BAB8E}" name="PivotTable11"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Attrition">
  <location ref="D30:E32" firstHeaderRow="1" firstDataRow="1" firstDataCol="1"/>
  <pivotFields count="32">
    <pivotField showAll="0"/>
    <pivotField axis="axisRow"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 showAll="0"/>
    <pivotField dragToRow="0" dragToCol="0" dragToPage="0" showAll="0" defaultSubtotal="0"/>
  </pivotFields>
  <rowFields count="1">
    <field x="1"/>
  </rowFields>
  <rowItems count="2">
    <i>
      <x/>
    </i>
    <i>
      <x v="1"/>
    </i>
  </rowItems>
  <colItems count="1">
    <i/>
  </colItems>
  <dataFields count="1">
    <dataField name="Average of YearsAtCompany" fld="22" subtotal="average" baseField="1" baseItem="0"/>
  </dataFields>
  <formats count="1">
    <format dxfId="38">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A6A546-0397-4511-86F0-43D42F862196}" name="PivotTable2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9:A10" firstHeaderRow="1" firstDataRow="1" firstDataCol="0"/>
  <pivotFields count="32">
    <pivotField showAll="0"/>
    <pivotField multipleItemSelectionAllowed="1"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Items count="1">
    <i/>
  </rowItems>
  <colItems count="1">
    <i/>
  </colItems>
  <dataFields count="1">
    <dataField name="Attrition Rate %" fld="26" subtotal="average" baseField="0" baseItem="980418560" numFmtId="9"/>
  </dataFields>
  <formats count="1">
    <format dxfId="39">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E89BBC-221C-4999-8FF8-98AA8CF9B2C5}" name="PivotTable15"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8" rowHeaderCaption="Income_Band">
  <location ref="M18:N21" firstHeaderRow="1" firstDataRow="1" firstDataCol="1"/>
  <pivotFields count="32">
    <pivotField showAll="0"/>
    <pivotField multipleItemSelectionAllowed="1"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numFmtId="1" showAll="0"/>
    <pivotField dragToRow="0" dragToCol="0" dragToPage="0" showAll="0" defaultSubtotal="0"/>
  </pivotFields>
  <rowFields count="1">
    <field x="28"/>
  </rowFields>
  <rowItems count="3">
    <i>
      <x/>
    </i>
    <i>
      <x v="1"/>
    </i>
    <i>
      <x v="2"/>
    </i>
  </rowItems>
  <colItems count="1">
    <i/>
  </colItems>
  <dataFields count="1">
    <dataField name="Average of Attrition_Binary" fld="26" subtotal="average" baseField="0" baseItem="9" numFmtId="9"/>
  </dataFields>
  <formats count="1">
    <format dxfId="40">
      <pivotArea outline="0" collapsedLevelsAreSubtotals="1" fieldPosition="0"/>
    </format>
  </formats>
  <chartFormats count="3">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28" count="1" selected="0">
            <x v="0"/>
          </reference>
        </references>
      </pivotArea>
    </chartFormat>
    <chartFormat chart="6" format="16">
      <pivotArea type="data" outline="0" fieldPosition="0">
        <references count="2">
          <reference field="4294967294" count="1" selected="0">
            <x v="0"/>
          </reference>
          <reference field="28"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FBD501-06C1-4B91-AB63-474AFF05967C}" name="PivotTable7"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20" rowHeaderCaption="OverTime">
  <location ref="D4:E6" firstHeaderRow="1" firstDataRow="1" firstDataCol="1"/>
  <pivotFields count="32">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Fields count="1">
    <field x="15"/>
  </rowFields>
  <rowItems count="2">
    <i>
      <x/>
    </i>
    <i>
      <x v="1"/>
    </i>
  </rowItems>
  <colItems count="1">
    <i/>
  </colItems>
  <dataFields count="1">
    <dataField name="Average of Attrition_Binary" fld="26" subtotal="average" baseField="0" baseItem="9"/>
  </dataFields>
  <formats count="2">
    <format dxfId="42">
      <pivotArea collapsedLevelsAreSubtotals="1" fieldPosition="0">
        <references count="1">
          <reference field="15" count="1">
            <x v="0"/>
          </reference>
        </references>
      </pivotArea>
    </format>
    <format dxfId="41">
      <pivotArea collapsedLevelsAreSubtotals="1" fieldPosition="0">
        <references count="1">
          <reference field="15" count="1">
            <x v="1"/>
          </reference>
        </references>
      </pivotArea>
    </format>
  </formats>
  <chartFormats count="6">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5" count="1" selected="0">
            <x v="0"/>
          </reference>
        </references>
      </pivotArea>
    </chartFormat>
    <chartFormat chart="13" format="7">
      <pivotArea type="data" outline="0" fieldPosition="0">
        <references count="2">
          <reference field="4294967294" count="1" selected="0">
            <x v="0"/>
          </reference>
          <reference field="15"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5" count="1" selected="0">
            <x v="0"/>
          </reference>
        </references>
      </pivotArea>
    </chartFormat>
    <chartFormat chart="15" format="7">
      <pivotArea type="data" outline="0" fieldPosition="0">
        <references count="2">
          <reference field="4294967294" count="1" selected="0">
            <x v="0"/>
          </reference>
          <reference field="15"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C78D07-AB88-4C5A-9F5D-A56883C94B7D}" name="PivotTable10"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Attrition">
  <location ref="D25:E26" firstHeaderRow="1" firstDataRow="1" firstDataCol="1"/>
  <pivotFields count="32">
    <pivotField showAll="0"/>
    <pivotField axis="axisRow" showAll="0">
      <items count="3">
        <item h="1"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dragToRow="0" dragToCol="0" dragToPage="0" showAll="0" defaultSubtotal="0"/>
  </pivotFields>
  <rowFields count="1">
    <field x="1"/>
  </rowFields>
  <rowItems count="1">
    <i>
      <x v="1"/>
    </i>
  </rowItems>
  <colItems count="1">
    <i/>
  </colItems>
  <dataFields count="1">
    <dataField name="Average of MonthlyIncome" fld="13" subtotal="average" baseField="1" baseItem="0" numFmtId="1"/>
  </dataFields>
  <formats count="1">
    <format dxfId="43">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5394D6-DA2C-4F61-9347-F60BA6A17FBE}" name="PivotTable13"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rowHeaderCaption="Gender">
  <location ref="M4:N6" firstHeaderRow="1" firstDataRow="1" firstDataCol="1"/>
  <pivotFields count="32">
    <pivotField showAll="0"/>
    <pivotField multipleItemSelectionAllowed="1" showAll="0"/>
    <pivotField showAll="0"/>
    <pivotField showAll="0"/>
    <pivotField showAll="0"/>
    <pivotField showAll="0"/>
    <pivotField showAll="0"/>
    <pivotField axis="axisRow" showAll="0">
      <items count="3">
        <item x="0"/>
        <item x="1"/>
        <item t="default"/>
      </items>
    </pivotField>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dragToRow="0" dragToCol="0" dragToPage="0" showAll="0" defaultSubtotal="0"/>
  </pivotFields>
  <rowFields count="1">
    <field x="7"/>
  </rowFields>
  <rowItems count="2">
    <i>
      <x/>
    </i>
    <i>
      <x v="1"/>
    </i>
  </rowItems>
  <colItems count="1">
    <i/>
  </colItems>
  <dataFields count="1">
    <dataField name="Average of Attrition_Binary" fld="26" subtotal="average" baseField="0" baseItem="9"/>
  </dataFields>
  <formats count="2">
    <format dxfId="45">
      <pivotArea collapsedLevelsAreSubtotals="1" fieldPosition="0">
        <references count="1">
          <reference field="7" count="1">
            <x v="0"/>
          </reference>
        </references>
      </pivotArea>
    </format>
    <format dxfId="44">
      <pivotArea collapsedLevelsAreSubtotals="1" fieldPosition="0">
        <references count="1">
          <reference field="7" count="1">
            <x v="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66A3F9-4AB2-476E-897B-8A85955672A0}" autoFormatId="16" applyNumberFormats="0" applyBorderFormats="0" applyFontFormats="0" applyPatternFormats="0" applyAlignmentFormats="0" applyWidthHeightFormats="0">
  <queryTableRefresh nextId="35">
    <queryTableFields count="31">
      <queryTableField id="1" name="Age" tableColumnId="1"/>
      <queryTableField id="2" name="Attrition" tableColumnId="2"/>
      <queryTableField id="3" name="Department" tableColumnId="3"/>
      <queryTableField id="4" name="DistanceFromHome" tableColumnId="4"/>
      <queryTableField id="5" name="Education" tableColumnId="5"/>
      <queryTableField id="6" name="EducationField" tableColumnId="6"/>
      <queryTableField id="7" name="EnvironmentSatisfaction" tableColumnId="7"/>
      <queryTableField id="8" name="Gender" tableColumnId="8"/>
      <queryTableField id="9" name="JobInvolvement" tableColumnId="9"/>
      <queryTableField id="10" name="JobLevel" tableColumnId="10"/>
      <queryTableField id="11" name="JobRole" tableColumnId="11"/>
      <queryTableField id="12" name="JobSatisfaction" tableColumnId="12"/>
      <queryTableField id="13" name="MaritalStatus" tableColumnId="13"/>
      <queryTableField id="14" name="MonthlyIncome" tableColumnId="14"/>
      <queryTableField id="15" name="NumCompaniesWorked" tableColumnId="15"/>
      <queryTableField id="16" name="OverTime" tableColumnId="16"/>
      <queryTableField id="17" name="PercentSalaryHike" tableColumnId="17"/>
      <queryTableField id="18" name="RelationshipSatisfaction" tableColumnId="18"/>
      <queryTableField id="19" name="StockOptionLevel" tableColumnId="19"/>
      <queryTableField id="20" name="TotalWorkingYears" tableColumnId="20"/>
      <queryTableField id="21" name="TrainingTimesLastYear" tableColumnId="21"/>
      <queryTableField id="22" name="WorkLifeBalance" tableColumnId="22"/>
      <queryTableField id="23" name="YearsAtCompany" tableColumnId="23"/>
      <queryTableField id="24" name="YearsInCurrentRole" tableColumnId="24"/>
      <queryTableField id="25" name="YearsSinceLastPromotion" tableColumnId="25"/>
      <queryTableField id="26" name="YearsWithCurrManager" tableColumnId="26"/>
      <queryTableField id="27" name="Attrition_Binary" tableColumnId="27"/>
      <queryTableField id="32" name="Age_Group" tableColumnId="28"/>
      <queryTableField id="29" name="Income_Band" tableColumnId="29"/>
      <queryTableField id="30" name="Experience_Category" tableColumnId="30"/>
      <queryTableField id="31" name="Income_per_Year"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8BC938E-FA42-4760-92D4-F1F6FDD62F65}" sourceName="JobRole">
  <pivotTables>
    <pivotTable tabId="3" name="PivotTable8"/>
    <pivotTable tabId="3" name="PivotTable10"/>
    <pivotTable tabId="3" name="PivotTable11"/>
    <pivotTable tabId="3" name="PivotTable13"/>
    <pivotTable tabId="3" name="PivotTable15"/>
    <pivotTable tabId="3" name="PivotTable16"/>
    <pivotTable tabId="3" name="PivotTable17"/>
    <pivotTable tabId="3" name="PivotTable18"/>
    <pivotTable tabId="3" name="PivotTable7"/>
    <pivotTable tabId="3" name="PivotTable9"/>
    <pivotTable tabId="3" name="PivotTable14"/>
    <pivotTable tabId="3" name="PivotTable2"/>
    <pivotTable tabId="3" name="PivotTable5"/>
    <pivotTable tabId="3" name="PivotTable19"/>
    <pivotTable tabId="3" name="PivotTable23"/>
  </pivotTables>
  <data>
    <tabular pivotCacheId="1151642032">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42955C-B7A3-4454-A588-092C7EC12705}" sourceName="Gender">
  <pivotTables>
    <pivotTable tabId="3" name="PivotTable5"/>
    <pivotTable tabId="3" name="PivotTable10"/>
    <pivotTable tabId="3" name="PivotTable11"/>
    <pivotTable tabId="3" name="PivotTable13"/>
    <pivotTable tabId="3" name="PivotTable14"/>
    <pivotTable tabId="3" name="PivotTable15"/>
    <pivotTable tabId="3" name="PivotTable16"/>
    <pivotTable tabId="3" name="PivotTable17"/>
    <pivotTable tabId="3" name="PivotTable18"/>
    <pivotTable tabId="3" name="PivotTable19"/>
    <pivotTable tabId="3" name="PivotTable2"/>
    <pivotTable tabId="3" name="PivotTable7"/>
    <pivotTable tabId="3" name="PivotTable8"/>
    <pivotTable tabId="3" name="PivotTable9"/>
    <pivotTable tabId="3" name="PivotTable23"/>
  </pivotTables>
  <data>
    <tabular pivotCacheId="11516420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302B5A32-3C50-4F57-A73B-355E9B38F0EE}" cache="Slicer_JobRole" caption="JobRole" showCaption="0" style="SlicerStyleLight6 2" rowHeight="295200"/>
  <slicer name="Gender" xr10:uid="{CF30706B-4D43-4DF7-B3E3-CA4E40DC1668}" cache="Slicer_Gender" caption="Gender" showCaption="0" style="SlicerStyleLight6 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BC8C3-FCC4-4EF1-823C-05E29DB60D83}" name="raw_dataset" displayName="raw_dataset" ref="A1:AE1471" tableType="queryTable" totalsRowShown="0">
  <autoFilter ref="A1:AE1471" xr:uid="{DECBC8C3-FCC4-4EF1-823C-05E29DB60D83}"/>
  <tableColumns count="31">
    <tableColumn id="1" xr3:uid="{4533D389-A958-4833-AF0B-A42AF6C292FA}" uniqueName="1" name="Age" queryTableFieldId="1"/>
    <tableColumn id="2" xr3:uid="{00317FCB-ED1A-4A90-9668-DCB71287A0CE}" uniqueName="2" name="Attrition" queryTableFieldId="2" dataDxfId="54"/>
    <tableColumn id="3" xr3:uid="{73EE83FB-37FB-4834-AE17-AF4835CCE4CE}" uniqueName="3" name="Department" queryTableFieldId="3" dataDxfId="53"/>
    <tableColumn id="4" xr3:uid="{CEAE8C46-75AA-4E35-9F5C-2FEDABF505F7}" uniqueName="4" name="DistanceFromHome" queryTableFieldId="4"/>
    <tableColumn id="5" xr3:uid="{2D705A78-7EA7-4143-BDC7-F2E5473723C0}" uniqueName="5" name="Education" queryTableFieldId="5"/>
    <tableColumn id="6" xr3:uid="{1F52D389-C674-4EF0-984A-E2CB9C36DAE2}" uniqueName="6" name="EducationField" queryTableFieldId="6" dataDxfId="52"/>
    <tableColumn id="7" xr3:uid="{13F71F25-8666-4233-BC15-E608A58E9FBD}" uniqueName="7" name="EnvironmentSatisfaction" queryTableFieldId="7"/>
    <tableColumn id="8" xr3:uid="{E4530F9A-D8F5-411D-80C9-6E76B1EB0201}" uniqueName="8" name="Gender" queryTableFieldId="8" dataDxfId="51"/>
    <tableColumn id="9" xr3:uid="{D502A1A6-3E1A-4681-8D08-DB1F9CBA9B32}" uniqueName="9" name="JobInvolvement" queryTableFieldId="9"/>
    <tableColumn id="10" xr3:uid="{3ED5FA70-1C41-40AF-933C-E76DCF081689}" uniqueName="10" name="JobLevel" queryTableFieldId="10"/>
    <tableColumn id="11" xr3:uid="{B786050B-0B24-4639-88B5-159C6ABB04FB}" uniqueName="11" name="JobRole" queryTableFieldId="11" dataDxfId="50"/>
    <tableColumn id="12" xr3:uid="{19C0FA63-7F4C-4EFF-94C7-B1A6B71D1E38}" uniqueName="12" name="JobSatisfaction" queryTableFieldId="12"/>
    <tableColumn id="13" xr3:uid="{F287EE4A-80AD-4ABB-8501-7840EBA863AA}" uniqueName="13" name="MaritalStatus" queryTableFieldId="13" dataDxfId="49"/>
    <tableColumn id="14" xr3:uid="{4247EFED-0370-4EFE-B555-95805DE12180}" uniqueName="14" name="MonthlyIncome" queryTableFieldId="14"/>
    <tableColumn id="15" xr3:uid="{C56E2704-FAF7-4441-AC90-81AC5DE0F562}" uniqueName="15" name="NumCompaniesWorked" queryTableFieldId="15"/>
    <tableColumn id="16" xr3:uid="{E968F107-BA08-4B27-A3D4-D6730B78665E}" uniqueName="16" name="OverTime" queryTableFieldId="16" dataDxfId="48"/>
    <tableColumn id="17" xr3:uid="{2CF92027-E1B2-4E2C-BAED-EFF3B9AA484B}" uniqueName="17" name="PercentSalaryHike" queryTableFieldId="17"/>
    <tableColumn id="18" xr3:uid="{42B1BE3E-2AE9-4827-A257-3EAA3F55ED04}" uniqueName="18" name="RelationshipSatisfaction" queryTableFieldId="18"/>
    <tableColumn id="19" xr3:uid="{6FE41B5E-2BCA-463B-876D-D8E9168FDF93}" uniqueName="19" name="StockOptionLevel" queryTableFieldId="19"/>
    <tableColumn id="20" xr3:uid="{F1FF7E8D-F8E9-4B13-967F-F070CB518D0A}" uniqueName="20" name="TotalWorkingYears" queryTableFieldId="20"/>
    <tableColumn id="21" xr3:uid="{292A4EC5-887D-4313-9528-8B9A18B7138C}" uniqueName="21" name="TrainingTimesLastYear" queryTableFieldId="21"/>
    <tableColumn id="22" xr3:uid="{20E04361-EA51-44E8-9520-9BA166183C70}" uniqueName="22" name="WorkLifeBalance" queryTableFieldId="22"/>
    <tableColumn id="23" xr3:uid="{562AB14F-5E27-43F5-BC7C-858FD51B73DC}" uniqueName="23" name="YearsAtCompany" queryTableFieldId="23"/>
    <tableColumn id="24" xr3:uid="{7D21D5F2-2343-4C43-883F-948E5EBC214C}" uniqueName="24" name="YearsInCurrentRole" queryTableFieldId="24"/>
    <tableColumn id="25" xr3:uid="{A21856DC-8960-4E93-B72B-AB8A4D7F838E}" uniqueName="25" name="YearsSinceLastPromotion" queryTableFieldId="25"/>
    <tableColumn id="26" xr3:uid="{B6040969-3483-4A5E-8162-3674D4EAD813}" uniqueName="26" name="YearsWithCurrManager" queryTableFieldId="26"/>
    <tableColumn id="27" xr3:uid="{3B892247-EA10-4F32-A6C5-4EA21C7AF755}" uniqueName="27" name="Attrition_Binary" queryTableFieldId="27"/>
    <tableColumn id="28" xr3:uid="{B95F6CDE-5F01-432E-A863-D8B0C753F03E}" uniqueName="28" name="Age_Group" queryTableFieldId="32" dataDxfId="47"/>
    <tableColumn id="29" xr3:uid="{4EC10B38-7D1F-4674-B798-42C559AD3905}" uniqueName="29" name="Income_Band" queryTableFieldId="29"/>
    <tableColumn id="30" xr3:uid="{B604C54F-AD95-40B9-9CAD-DD711FA5DC88}" uniqueName="30" name="Experience_Category" queryTableFieldId="30"/>
    <tableColumn id="31" xr3:uid="{CBA9B8B3-6E25-4678-906C-51F14E39BDEE}" uniqueName="31" name="Income_per_Year" queryTableFieldId="31"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C47378-E757-497D-89FF-AD247B324AC4}" name="Table33" displayName="Table33" ref="H4:J6" totalsRowShown="0" tableBorderDxfId="27">
  <autoFilter ref="H4:J6" xr:uid="{60C47378-E757-497D-89FF-AD247B324AC4}"/>
  <tableColumns count="3">
    <tableColumn id="1" xr3:uid="{385B2AEF-F70C-49B9-8EDF-127EAEEBE9C8}" name="OverTime" dataDxfId="26"/>
    <tableColumn id="2" xr3:uid="{F6C67C14-56F7-4B8A-8C37-3E801ACA95CD}" name="Attrition_Rate" dataDxfId="25">
      <calculatedColumnFormula>E5</calculatedColumnFormula>
    </tableColumn>
    <tableColumn id="3" xr3:uid="{32526506-C3D9-4859-A01D-7AF7DA1B3444}" name="Highlight" dataDxfId="24" dataCellStyle="Percent">
      <calculatedColumnFormula>IF(I5=MAX(Table33[Attrition_Rate]),I5,"")</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F2BCA7-74C1-474F-933A-E62C39754538}" name="Table35" displayName="Table35" ref="H17:J21" totalsRowShown="0" tableBorderDxfId="23">
  <autoFilter ref="H17:J21" xr:uid="{6DF2BCA7-74C1-474F-933A-E62C39754538}"/>
  <tableColumns count="3">
    <tableColumn id="1" xr3:uid="{7D29A034-EFC1-4736-94B0-61B85EC6A972}" name="JobSatisfaction" dataDxfId="22"/>
    <tableColumn id="2" xr3:uid="{01E5197E-CF21-4EC2-A4B2-D10C5918E905}" name="Attrition_Rate" dataDxfId="21">
      <calculatedColumnFormula>E18</calculatedColumnFormula>
    </tableColumn>
    <tableColumn id="3" xr3:uid="{5C7DB9AF-2125-4B11-8099-23F7C9A1E38D}" name="Highlight" dataDxfId="20" dataCellStyle="Percent">
      <calculatedColumnFormula>IF(I18=MAX(Table35[Attrition_Rate]),I18,"")</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BE68BC-BC44-40C0-AEBA-B543FE3683A8}" name="Table356" displayName="Table356" ref="Q11:S15" totalsRowShown="0" tableBorderDxfId="19">
  <autoFilter ref="Q11:S15" xr:uid="{83BE68BC-BC44-40C0-AEBA-B543FE3683A8}"/>
  <tableColumns count="3">
    <tableColumn id="1" xr3:uid="{BEC0CFF8-A4D4-43E2-BC83-7F0BBCE752A8}" name="Work Life Balance" dataDxfId="18"/>
    <tableColumn id="2" xr3:uid="{7EE5A9DC-D00F-44CD-97F5-58B681E133D0}" name="Attrition_Rate" dataDxfId="17">
      <calculatedColumnFormula>N12</calculatedColumnFormula>
    </tableColumn>
    <tableColumn id="3" xr3:uid="{51447855-4440-43F1-B62E-4BF9D1E71D9C}" name="Highlight" dataDxfId="16" dataCellStyle="Percent">
      <calculatedColumnFormula>IF(R12=MAX(Table356[Attrition_Rate]),R12,"")</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E9EE6D-9B51-4869-BDDD-4B034D7ED75E}" name="Table37" displayName="Table37" ref="Q18:S21" totalsRowShown="0" tableBorderDxfId="15">
  <autoFilter ref="Q18:S21" xr:uid="{3CE9EE6D-9B51-4869-BDDD-4B034D7ED75E}"/>
  <tableColumns count="3">
    <tableColumn id="1" xr3:uid="{9E9E945A-DDC7-4E3E-8128-0D96CCFCD566}" name="Income Band" dataDxfId="14"/>
    <tableColumn id="2" xr3:uid="{6A6BF8CF-3B99-4644-AC8D-39FA13F0E3CF}" name="Attrition_Rate" dataDxfId="13">
      <calculatedColumnFormula>N19</calculatedColumnFormula>
    </tableColumn>
    <tableColumn id="3" xr3:uid="{F52C99AD-03BA-4C7F-9CCD-D29A0ADABF46}" name="Highlight" dataDxfId="12" dataCellStyle="Percent">
      <calculatedColumnFormula>IF(R19=MAX(Table37[Attrition_Rate]),R19,"")</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518CA1-98FF-400E-917E-692FD34B636B}" name="Table3568" displayName="Table3568" ref="Q25:S29" totalsRowShown="0" tableBorderDxfId="11">
  <autoFilter ref="Q25:S29" xr:uid="{B7518CA1-98FF-400E-917E-692FD34B636B}"/>
  <tableColumns count="3">
    <tableColumn id="1" xr3:uid="{349151B0-C0B8-43AC-8AE2-6A597E4B6992}" name="Age_Group" dataDxfId="10"/>
    <tableColumn id="2" xr3:uid="{179A7486-E84A-4066-9F50-5F6EA3E9AF0D}" name="Attrition_Rate" dataDxfId="9">
      <calculatedColumnFormula>N26</calculatedColumnFormula>
    </tableColumn>
    <tableColumn id="3" xr3:uid="{D152789A-4B63-4AE6-885A-E7FB8B69C73F}" name="Highlight" dataDxfId="8" dataCellStyle="Percent">
      <calculatedColumnFormula>IF(R26=MAX(Table3568[Attrition_Rate]),R26,"")</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ECBD1C-49AD-4A31-B27E-49B062C1DD7B}" name="Table356810" displayName="Table356810" ref="Q33:S37" totalsRowShown="0" tableBorderDxfId="7">
  <autoFilter ref="Q33:S37" xr:uid="{42ECBD1C-49AD-4A31-B27E-49B062C1DD7B}"/>
  <tableColumns count="3">
    <tableColumn id="1" xr3:uid="{63B1EC24-E1D5-4428-A55B-84F407DD6C02}" name="Experience_Category" dataDxfId="6"/>
    <tableColumn id="2" xr3:uid="{727B8616-075A-4B24-815D-0D558983C2A2}" name="Attrition_Rate" dataDxfId="5">
      <calculatedColumnFormula>N34</calculatedColumnFormula>
    </tableColumn>
    <tableColumn id="3" xr3:uid="{8C1D00DE-7771-4918-96A8-5AB11A005094}" name="Highlight" dataDxfId="4" dataCellStyle="Percent">
      <calculatedColumnFormula>IF(R34=MAX(Table356810[Attrition_Rate]),R34,"")</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0152FB-64DA-4343-8F14-45515D00B534}" name="Table3" displayName="Table3" ref="H9:J12" totalsRowShown="0" tableBorderDxfId="3">
  <autoFilter ref="H9:J12" xr:uid="{A50152FB-64DA-4343-8F14-45515D00B534}"/>
  <tableColumns count="3">
    <tableColumn id="1" xr3:uid="{3C0F1F5F-B869-4A91-8A98-847BAD99FBBC}" name="Department" dataDxfId="2"/>
    <tableColumn id="2" xr3:uid="{658E2CCE-BD59-4909-856F-88F6825E6C47}" name="Attrition_Rate" dataDxfId="1">
      <calculatedColumnFormula>E11</calculatedColumnFormula>
    </tableColumn>
    <tableColumn id="3" xr3:uid="{0AD970B2-D507-4B7B-B9D3-21FD06B5E2BF}" name="Highlight" dataDxfId="0" dataCellStyle="Percent">
      <calculatedColumnFormula>IF(I10=MAX(Table3[Attrition_Rate]),I10,"")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3.xml"/><Relationship Id="rId3" Type="http://schemas.openxmlformats.org/officeDocument/2006/relationships/pivotTable" Target="../pivotTables/pivotTable3.xml"/><Relationship Id="rId21" Type="http://schemas.openxmlformats.org/officeDocument/2006/relationships/table" Target="../tables/table6.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20" Type="http://schemas.openxmlformats.org/officeDocument/2006/relationships/table" Target="../tables/table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8.xml"/><Relationship Id="rId10" Type="http://schemas.openxmlformats.org/officeDocument/2006/relationships/pivotTable" Target="../pivotTables/pivotTable10.xml"/><Relationship Id="rId19"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7.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B329-178E-41B7-9130-C1226532D4D0}">
  <dimension ref="A1:AE1471"/>
  <sheetViews>
    <sheetView workbookViewId="0">
      <selection activeCell="G11" sqref="G11"/>
    </sheetView>
  </sheetViews>
  <sheetFormatPr defaultRowHeight="14.5" x14ac:dyDescent="0.35"/>
  <cols>
    <col min="1" max="1" width="6.1796875" bestFit="1" customWidth="1"/>
    <col min="2" max="2" width="10.26953125" bestFit="1" customWidth="1"/>
    <col min="3" max="3" width="22.08984375" bestFit="1" customWidth="1"/>
    <col min="4" max="4" width="19.81640625" bestFit="1" customWidth="1"/>
    <col min="5" max="5" width="11.453125" bestFit="1" customWidth="1"/>
    <col min="6" max="6" width="15.90625" bestFit="1" customWidth="1"/>
    <col min="7" max="7" width="23.90625" bestFit="1" customWidth="1"/>
    <col min="8" max="8" width="9.26953125" bestFit="1" customWidth="1"/>
    <col min="9" max="9" width="16.453125" bestFit="1" customWidth="1"/>
    <col min="10" max="10" width="10.08984375" bestFit="1" customWidth="1"/>
    <col min="11" max="11" width="23" bestFit="1" customWidth="1"/>
    <col min="12" max="12" width="15.7265625" bestFit="1" customWidth="1"/>
    <col min="13" max="13" width="14.453125" bestFit="1" customWidth="1"/>
    <col min="14" max="14" width="16.453125" bestFit="1" customWidth="1"/>
    <col min="15" max="15" width="23.36328125" bestFit="1" customWidth="1"/>
    <col min="16" max="16" width="11.1796875" bestFit="1" customWidth="1"/>
    <col min="17" max="17" width="18.36328125" bestFit="1" customWidth="1"/>
    <col min="18" max="18" width="23.453125" bestFit="1" customWidth="1"/>
    <col min="19" max="19" width="17.7265625" bestFit="1" customWidth="1"/>
    <col min="20" max="20" width="19.08984375" bestFit="1" customWidth="1"/>
    <col min="21" max="21" width="22" bestFit="1" customWidth="1"/>
    <col min="22" max="22" width="17.1796875" bestFit="1" customWidth="1"/>
    <col min="23" max="23" width="17.54296875" bestFit="1" customWidth="1"/>
    <col min="24" max="24" width="19.54296875" bestFit="1" customWidth="1"/>
    <col min="25" max="25" width="24.54296875" bestFit="1" customWidth="1"/>
    <col min="26" max="26" width="23" bestFit="1" customWidth="1"/>
    <col min="27" max="27" width="16.6328125" bestFit="1" customWidth="1"/>
    <col min="28" max="28" width="12.453125" bestFit="1" customWidth="1"/>
    <col min="29" max="29" width="14.54296875" bestFit="1" customWidth="1"/>
    <col min="30" max="30" width="20.81640625" bestFit="1" customWidth="1"/>
    <col min="31" max="31" width="17.90625" bestFit="1" customWidth="1"/>
    <col min="32" max="32" width="16.36328125"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64</v>
      </c>
      <c r="AC1" t="s">
        <v>27</v>
      </c>
      <c r="AD1" t="s">
        <v>28</v>
      </c>
      <c r="AE1" s="2" t="s">
        <v>29</v>
      </c>
    </row>
    <row r="2" spans="1:31" x14ac:dyDescent="0.35">
      <c r="A2">
        <v>41</v>
      </c>
      <c r="B2" s="1" t="s">
        <v>30</v>
      </c>
      <c r="C2" s="1" t="s">
        <v>31</v>
      </c>
      <c r="D2">
        <v>1</v>
      </c>
      <c r="E2">
        <v>2</v>
      </c>
      <c r="F2" s="1" t="s">
        <v>32</v>
      </c>
      <c r="G2">
        <v>2</v>
      </c>
      <c r="H2" s="1" t="s">
        <v>33</v>
      </c>
      <c r="I2">
        <v>3</v>
      </c>
      <c r="J2">
        <v>2</v>
      </c>
      <c r="K2" s="1" t="s">
        <v>34</v>
      </c>
      <c r="L2">
        <v>4</v>
      </c>
      <c r="M2" s="1" t="s">
        <v>35</v>
      </c>
      <c r="N2">
        <v>5993</v>
      </c>
      <c r="O2">
        <v>8</v>
      </c>
      <c r="P2" s="1" t="s">
        <v>30</v>
      </c>
      <c r="Q2">
        <v>11</v>
      </c>
      <c r="R2">
        <v>1</v>
      </c>
      <c r="S2">
        <v>0</v>
      </c>
      <c r="T2">
        <v>8</v>
      </c>
      <c r="U2">
        <v>0</v>
      </c>
      <c r="V2">
        <v>1</v>
      </c>
      <c r="W2">
        <v>6</v>
      </c>
      <c r="X2">
        <v>4</v>
      </c>
      <c r="Y2">
        <v>0</v>
      </c>
      <c r="Z2">
        <v>5</v>
      </c>
      <c r="AA2">
        <v>1</v>
      </c>
      <c r="AB2" s="1" t="s">
        <v>36</v>
      </c>
      <c r="AC2" t="s">
        <v>37</v>
      </c>
      <c r="AD2" t="s">
        <v>38</v>
      </c>
      <c r="AE2" s="2">
        <v>998.83333333333337</v>
      </c>
    </row>
    <row r="3" spans="1:31" x14ac:dyDescent="0.35">
      <c r="A3">
        <v>49</v>
      </c>
      <c r="B3" s="1" t="s">
        <v>39</v>
      </c>
      <c r="C3" s="1" t="s">
        <v>40</v>
      </c>
      <c r="D3">
        <v>8</v>
      </c>
      <c r="E3">
        <v>1</v>
      </c>
      <c r="F3" s="1" t="s">
        <v>32</v>
      </c>
      <c r="G3">
        <v>3</v>
      </c>
      <c r="H3" s="1" t="s">
        <v>41</v>
      </c>
      <c r="I3">
        <v>2</v>
      </c>
      <c r="J3">
        <v>2</v>
      </c>
      <c r="K3" s="1" t="s">
        <v>42</v>
      </c>
      <c r="L3">
        <v>2</v>
      </c>
      <c r="M3" s="1" t="s">
        <v>43</v>
      </c>
      <c r="N3">
        <v>5130</v>
      </c>
      <c r="O3">
        <v>1</v>
      </c>
      <c r="P3" s="1" t="s">
        <v>39</v>
      </c>
      <c r="Q3">
        <v>23</v>
      </c>
      <c r="R3">
        <v>4</v>
      </c>
      <c r="S3">
        <v>1</v>
      </c>
      <c r="T3">
        <v>10</v>
      </c>
      <c r="U3">
        <v>3</v>
      </c>
      <c r="V3">
        <v>3</v>
      </c>
      <c r="W3">
        <v>10</v>
      </c>
      <c r="X3">
        <v>7</v>
      </c>
      <c r="Y3">
        <v>1</v>
      </c>
      <c r="Z3">
        <v>7</v>
      </c>
      <c r="AA3">
        <v>0</v>
      </c>
      <c r="AB3" s="1" t="s">
        <v>82</v>
      </c>
      <c r="AC3" t="s">
        <v>37</v>
      </c>
      <c r="AD3" t="s">
        <v>38</v>
      </c>
      <c r="AE3" s="2">
        <v>513</v>
      </c>
    </row>
    <row r="4" spans="1:31" x14ac:dyDescent="0.35">
      <c r="A4">
        <v>37</v>
      </c>
      <c r="B4" s="1" t="s">
        <v>30</v>
      </c>
      <c r="C4" s="1" t="s">
        <v>40</v>
      </c>
      <c r="D4">
        <v>2</v>
      </c>
      <c r="E4">
        <v>2</v>
      </c>
      <c r="F4" s="1" t="s">
        <v>44</v>
      </c>
      <c r="G4">
        <v>4</v>
      </c>
      <c r="H4" s="1" t="s">
        <v>41</v>
      </c>
      <c r="I4">
        <v>2</v>
      </c>
      <c r="J4">
        <v>1</v>
      </c>
      <c r="K4" s="1" t="s">
        <v>45</v>
      </c>
      <c r="L4">
        <v>3</v>
      </c>
      <c r="M4" s="1" t="s">
        <v>35</v>
      </c>
      <c r="N4">
        <v>2090</v>
      </c>
      <c r="O4">
        <v>6</v>
      </c>
      <c r="P4" s="1" t="s">
        <v>30</v>
      </c>
      <c r="Q4">
        <v>15</v>
      </c>
      <c r="R4">
        <v>2</v>
      </c>
      <c r="S4">
        <v>0</v>
      </c>
      <c r="T4">
        <v>7</v>
      </c>
      <c r="U4">
        <v>3</v>
      </c>
      <c r="V4">
        <v>3</v>
      </c>
      <c r="W4">
        <v>0</v>
      </c>
      <c r="X4">
        <v>0</v>
      </c>
      <c r="Y4">
        <v>0</v>
      </c>
      <c r="Z4">
        <v>0</v>
      </c>
      <c r="AA4">
        <v>1</v>
      </c>
      <c r="AB4" s="1" t="s">
        <v>36</v>
      </c>
      <c r="AC4" t="s">
        <v>46</v>
      </c>
      <c r="AD4" t="s">
        <v>47</v>
      </c>
      <c r="AE4" s="2">
        <v>2090</v>
      </c>
    </row>
    <row r="5" spans="1:31" x14ac:dyDescent="0.35">
      <c r="A5">
        <v>33</v>
      </c>
      <c r="B5" s="1" t="s">
        <v>39</v>
      </c>
      <c r="C5" s="1" t="s">
        <v>40</v>
      </c>
      <c r="D5">
        <v>3</v>
      </c>
      <c r="E5">
        <v>4</v>
      </c>
      <c r="F5" s="1" t="s">
        <v>32</v>
      </c>
      <c r="G5">
        <v>4</v>
      </c>
      <c r="H5" s="1" t="s">
        <v>33</v>
      </c>
      <c r="I5">
        <v>3</v>
      </c>
      <c r="J5">
        <v>1</v>
      </c>
      <c r="K5" s="1" t="s">
        <v>42</v>
      </c>
      <c r="L5">
        <v>3</v>
      </c>
      <c r="M5" s="1" t="s">
        <v>43</v>
      </c>
      <c r="N5">
        <v>2909</v>
      </c>
      <c r="O5">
        <v>1</v>
      </c>
      <c r="P5" s="1" t="s">
        <v>30</v>
      </c>
      <c r="Q5">
        <v>11</v>
      </c>
      <c r="R5">
        <v>3</v>
      </c>
      <c r="S5">
        <v>0</v>
      </c>
      <c r="T5">
        <v>8</v>
      </c>
      <c r="U5">
        <v>3</v>
      </c>
      <c r="V5">
        <v>3</v>
      </c>
      <c r="W5">
        <v>8</v>
      </c>
      <c r="X5">
        <v>7</v>
      </c>
      <c r="Y5">
        <v>3</v>
      </c>
      <c r="Z5">
        <v>0</v>
      </c>
      <c r="AA5">
        <v>0</v>
      </c>
      <c r="AB5" s="1" t="s">
        <v>48</v>
      </c>
      <c r="AC5" t="s">
        <v>46</v>
      </c>
      <c r="AD5" t="s">
        <v>38</v>
      </c>
      <c r="AE5" s="2">
        <v>363.625</v>
      </c>
    </row>
    <row r="6" spans="1:31" x14ac:dyDescent="0.35">
      <c r="A6">
        <v>27</v>
      </c>
      <c r="B6" s="1" t="s">
        <v>39</v>
      </c>
      <c r="C6" s="1" t="s">
        <v>40</v>
      </c>
      <c r="D6">
        <v>2</v>
      </c>
      <c r="E6">
        <v>1</v>
      </c>
      <c r="F6" s="1" t="s">
        <v>49</v>
      </c>
      <c r="G6">
        <v>1</v>
      </c>
      <c r="H6" s="1" t="s">
        <v>41</v>
      </c>
      <c r="I6">
        <v>3</v>
      </c>
      <c r="J6">
        <v>1</v>
      </c>
      <c r="K6" s="1" t="s">
        <v>45</v>
      </c>
      <c r="L6">
        <v>2</v>
      </c>
      <c r="M6" s="1" t="s">
        <v>43</v>
      </c>
      <c r="N6">
        <v>3468</v>
      </c>
      <c r="O6">
        <v>9</v>
      </c>
      <c r="P6" s="1" t="s">
        <v>39</v>
      </c>
      <c r="Q6">
        <v>12</v>
      </c>
      <c r="R6">
        <v>4</v>
      </c>
      <c r="S6">
        <v>1</v>
      </c>
      <c r="T6">
        <v>6</v>
      </c>
      <c r="U6">
        <v>3</v>
      </c>
      <c r="V6">
        <v>3</v>
      </c>
      <c r="W6">
        <v>2</v>
      </c>
      <c r="X6">
        <v>2</v>
      </c>
      <c r="Y6">
        <v>2</v>
      </c>
      <c r="Z6">
        <v>2</v>
      </c>
      <c r="AA6">
        <v>0</v>
      </c>
      <c r="AB6" s="1" t="s">
        <v>48</v>
      </c>
      <c r="AC6" t="s">
        <v>46</v>
      </c>
      <c r="AD6" t="s">
        <v>47</v>
      </c>
      <c r="AE6" s="2">
        <v>1734</v>
      </c>
    </row>
    <row r="7" spans="1:31" x14ac:dyDescent="0.35">
      <c r="A7">
        <v>32</v>
      </c>
      <c r="B7" s="1" t="s">
        <v>39</v>
      </c>
      <c r="C7" s="1" t="s">
        <v>40</v>
      </c>
      <c r="D7">
        <v>2</v>
      </c>
      <c r="E7">
        <v>2</v>
      </c>
      <c r="F7" s="1" t="s">
        <v>32</v>
      </c>
      <c r="G7">
        <v>4</v>
      </c>
      <c r="H7" s="1" t="s">
        <v>41</v>
      </c>
      <c r="I7">
        <v>3</v>
      </c>
      <c r="J7">
        <v>1</v>
      </c>
      <c r="K7" s="1" t="s">
        <v>45</v>
      </c>
      <c r="L7">
        <v>4</v>
      </c>
      <c r="M7" s="1" t="s">
        <v>35</v>
      </c>
      <c r="N7">
        <v>3068</v>
      </c>
      <c r="O7">
        <v>0</v>
      </c>
      <c r="P7" s="1" t="s">
        <v>39</v>
      </c>
      <c r="Q7">
        <v>13</v>
      </c>
      <c r="R7">
        <v>3</v>
      </c>
      <c r="S7">
        <v>0</v>
      </c>
      <c r="T7">
        <v>8</v>
      </c>
      <c r="U7">
        <v>2</v>
      </c>
      <c r="V7">
        <v>2</v>
      </c>
      <c r="W7">
        <v>7</v>
      </c>
      <c r="X7">
        <v>7</v>
      </c>
      <c r="Y7">
        <v>3</v>
      </c>
      <c r="Z7">
        <v>6</v>
      </c>
      <c r="AA7">
        <v>0</v>
      </c>
      <c r="AB7" s="1" t="s">
        <v>48</v>
      </c>
      <c r="AC7" t="s">
        <v>46</v>
      </c>
      <c r="AD7" t="s">
        <v>38</v>
      </c>
      <c r="AE7" s="2">
        <v>438.28571428571428</v>
      </c>
    </row>
    <row r="8" spans="1:31" x14ac:dyDescent="0.35">
      <c r="A8">
        <v>59</v>
      </c>
      <c r="B8" s="1" t="s">
        <v>39</v>
      </c>
      <c r="C8" s="1" t="s">
        <v>40</v>
      </c>
      <c r="D8">
        <v>3</v>
      </c>
      <c r="E8">
        <v>3</v>
      </c>
      <c r="F8" s="1" t="s">
        <v>49</v>
      </c>
      <c r="G8">
        <v>3</v>
      </c>
      <c r="H8" s="1" t="s">
        <v>33</v>
      </c>
      <c r="I8">
        <v>4</v>
      </c>
      <c r="J8">
        <v>1</v>
      </c>
      <c r="K8" s="1" t="s">
        <v>45</v>
      </c>
      <c r="L8">
        <v>1</v>
      </c>
      <c r="M8" s="1" t="s">
        <v>43</v>
      </c>
      <c r="N8">
        <v>2670</v>
      </c>
      <c r="O8">
        <v>4</v>
      </c>
      <c r="P8" s="1" t="s">
        <v>30</v>
      </c>
      <c r="Q8">
        <v>20</v>
      </c>
      <c r="R8">
        <v>1</v>
      </c>
      <c r="S8">
        <v>3</v>
      </c>
      <c r="T8">
        <v>12</v>
      </c>
      <c r="U8">
        <v>3</v>
      </c>
      <c r="V8">
        <v>2</v>
      </c>
      <c r="W8">
        <v>1</v>
      </c>
      <c r="X8">
        <v>0</v>
      </c>
      <c r="Y8">
        <v>0</v>
      </c>
      <c r="Z8">
        <v>0</v>
      </c>
      <c r="AA8">
        <v>0</v>
      </c>
      <c r="AB8" s="1" t="s">
        <v>82</v>
      </c>
      <c r="AC8" t="s">
        <v>46</v>
      </c>
      <c r="AD8" t="s">
        <v>47</v>
      </c>
      <c r="AE8" s="2">
        <v>2670</v>
      </c>
    </row>
    <row r="9" spans="1:31" x14ac:dyDescent="0.35">
      <c r="A9">
        <v>30</v>
      </c>
      <c r="B9" s="1" t="s">
        <v>39</v>
      </c>
      <c r="C9" s="1" t="s">
        <v>40</v>
      </c>
      <c r="D9">
        <v>24</v>
      </c>
      <c r="E9">
        <v>1</v>
      </c>
      <c r="F9" s="1" t="s">
        <v>32</v>
      </c>
      <c r="G9">
        <v>4</v>
      </c>
      <c r="H9" s="1" t="s">
        <v>41</v>
      </c>
      <c r="I9">
        <v>3</v>
      </c>
      <c r="J9">
        <v>1</v>
      </c>
      <c r="K9" s="1" t="s">
        <v>45</v>
      </c>
      <c r="L9">
        <v>3</v>
      </c>
      <c r="M9" s="1" t="s">
        <v>50</v>
      </c>
      <c r="N9">
        <v>2693</v>
      </c>
      <c r="O9">
        <v>1</v>
      </c>
      <c r="P9" s="1" t="s">
        <v>39</v>
      </c>
      <c r="Q9">
        <v>22</v>
      </c>
      <c r="R9">
        <v>2</v>
      </c>
      <c r="S9">
        <v>1</v>
      </c>
      <c r="T9">
        <v>1</v>
      </c>
      <c r="U9">
        <v>2</v>
      </c>
      <c r="V9">
        <v>3</v>
      </c>
      <c r="W9">
        <v>1</v>
      </c>
      <c r="X9">
        <v>0</v>
      </c>
      <c r="Y9">
        <v>0</v>
      </c>
      <c r="Z9">
        <v>0</v>
      </c>
      <c r="AA9">
        <v>0</v>
      </c>
      <c r="AB9" s="1" t="s">
        <v>48</v>
      </c>
      <c r="AC9" t="s">
        <v>46</v>
      </c>
      <c r="AD9" t="s">
        <v>47</v>
      </c>
      <c r="AE9" s="2">
        <v>2693</v>
      </c>
    </row>
    <row r="10" spans="1:31" x14ac:dyDescent="0.35">
      <c r="A10">
        <v>38</v>
      </c>
      <c r="B10" s="1" t="s">
        <v>39</v>
      </c>
      <c r="C10" s="1" t="s">
        <v>40</v>
      </c>
      <c r="D10">
        <v>23</v>
      </c>
      <c r="E10">
        <v>3</v>
      </c>
      <c r="F10" s="1" t="s">
        <v>32</v>
      </c>
      <c r="G10">
        <v>4</v>
      </c>
      <c r="H10" s="1" t="s">
        <v>41</v>
      </c>
      <c r="I10">
        <v>2</v>
      </c>
      <c r="J10">
        <v>3</v>
      </c>
      <c r="K10" s="1" t="s">
        <v>51</v>
      </c>
      <c r="L10">
        <v>3</v>
      </c>
      <c r="M10" s="1" t="s">
        <v>35</v>
      </c>
      <c r="N10">
        <v>9526</v>
      </c>
      <c r="O10">
        <v>0</v>
      </c>
      <c r="P10" s="1" t="s">
        <v>39</v>
      </c>
      <c r="Q10">
        <v>21</v>
      </c>
      <c r="R10">
        <v>2</v>
      </c>
      <c r="S10">
        <v>0</v>
      </c>
      <c r="T10">
        <v>10</v>
      </c>
      <c r="U10">
        <v>2</v>
      </c>
      <c r="V10">
        <v>3</v>
      </c>
      <c r="W10">
        <v>9</v>
      </c>
      <c r="X10">
        <v>7</v>
      </c>
      <c r="Y10">
        <v>1</v>
      </c>
      <c r="Z10">
        <v>8</v>
      </c>
      <c r="AA10">
        <v>0</v>
      </c>
      <c r="AB10" s="1" t="s">
        <v>36</v>
      </c>
      <c r="AC10" t="s">
        <v>37</v>
      </c>
      <c r="AD10" t="s">
        <v>38</v>
      </c>
      <c r="AE10" s="2">
        <v>1058.4444444444443</v>
      </c>
    </row>
    <row r="11" spans="1:31" x14ac:dyDescent="0.35">
      <c r="A11">
        <v>36</v>
      </c>
      <c r="B11" s="1" t="s">
        <v>39</v>
      </c>
      <c r="C11" s="1" t="s">
        <v>40</v>
      </c>
      <c r="D11">
        <v>27</v>
      </c>
      <c r="E11">
        <v>3</v>
      </c>
      <c r="F11" s="1" t="s">
        <v>49</v>
      </c>
      <c r="G11">
        <v>3</v>
      </c>
      <c r="H11" s="1" t="s">
        <v>41</v>
      </c>
      <c r="I11">
        <v>3</v>
      </c>
      <c r="J11">
        <v>2</v>
      </c>
      <c r="K11" s="1" t="s">
        <v>52</v>
      </c>
      <c r="L11">
        <v>3</v>
      </c>
      <c r="M11" s="1" t="s">
        <v>43</v>
      </c>
      <c r="N11">
        <v>5237</v>
      </c>
      <c r="O11">
        <v>6</v>
      </c>
      <c r="P11" s="1" t="s">
        <v>39</v>
      </c>
      <c r="Q11">
        <v>13</v>
      </c>
      <c r="R11">
        <v>2</v>
      </c>
      <c r="S11">
        <v>2</v>
      </c>
      <c r="T11">
        <v>17</v>
      </c>
      <c r="U11">
        <v>3</v>
      </c>
      <c r="V11">
        <v>2</v>
      </c>
      <c r="W11">
        <v>7</v>
      </c>
      <c r="X11">
        <v>7</v>
      </c>
      <c r="Y11">
        <v>7</v>
      </c>
      <c r="Z11">
        <v>7</v>
      </c>
      <c r="AA11">
        <v>0</v>
      </c>
      <c r="AB11" s="1" t="s">
        <v>36</v>
      </c>
      <c r="AC11" t="s">
        <v>37</v>
      </c>
      <c r="AD11" t="s">
        <v>38</v>
      </c>
      <c r="AE11" s="2">
        <v>748.14285714285711</v>
      </c>
    </row>
    <row r="12" spans="1:31" x14ac:dyDescent="0.35">
      <c r="A12">
        <v>35</v>
      </c>
      <c r="B12" s="1" t="s">
        <v>39</v>
      </c>
      <c r="C12" s="1" t="s">
        <v>40</v>
      </c>
      <c r="D12">
        <v>16</v>
      </c>
      <c r="E12">
        <v>3</v>
      </c>
      <c r="F12" s="1" t="s">
        <v>49</v>
      </c>
      <c r="G12">
        <v>1</v>
      </c>
      <c r="H12" s="1" t="s">
        <v>41</v>
      </c>
      <c r="I12">
        <v>4</v>
      </c>
      <c r="J12">
        <v>1</v>
      </c>
      <c r="K12" s="1" t="s">
        <v>45</v>
      </c>
      <c r="L12">
        <v>2</v>
      </c>
      <c r="M12" s="1" t="s">
        <v>43</v>
      </c>
      <c r="N12">
        <v>2426</v>
      </c>
      <c r="O12">
        <v>0</v>
      </c>
      <c r="P12" s="1" t="s">
        <v>39</v>
      </c>
      <c r="Q12">
        <v>13</v>
      </c>
      <c r="R12">
        <v>3</v>
      </c>
      <c r="S12">
        <v>1</v>
      </c>
      <c r="T12">
        <v>6</v>
      </c>
      <c r="U12">
        <v>5</v>
      </c>
      <c r="V12">
        <v>3</v>
      </c>
      <c r="W12">
        <v>5</v>
      </c>
      <c r="X12">
        <v>4</v>
      </c>
      <c r="Y12">
        <v>0</v>
      </c>
      <c r="Z12">
        <v>3</v>
      </c>
      <c r="AA12">
        <v>0</v>
      </c>
      <c r="AB12" s="1" t="s">
        <v>48</v>
      </c>
      <c r="AC12" t="s">
        <v>46</v>
      </c>
      <c r="AD12" t="s">
        <v>53</v>
      </c>
      <c r="AE12" s="2">
        <v>485.2</v>
      </c>
    </row>
    <row r="13" spans="1:31" x14ac:dyDescent="0.35">
      <c r="A13">
        <v>29</v>
      </c>
      <c r="B13" s="1" t="s">
        <v>39</v>
      </c>
      <c r="C13" s="1" t="s">
        <v>40</v>
      </c>
      <c r="D13">
        <v>15</v>
      </c>
      <c r="E13">
        <v>2</v>
      </c>
      <c r="F13" s="1" t="s">
        <v>32</v>
      </c>
      <c r="G13">
        <v>4</v>
      </c>
      <c r="H13" s="1" t="s">
        <v>33</v>
      </c>
      <c r="I13">
        <v>2</v>
      </c>
      <c r="J13">
        <v>2</v>
      </c>
      <c r="K13" s="1" t="s">
        <v>45</v>
      </c>
      <c r="L13">
        <v>3</v>
      </c>
      <c r="M13" s="1" t="s">
        <v>35</v>
      </c>
      <c r="N13">
        <v>4193</v>
      </c>
      <c r="O13">
        <v>0</v>
      </c>
      <c r="P13" s="1" t="s">
        <v>30</v>
      </c>
      <c r="Q13">
        <v>12</v>
      </c>
      <c r="R13">
        <v>4</v>
      </c>
      <c r="S13">
        <v>0</v>
      </c>
      <c r="T13">
        <v>10</v>
      </c>
      <c r="U13">
        <v>3</v>
      </c>
      <c r="V13">
        <v>3</v>
      </c>
      <c r="W13">
        <v>9</v>
      </c>
      <c r="X13">
        <v>5</v>
      </c>
      <c r="Y13">
        <v>0</v>
      </c>
      <c r="Z13">
        <v>8</v>
      </c>
      <c r="AA13">
        <v>0</v>
      </c>
      <c r="AB13" s="1" t="s">
        <v>48</v>
      </c>
      <c r="AC13" t="s">
        <v>37</v>
      </c>
      <c r="AD13" t="s">
        <v>38</v>
      </c>
      <c r="AE13" s="2">
        <v>465.88888888888891</v>
      </c>
    </row>
    <row r="14" spans="1:31" x14ac:dyDescent="0.35">
      <c r="A14">
        <v>31</v>
      </c>
      <c r="B14" s="1" t="s">
        <v>39</v>
      </c>
      <c r="C14" s="1" t="s">
        <v>40</v>
      </c>
      <c r="D14">
        <v>26</v>
      </c>
      <c r="E14">
        <v>1</v>
      </c>
      <c r="F14" s="1" t="s">
        <v>32</v>
      </c>
      <c r="G14">
        <v>1</v>
      </c>
      <c r="H14" s="1" t="s">
        <v>41</v>
      </c>
      <c r="I14">
        <v>3</v>
      </c>
      <c r="J14">
        <v>1</v>
      </c>
      <c r="K14" s="1" t="s">
        <v>42</v>
      </c>
      <c r="L14">
        <v>3</v>
      </c>
      <c r="M14" s="1" t="s">
        <v>50</v>
      </c>
      <c r="N14">
        <v>2911</v>
      </c>
      <c r="O14">
        <v>1</v>
      </c>
      <c r="P14" s="1" t="s">
        <v>39</v>
      </c>
      <c r="Q14">
        <v>17</v>
      </c>
      <c r="R14">
        <v>4</v>
      </c>
      <c r="S14">
        <v>1</v>
      </c>
      <c r="T14">
        <v>5</v>
      </c>
      <c r="U14">
        <v>1</v>
      </c>
      <c r="V14">
        <v>2</v>
      </c>
      <c r="W14">
        <v>5</v>
      </c>
      <c r="X14">
        <v>2</v>
      </c>
      <c r="Y14">
        <v>4</v>
      </c>
      <c r="Z14">
        <v>3</v>
      </c>
      <c r="AA14">
        <v>0</v>
      </c>
      <c r="AB14" s="1" t="s">
        <v>48</v>
      </c>
      <c r="AC14" t="s">
        <v>46</v>
      </c>
      <c r="AD14" t="s">
        <v>53</v>
      </c>
      <c r="AE14" s="2">
        <v>582.20000000000005</v>
      </c>
    </row>
    <row r="15" spans="1:31" x14ac:dyDescent="0.35">
      <c r="A15">
        <v>34</v>
      </c>
      <c r="B15" s="1" t="s">
        <v>39</v>
      </c>
      <c r="C15" s="1" t="s">
        <v>40</v>
      </c>
      <c r="D15">
        <v>19</v>
      </c>
      <c r="E15">
        <v>2</v>
      </c>
      <c r="F15" s="1" t="s">
        <v>49</v>
      </c>
      <c r="G15">
        <v>2</v>
      </c>
      <c r="H15" s="1" t="s">
        <v>41</v>
      </c>
      <c r="I15">
        <v>3</v>
      </c>
      <c r="J15">
        <v>1</v>
      </c>
      <c r="K15" s="1" t="s">
        <v>45</v>
      </c>
      <c r="L15">
        <v>4</v>
      </c>
      <c r="M15" s="1" t="s">
        <v>50</v>
      </c>
      <c r="N15">
        <v>2661</v>
      </c>
      <c r="O15">
        <v>0</v>
      </c>
      <c r="P15" s="1" t="s">
        <v>39</v>
      </c>
      <c r="Q15">
        <v>11</v>
      </c>
      <c r="R15">
        <v>3</v>
      </c>
      <c r="S15">
        <v>1</v>
      </c>
      <c r="T15">
        <v>3</v>
      </c>
      <c r="U15">
        <v>2</v>
      </c>
      <c r="V15">
        <v>3</v>
      </c>
      <c r="W15">
        <v>2</v>
      </c>
      <c r="X15">
        <v>2</v>
      </c>
      <c r="Y15">
        <v>1</v>
      </c>
      <c r="Z15">
        <v>2</v>
      </c>
      <c r="AA15">
        <v>0</v>
      </c>
      <c r="AB15" s="1" t="s">
        <v>48</v>
      </c>
      <c r="AC15" t="s">
        <v>46</v>
      </c>
      <c r="AD15" t="s">
        <v>47</v>
      </c>
      <c r="AE15" s="2">
        <v>1330.5</v>
      </c>
    </row>
    <row r="16" spans="1:31" x14ac:dyDescent="0.35">
      <c r="A16">
        <v>28</v>
      </c>
      <c r="B16" s="1" t="s">
        <v>30</v>
      </c>
      <c r="C16" s="1" t="s">
        <v>40</v>
      </c>
      <c r="D16">
        <v>24</v>
      </c>
      <c r="E16">
        <v>3</v>
      </c>
      <c r="F16" s="1" t="s">
        <v>32</v>
      </c>
      <c r="G16">
        <v>3</v>
      </c>
      <c r="H16" s="1" t="s">
        <v>41</v>
      </c>
      <c r="I16">
        <v>2</v>
      </c>
      <c r="J16">
        <v>1</v>
      </c>
      <c r="K16" s="1" t="s">
        <v>45</v>
      </c>
      <c r="L16">
        <v>3</v>
      </c>
      <c r="M16" s="1" t="s">
        <v>35</v>
      </c>
      <c r="N16">
        <v>2028</v>
      </c>
      <c r="O16">
        <v>5</v>
      </c>
      <c r="P16" s="1" t="s">
        <v>30</v>
      </c>
      <c r="Q16">
        <v>14</v>
      </c>
      <c r="R16">
        <v>2</v>
      </c>
      <c r="S16">
        <v>0</v>
      </c>
      <c r="T16">
        <v>6</v>
      </c>
      <c r="U16">
        <v>4</v>
      </c>
      <c r="V16">
        <v>3</v>
      </c>
      <c r="W16">
        <v>4</v>
      </c>
      <c r="X16">
        <v>2</v>
      </c>
      <c r="Y16">
        <v>0</v>
      </c>
      <c r="Z16">
        <v>3</v>
      </c>
      <c r="AA16">
        <v>1</v>
      </c>
      <c r="AB16" s="1" t="s">
        <v>48</v>
      </c>
      <c r="AC16" t="s">
        <v>46</v>
      </c>
      <c r="AD16" t="s">
        <v>53</v>
      </c>
      <c r="AE16" s="2">
        <v>507</v>
      </c>
    </row>
    <row r="17" spans="1:31" x14ac:dyDescent="0.35">
      <c r="A17">
        <v>29</v>
      </c>
      <c r="B17" s="1" t="s">
        <v>39</v>
      </c>
      <c r="C17" s="1" t="s">
        <v>40</v>
      </c>
      <c r="D17">
        <v>21</v>
      </c>
      <c r="E17">
        <v>4</v>
      </c>
      <c r="F17" s="1" t="s">
        <v>32</v>
      </c>
      <c r="G17">
        <v>2</v>
      </c>
      <c r="H17" s="1" t="s">
        <v>33</v>
      </c>
      <c r="I17">
        <v>4</v>
      </c>
      <c r="J17">
        <v>3</v>
      </c>
      <c r="K17" s="1" t="s">
        <v>51</v>
      </c>
      <c r="L17">
        <v>1</v>
      </c>
      <c r="M17" s="1" t="s">
        <v>50</v>
      </c>
      <c r="N17">
        <v>9980</v>
      </c>
      <c r="O17">
        <v>1</v>
      </c>
      <c r="P17" s="1" t="s">
        <v>39</v>
      </c>
      <c r="Q17">
        <v>11</v>
      </c>
      <c r="R17">
        <v>3</v>
      </c>
      <c r="S17">
        <v>1</v>
      </c>
      <c r="T17">
        <v>10</v>
      </c>
      <c r="U17">
        <v>1</v>
      </c>
      <c r="V17">
        <v>3</v>
      </c>
      <c r="W17">
        <v>10</v>
      </c>
      <c r="X17">
        <v>9</v>
      </c>
      <c r="Y17">
        <v>8</v>
      </c>
      <c r="Z17">
        <v>8</v>
      </c>
      <c r="AA17">
        <v>0</v>
      </c>
      <c r="AB17" s="1" t="s">
        <v>48</v>
      </c>
      <c r="AC17" t="s">
        <v>37</v>
      </c>
      <c r="AD17" t="s">
        <v>38</v>
      </c>
      <c r="AE17" s="2">
        <v>998</v>
      </c>
    </row>
    <row r="18" spans="1:31" x14ac:dyDescent="0.35">
      <c r="A18">
        <v>32</v>
      </c>
      <c r="B18" s="1" t="s">
        <v>39</v>
      </c>
      <c r="C18" s="1" t="s">
        <v>40</v>
      </c>
      <c r="D18">
        <v>5</v>
      </c>
      <c r="E18">
        <v>2</v>
      </c>
      <c r="F18" s="1" t="s">
        <v>32</v>
      </c>
      <c r="G18">
        <v>1</v>
      </c>
      <c r="H18" s="1" t="s">
        <v>41</v>
      </c>
      <c r="I18">
        <v>4</v>
      </c>
      <c r="J18">
        <v>1</v>
      </c>
      <c r="K18" s="1" t="s">
        <v>42</v>
      </c>
      <c r="L18">
        <v>2</v>
      </c>
      <c r="M18" s="1" t="s">
        <v>50</v>
      </c>
      <c r="N18">
        <v>3298</v>
      </c>
      <c r="O18">
        <v>0</v>
      </c>
      <c r="P18" s="1" t="s">
        <v>30</v>
      </c>
      <c r="Q18">
        <v>12</v>
      </c>
      <c r="R18">
        <v>4</v>
      </c>
      <c r="S18">
        <v>2</v>
      </c>
      <c r="T18">
        <v>7</v>
      </c>
      <c r="U18">
        <v>5</v>
      </c>
      <c r="V18">
        <v>2</v>
      </c>
      <c r="W18">
        <v>6</v>
      </c>
      <c r="X18">
        <v>2</v>
      </c>
      <c r="Y18">
        <v>0</v>
      </c>
      <c r="Z18">
        <v>5</v>
      </c>
      <c r="AA18">
        <v>0</v>
      </c>
      <c r="AB18" s="1" t="s">
        <v>48</v>
      </c>
      <c r="AC18" t="s">
        <v>46</v>
      </c>
      <c r="AD18" t="s">
        <v>38</v>
      </c>
      <c r="AE18" s="2">
        <v>549.66666666666663</v>
      </c>
    </row>
    <row r="19" spans="1:31" x14ac:dyDescent="0.35">
      <c r="A19">
        <v>22</v>
      </c>
      <c r="B19" s="1" t="s">
        <v>39</v>
      </c>
      <c r="C19" s="1" t="s">
        <v>40</v>
      </c>
      <c r="D19">
        <v>16</v>
      </c>
      <c r="E19">
        <v>2</v>
      </c>
      <c r="F19" s="1" t="s">
        <v>49</v>
      </c>
      <c r="G19">
        <v>4</v>
      </c>
      <c r="H19" s="1" t="s">
        <v>41</v>
      </c>
      <c r="I19">
        <v>4</v>
      </c>
      <c r="J19">
        <v>1</v>
      </c>
      <c r="K19" s="1" t="s">
        <v>45</v>
      </c>
      <c r="L19">
        <v>4</v>
      </c>
      <c r="M19" s="1" t="s">
        <v>50</v>
      </c>
      <c r="N19">
        <v>2935</v>
      </c>
      <c r="O19">
        <v>1</v>
      </c>
      <c r="P19" s="1" t="s">
        <v>30</v>
      </c>
      <c r="Q19">
        <v>13</v>
      </c>
      <c r="R19">
        <v>2</v>
      </c>
      <c r="S19">
        <v>2</v>
      </c>
      <c r="T19">
        <v>1</v>
      </c>
      <c r="U19">
        <v>2</v>
      </c>
      <c r="V19">
        <v>2</v>
      </c>
      <c r="W19">
        <v>1</v>
      </c>
      <c r="X19">
        <v>0</v>
      </c>
      <c r="Y19">
        <v>0</v>
      </c>
      <c r="Z19">
        <v>0</v>
      </c>
      <c r="AA19">
        <v>0</v>
      </c>
      <c r="AB19" s="1" t="s">
        <v>54</v>
      </c>
      <c r="AC19" t="s">
        <v>46</v>
      </c>
      <c r="AD19" t="s">
        <v>47</v>
      </c>
      <c r="AE19" s="2">
        <v>2935</v>
      </c>
    </row>
    <row r="20" spans="1:31" x14ac:dyDescent="0.35">
      <c r="A20">
        <v>53</v>
      </c>
      <c r="B20" s="1" t="s">
        <v>39</v>
      </c>
      <c r="C20" s="1" t="s">
        <v>31</v>
      </c>
      <c r="D20">
        <v>2</v>
      </c>
      <c r="E20">
        <v>4</v>
      </c>
      <c r="F20" s="1" t="s">
        <v>32</v>
      </c>
      <c r="G20">
        <v>1</v>
      </c>
      <c r="H20" s="1" t="s">
        <v>33</v>
      </c>
      <c r="I20">
        <v>2</v>
      </c>
      <c r="J20">
        <v>4</v>
      </c>
      <c r="K20" s="1" t="s">
        <v>55</v>
      </c>
      <c r="L20">
        <v>4</v>
      </c>
      <c r="M20" s="1" t="s">
        <v>43</v>
      </c>
      <c r="N20">
        <v>15427</v>
      </c>
      <c r="O20">
        <v>2</v>
      </c>
      <c r="P20" s="1" t="s">
        <v>39</v>
      </c>
      <c r="Q20">
        <v>16</v>
      </c>
      <c r="R20">
        <v>3</v>
      </c>
      <c r="S20">
        <v>0</v>
      </c>
      <c r="T20">
        <v>31</v>
      </c>
      <c r="U20">
        <v>3</v>
      </c>
      <c r="V20">
        <v>3</v>
      </c>
      <c r="W20">
        <v>25</v>
      </c>
      <c r="X20">
        <v>8</v>
      </c>
      <c r="Y20">
        <v>3</v>
      </c>
      <c r="Z20">
        <v>7</v>
      </c>
      <c r="AA20">
        <v>0</v>
      </c>
      <c r="AB20" s="1" t="s">
        <v>82</v>
      </c>
      <c r="AC20" t="s">
        <v>56</v>
      </c>
      <c r="AD20" t="s">
        <v>57</v>
      </c>
      <c r="AE20" s="2">
        <v>617.08000000000004</v>
      </c>
    </row>
    <row r="21" spans="1:31" x14ac:dyDescent="0.35">
      <c r="A21">
        <v>38</v>
      </c>
      <c r="B21" s="1" t="s">
        <v>39</v>
      </c>
      <c r="C21" s="1" t="s">
        <v>40</v>
      </c>
      <c r="D21">
        <v>2</v>
      </c>
      <c r="E21">
        <v>3</v>
      </c>
      <c r="F21" s="1" t="s">
        <v>32</v>
      </c>
      <c r="G21">
        <v>4</v>
      </c>
      <c r="H21" s="1" t="s">
        <v>41</v>
      </c>
      <c r="I21">
        <v>3</v>
      </c>
      <c r="J21">
        <v>1</v>
      </c>
      <c r="K21" s="1" t="s">
        <v>42</v>
      </c>
      <c r="L21">
        <v>4</v>
      </c>
      <c r="M21" s="1" t="s">
        <v>35</v>
      </c>
      <c r="N21">
        <v>3944</v>
      </c>
      <c r="O21">
        <v>5</v>
      </c>
      <c r="P21" s="1" t="s">
        <v>30</v>
      </c>
      <c r="Q21">
        <v>11</v>
      </c>
      <c r="R21">
        <v>3</v>
      </c>
      <c r="S21">
        <v>0</v>
      </c>
      <c r="T21">
        <v>6</v>
      </c>
      <c r="U21">
        <v>3</v>
      </c>
      <c r="V21">
        <v>3</v>
      </c>
      <c r="W21">
        <v>3</v>
      </c>
      <c r="X21">
        <v>2</v>
      </c>
      <c r="Y21">
        <v>1</v>
      </c>
      <c r="Z21">
        <v>2</v>
      </c>
      <c r="AA21">
        <v>0</v>
      </c>
      <c r="AB21" s="1" t="s">
        <v>36</v>
      </c>
      <c r="AC21" t="s">
        <v>46</v>
      </c>
      <c r="AD21" t="s">
        <v>53</v>
      </c>
      <c r="AE21" s="2">
        <v>1314.6666666666667</v>
      </c>
    </row>
    <row r="22" spans="1:31" x14ac:dyDescent="0.35">
      <c r="A22">
        <v>24</v>
      </c>
      <c r="B22" s="1" t="s">
        <v>39</v>
      </c>
      <c r="C22" s="1" t="s">
        <v>40</v>
      </c>
      <c r="D22">
        <v>11</v>
      </c>
      <c r="E22">
        <v>2</v>
      </c>
      <c r="F22" s="1" t="s">
        <v>44</v>
      </c>
      <c r="G22">
        <v>1</v>
      </c>
      <c r="H22" s="1" t="s">
        <v>33</v>
      </c>
      <c r="I22">
        <v>4</v>
      </c>
      <c r="J22">
        <v>2</v>
      </c>
      <c r="K22" s="1" t="s">
        <v>51</v>
      </c>
      <c r="L22">
        <v>3</v>
      </c>
      <c r="M22" s="1" t="s">
        <v>50</v>
      </c>
      <c r="N22">
        <v>4011</v>
      </c>
      <c r="O22">
        <v>0</v>
      </c>
      <c r="P22" s="1" t="s">
        <v>39</v>
      </c>
      <c r="Q22">
        <v>18</v>
      </c>
      <c r="R22">
        <v>4</v>
      </c>
      <c r="S22">
        <v>1</v>
      </c>
      <c r="T22">
        <v>5</v>
      </c>
      <c r="U22">
        <v>5</v>
      </c>
      <c r="V22">
        <v>2</v>
      </c>
      <c r="W22">
        <v>4</v>
      </c>
      <c r="X22">
        <v>2</v>
      </c>
      <c r="Y22">
        <v>1</v>
      </c>
      <c r="Z22">
        <v>3</v>
      </c>
      <c r="AA22">
        <v>0</v>
      </c>
      <c r="AB22" s="1" t="s">
        <v>54</v>
      </c>
      <c r="AC22" t="s">
        <v>37</v>
      </c>
      <c r="AD22" t="s">
        <v>53</v>
      </c>
      <c r="AE22" s="2">
        <v>1002.75</v>
      </c>
    </row>
    <row r="23" spans="1:31" x14ac:dyDescent="0.35">
      <c r="A23">
        <v>36</v>
      </c>
      <c r="B23" s="1" t="s">
        <v>30</v>
      </c>
      <c r="C23" s="1" t="s">
        <v>31</v>
      </c>
      <c r="D23">
        <v>9</v>
      </c>
      <c r="E23">
        <v>4</v>
      </c>
      <c r="F23" s="1" t="s">
        <v>32</v>
      </c>
      <c r="G23">
        <v>3</v>
      </c>
      <c r="H23" s="1" t="s">
        <v>41</v>
      </c>
      <c r="I23">
        <v>2</v>
      </c>
      <c r="J23">
        <v>1</v>
      </c>
      <c r="K23" s="1" t="s">
        <v>58</v>
      </c>
      <c r="L23">
        <v>1</v>
      </c>
      <c r="M23" s="1" t="s">
        <v>35</v>
      </c>
      <c r="N23">
        <v>3407</v>
      </c>
      <c r="O23">
        <v>7</v>
      </c>
      <c r="P23" s="1" t="s">
        <v>39</v>
      </c>
      <c r="Q23">
        <v>23</v>
      </c>
      <c r="R23">
        <v>2</v>
      </c>
      <c r="S23">
        <v>0</v>
      </c>
      <c r="T23">
        <v>10</v>
      </c>
      <c r="U23">
        <v>4</v>
      </c>
      <c r="V23">
        <v>3</v>
      </c>
      <c r="W23">
        <v>5</v>
      </c>
      <c r="X23">
        <v>3</v>
      </c>
      <c r="Y23">
        <v>0</v>
      </c>
      <c r="Z23">
        <v>3</v>
      </c>
      <c r="AA23">
        <v>1</v>
      </c>
      <c r="AB23" s="1" t="s">
        <v>36</v>
      </c>
      <c r="AC23" t="s">
        <v>46</v>
      </c>
      <c r="AD23" t="s">
        <v>53</v>
      </c>
      <c r="AE23" s="2">
        <v>681.4</v>
      </c>
    </row>
    <row r="24" spans="1:31" x14ac:dyDescent="0.35">
      <c r="A24">
        <v>34</v>
      </c>
      <c r="B24" s="1" t="s">
        <v>39</v>
      </c>
      <c r="C24" s="1" t="s">
        <v>40</v>
      </c>
      <c r="D24">
        <v>7</v>
      </c>
      <c r="E24">
        <v>4</v>
      </c>
      <c r="F24" s="1" t="s">
        <v>32</v>
      </c>
      <c r="G24">
        <v>1</v>
      </c>
      <c r="H24" s="1" t="s">
        <v>33</v>
      </c>
      <c r="I24">
        <v>3</v>
      </c>
      <c r="J24">
        <v>3</v>
      </c>
      <c r="K24" s="1" t="s">
        <v>59</v>
      </c>
      <c r="L24">
        <v>2</v>
      </c>
      <c r="M24" s="1" t="s">
        <v>35</v>
      </c>
      <c r="N24">
        <v>11994</v>
      </c>
      <c r="O24">
        <v>0</v>
      </c>
      <c r="P24" s="1" t="s">
        <v>39</v>
      </c>
      <c r="Q24">
        <v>11</v>
      </c>
      <c r="R24">
        <v>3</v>
      </c>
      <c r="S24">
        <v>0</v>
      </c>
      <c r="T24">
        <v>13</v>
      </c>
      <c r="U24">
        <v>4</v>
      </c>
      <c r="V24">
        <v>3</v>
      </c>
      <c r="W24">
        <v>12</v>
      </c>
      <c r="X24">
        <v>6</v>
      </c>
      <c r="Y24">
        <v>2</v>
      </c>
      <c r="Z24">
        <v>11</v>
      </c>
      <c r="AA24">
        <v>0</v>
      </c>
      <c r="AB24" s="1" t="s">
        <v>48</v>
      </c>
      <c r="AC24" t="s">
        <v>56</v>
      </c>
      <c r="AD24" t="s">
        <v>57</v>
      </c>
      <c r="AE24" s="2">
        <v>999.5</v>
      </c>
    </row>
    <row r="25" spans="1:31" x14ac:dyDescent="0.35">
      <c r="A25">
        <v>21</v>
      </c>
      <c r="B25" s="1" t="s">
        <v>39</v>
      </c>
      <c r="C25" s="1" t="s">
        <v>40</v>
      </c>
      <c r="D25">
        <v>15</v>
      </c>
      <c r="E25">
        <v>2</v>
      </c>
      <c r="F25" s="1" t="s">
        <v>32</v>
      </c>
      <c r="G25">
        <v>3</v>
      </c>
      <c r="H25" s="1" t="s">
        <v>41</v>
      </c>
      <c r="I25">
        <v>3</v>
      </c>
      <c r="J25">
        <v>1</v>
      </c>
      <c r="K25" s="1" t="s">
        <v>42</v>
      </c>
      <c r="L25">
        <v>4</v>
      </c>
      <c r="M25" s="1" t="s">
        <v>35</v>
      </c>
      <c r="N25">
        <v>1232</v>
      </c>
      <c r="O25">
        <v>1</v>
      </c>
      <c r="P25" s="1" t="s">
        <v>39</v>
      </c>
      <c r="Q25">
        <v>14</v>
      </c>
      <c r="R25">
        <v>4</v>
      </c>
      <c r="S25">
        <v>0</v>
      </c>
      <c r="T25">
        <v>0</v>
      </c>
      <c r="U25">
        <v>6</v>
      </c>
      <c r="V25">
        <v>3</v>
      </c>
      <c r="W25">
        <v>0</v>
      </c>
      <c r="X25">
        <v>0</v>
      </c>
      <c r="Y25">
        <v>0</v>
      </c>
      <c r="Z25">
        <v>0</v>
      </c>
      <c r="AA25">
        <v>0</v>
      </c>
      <c r="AB25" s="1" t="s">
        <v>54</v>
      </c>
      <c r="AC25" t="s">
        <v>46</v>
      </c>
      <c r="AD25" t="s">
        <v>47</v>
      </c>
      <c r="AE25" s="2">
        <v>1232</v>
      </c>
    </row>
    <row r="26" spans="1:31" x14ac:dyDescent="0.35">
      <c r="A26">
        <v>34</v>
      </c>
      <c r="B26" s="1" t="s">
        <v>30</v>
      </c>
      <c r="C26" s="1" t="s">
        <v>40</v>
      </c>
      <c r="D26">
        <v>6</v>
      </c>
      <c r="E26">
        <v>1</v>
      </c>
      <c r="F26" s="1" t="s">
        <v>49</v>
      </c>
      <c r="G26">
        <v>2</v>
      </c>
      <c r="H26" s="1" t="s">
        <v>41</v>
      </c>
      <c r="I26">
        <v>3</v>
      </c>
      <c r="J26">
        <v>1</v>
      </c>
      <c r="K26" s="1" t="s">
        <v>42</v>
      </c>
      <c r="L26">
        <v>1</v>
      </c>
      <c r="M26" s="1" t="s">
        <v>35</v>
      </c>
      <c r="N26">
        <v>2960</v>
      </c>
      <c r="O26">
        <v>2</v>
      </c>
      <c r="P26" s="1" t="s">
        <v>39</v>
      </c>
      <c r="Q26">
        <v>11</v>
      </c>
      <c r="R26">
        <v>3</v>
      </c>
      <c r="S26">
        <v>0</v>
      </c>
      <c r="T26">
        <v>8</v>
      </c>
      <c r="U26">
        <v>2</v>
      </c>
      <c r="V26">
        <v>3</v>
      </c>
      <c r="W26">
        <v>4</v>
      </c>
      <c r="X26">
        <v>2</v>
      </c>
      <c r="Y26">
        <v>1</v>
      </c>
      <c r="Z26">
        <v>3</v>
      </c>
      <c r="AA26">
        <v>1</v>
      </c>
      <c r="AB26" s="1" t="s">
        <v>48</v>
      </c>
      <c r="AC26" t="s">
        <v>46</v>
      </c>
      <c r="AD26" t="s">
        <v>53</v>
      </c>
      <c r="AE26" s="2">
        <v>740</v>
      </c>
    </row>
    <row r="27" spans="1:31" x14ac:dyDescent="0.35">
      <c r="A27">
        <v>53</v>
      </c>
      <c r="B27" s="1" t="s">
        <v>39</v>
      </c>
      <c r="C27" s="1" t="s">
        <v>40</v>
      </c>
      <c r="D27">
        <v>5</v>
      </c>
      <c r="E27">
        <v>3</v>
      </c>
      <c r="F27" s="1" t="s">
        <v>44</v>
      </c>
      <c r="G27">
        <v>3</v>
      </c>
      <c r="H27" s="1" t="s">
        <v>33</v>
      </c>
      <c r="I27">
        <v>3</v>
      </c>
      <c r="J27">
        <v>5</v>
      </c>
      <c r="K27" s="1" t="s">
        <v>55</v>
      </c>
      <c r="L27">
        <v>3</v>
      </c>
      <c r="M27" s="1" t="s">
        <v>50</v>
      </c>
      <c r="N27">
        <v>19094</v>
      </c>
      <c r="O27">
        <v>4</v>
      </c>
      <c r="P27" s="1" t="s">
        <v>39</v>
      </c>
      <c r="Q27">
        <v>11</v>
      </c>
      <c r="R27">
        <v>4</v>
      </c>
      <c r="S27">
        <v>1</v>
      </c>
      <c r="T27">
        <v>26</v>
      </c>
      <c r="U27">
        <v>3</v>
      </c>
      <c r="V27">
        <v>2</v>
      </c>
      <c r="W27">
        <v>14</v>
      </c>
      <c r="X27">
        <v>13</v>
      </c>
      <c r="Y27">
        <v>4</v>
      </c>
      <c r="Z27">
        <v>8</v>
      </c>
      <c r="AA27">
        <v>0</v>
      </c>
      <c r="AB27" s="1" t="s">
        <v>82</v>
      </c>
      <c r="AC27" t="s">
        <v>56</v>
      </c>
      <c r="AD27" t="s">
        <v>57</v>
      </c>
      <c r="AE27" s="2">
        <v>1363.8571428571429</v>
      </c>
    </row>
    <row r="28" spans="1:31" x14ac:dyDescent="0.35">
      <c r="A28">
        <v>32</v>
      </c>
      <c r="B28" s="1" t="s">
        <v>30</v>
      </c>
      <c r="C28" s="1" t="s">
        <v>40</v>
      </c>
      <c r="D28">
        <v>16</v>
      </c>
      <c r="E28">
        <v>1</v>
      </c>
      <c r="F28" s="1" t="s">
        <v>32</v>
      </c>
      <c r="G28">
        <v>2</v>
      </c>
      <c r="H28" s="1" t="s">
        <v>33</v>
      </c>
      <c r="I28">
        <v>1</v>
      </c>
      <c r="J28">
        <v>1</v>
      </c>
      <c r="K28" s="1" t="s">
        <v>42</v>
      </c>
      <c r="L28">
        <v>1</v>
      </c>
      <c r="M28" s="1" t="s">
        <v>35</v>
      </c>
      <c r="N28">
        <v>3919</v>
      </c>
      <c r="O28">
        <v>1</v>
      </c>
      <c r="P28" s="1" t="s">
        <v>30</v>
      </c>
      <c r="Q28">
        <v>22</v>
      </c>
      <c r="R28">
        <v>2</v>
      </c>
      <c r="S28">
        <v>0</v>
      </c>
      <c r="T28">
        <v>10</v>
      </c>
      <c r="U28">
        <v>5</v>
      </c>
      <c r="V28">
        <v>3</v>
      </c>
      <c r="W28">
        <v>10</v>
      </c>
      <c r="X28">
        <v>2</v>
      </c>
      <c r="Y28">
        <v>6</v>
      </c>
      <c r="Z28">
        <v>7</v>
      </c>
      <c r="AA28">
        <v>1</v>
      </c>
      <c r="AB28" s="1" t="s">
        <v>48</v>
      </c>
      <c r="AC28" t="s">
        <v>46</v>
      </c>
      <c r="AD28" t="s">
        <v>38</v>
      </c>
      <c r="AE28" s="2">
        <v>391.9</v>
      </c>
    </row>
    <row r="29" spans="1:31" x14ac:dyDescent="0.35">
      <c r="A29">
        <v>42</v>
      </c>
      <c r="B29" s="1" t="s">
        <v>39</v>
      </c>
      <c r="C29" s="1" t="s">
        <v>31</v>
      </c>
      <c r="D29">
        <v>8</v>
      </c>
      <c r="E29">
        <v>4</v>
      </c>
      <c r="F29" s="1" t="s">
        <v>60</v>
      </c>
      <c r="G29">
        <v>3</v>
      </c>
      <c r="H29" s="1" t="s">
        <v>41</v>
      </c>
      <c r="I29">
        <v>3</v>
      </c>
      <c r="J29">
        <v>2</v>
      </c>
      <c r="K29" s="1" t="s">
        <v>34</v>
      </c>
      <c r="L29">
        <v>2</v>
      </c>
      <c r="M29" s="1" t="s">
        <v>43</v>
      </c>
      <c r="N29">
        <v>6825</v>
      </c>
      <c r="O29">
        <v>0</v>
      </c>
      <c r="P29" s="1" t="s">
        <v>39</v>
      </c>
      <c r="Q29">
        <v>11</v>
      </c>
      <c r="R29">
        <v>4</v>
      </c>
      <c r="S29">
        <v>1</v>
      </c>
      <c r="T29">
        <v>10</v>
      </c>
      <c r="U29">
        <v>2</v>
      </c>
      <c r="V29">
        <v>3</v>
      </c>
      <c r="W29">
        <v>9</v>
      </c>
      <c r="X29">
        <v>7</v>
      </c>
      <c r="Y29">
        <v>4</v>
      </c>
      <c r="Z29">
        <v>2</v>
      </c>
      <c r="AA29">
        <v>0</v>
      </c>
      <c r="AB29" s="1" t="s">
        <v>36</v>
      </c>
      <c r="AC29" t="s">
        <v>37</v>
      </c>
      <c r="AD29" t="s">
        <v>38</v>
      </c>
      <c r="AE29" s="2">
        <v>758.33333333333337</v>
      </c>
    </row>
    <row r="30" spans="1:31" x14ac:dyDescent="0.35">
      <c r="A30">
        <v>44</v>
      </c>
      <c r="B30" s="1" t="s">
        <v>39</v>
      </c>
      <c r="C30" s="1" t="s">
        <v>40</v>
      </c>
      <c r="D30">
        <v>7</v>
      </c>
      <c r="E30">
        <v>4</v>
      </c>
      <c r="F30" s="1" t="s">
        <v>49</v>
      </c>
      <c r="G30">
        <v>1</v>
      </c>
      <c r="H30" s="1" t="s">
        <v>33</v>
      </c>
      <c r="I30">
        <v>2</v>
      </c>
      <c r="J30">
        <v>3</v>
      </c>
      <c r="K30" s="1" t="s">
        <v>52</v>
      </c>
      <c r="L30">
        <v>4</v>
      </c>
      <c r="M30" s="1" t="s">
        <v>43</v>
      </c>
      <c r="N30">
        <v>10248</v>
      </c>
      <c r="O30">
        <v>3</v>
      </c>
      <c r="P30" s="1" t="s">
        <v>39</v>
      </c>
      <c r="Q30">
        <v>14</v>
      </c>
      <c r="R30">
        <v>4</v>
      </c>
      <c r="S30">
        <v>1</v>
      </c>
      <c r="T30">
        <v>24</v>
      </c>
      <c r="U30">
        <v>4</v>
      </c>
      <c r="V30">
        <v>3</v>
      </c>
      <c r="W30">
        <v>22</v>
      </c>
      <c r="X30">
        <v>6</v>
      </c>
      <c r="Y30">
        <v>5</v>
      </c>
      <c r="Z30">
        <v>17</v>
      </c>
      <c r="AA30">
        <v>0</v>
      </c>
      <c r="AB30" s="1" t="s">
        <v>36</v>
      </c>
      <c r="AC30" t="s">
        <v>56</v>
      </c>
      <c r="AD30" t="s">
        <v>57</v>
      </c>
      <c r="AE30" s="2">
        <v>465.81818181818181</v>
      </c>
    </row>
    <row r="31" spans="1:31" x14ac:dyDescent="0.35">
      <c r="A31">
        <v>46</v>
      </c>
      <c r="B31" s="1" t="s">
        <v>39</v>
      </c>
      <c r="C31" s="1" t="s">
        <v>31</v>
      </c>
      <c r="D31">
        <v>2</v>
      </c>
      <c r="E31">
        <v>4</v>
      </c>
      <c r="F31" s="1" t="s">
        <v>60</v>
      </c>
      <c r="G31">
        <v>2</v>
      </c>
      <c r="H31" s="1" t="s">
        <v>33</v>
      </c>
      <c r="I31">
        <v>3</v>
      </c>
      <c r="J31">
        <v>5</v>
      </c>
      <c r="K31" s="1" t="s">
        <v>55</v>
      </c>
      <c r="L31">
        <v>1</v>
      </c>
      <c r="M31" s="1" t="s">
        <v>35</v>
      </c>
      <c r="N31">
        <v>18947</v>
      </c>
      <c r="O31">
        <v>3</v>
      </c>
      <c r="P31" s="1" t="s">
        <v>39</v>
      </c>
      <c r="Q31">
        <v>12</v>
      </c>
      <c r="R31">
        <v>4</v>
      </c>
      <c r="S31">
        <v>0</v>
      </c>
      <c r="T31">
        <v>22</v>
      </c>
      <c r="U31">
        <v>2</v>
      </c>
      <c r="V31">
        <v>2</v>
      </c>
      <c r="W31">
        <v>2</v>
      </c>
      <c r="X31">
        <v>2</v>
      </c>
      <c r="Y31">
        <v>2</v>
      </c>
      <c r="Z31">
        <v>1</v>
      </c>
      <c r="AA31">
        <v>0</v>
      </c>
      <c r="AB31" s="1" t="s">
        <v>82</v>
      </c>
      <c r="AC31" t="s">
        <v>56</v>
      </c>
      <c r="AD31" t="s">
        <v>47</v>
      </c>
      <c r="AE31" s="2">
        <v>9473.5</v>
      </c>
    </row>
    <row r="32" spans="1:31" x14ac:dyDescent="0.35">
      <c r="A32">
        <v>33</v>
      </c>
      <c r="B32" s="1" t="s">
        <v>39</v>
      </c>
      <c r="C32" s="1" t="s">
        <v>40</v>
      </c>
      <c r="D32">
        <v>2</v>
      </c>
      <c r="E32">
        <v>3</v>
      </c>
      <c r="F32" s="1" t="s">
        <v>49</v>
      </c>
      <c r="G32">
        <v>3</v>
      </c>
      <c r="H32" s="1" t="s">
        <v>41</v>
      </c>
      <c r="I32">
        <v>3</v>
      </c>
      <c r="J32">
        <v>1</v>
      </c>
      <c r="K32" s="1" t="s">
        <v>45</v>
      </c>
      <c r="L32">
        <v>4</v>
      </c>
      <c r="M32" s="1" t="s">
        <v>35</v>
      </c>
      <c r="N32">
        <v>2496</v>
      </c>
      <c r="O32">
        <v>4</v>
      </c>
      <c r="P32" s="1" t="s">
        <v>39</v>
      </c>
      <c r="Q32">
        <v>11</v>
      </c>
      <c r="R32">
        <v>4</v>
      </c>
      <c r="S32">
        <v>0</v>
      </c>
      <c r="T32">
        <v>7</v>
      </c>
      <c r="U32">
        <v>3</v>
      </c>
      <c r="V32">
        <v>3</v>
      </c>
      <c r="W32">
        <v>1</v>
      </c>
      <c r="X32">
        <v>1</v>
      </c>
      <c r="Y32">
        <v>0</v>
      </c>
      <c r="Z32">
        <v>0</v>
      </c>
      <c r="AA32">
        <v>0</v>
      </c>
      <c r="AB32" s="1" t="s">
        <v>48</v>
      </c>
      <c r="AC32" t="s">
        <v>46</v>
      </c>
      <c r="AD32" t="s">
        <v>47</v>
      </c>
      <c r="AE32" s="2">
        <v>2496</v>
      </c>
    </row>
    <row r="33" spans="1:31" x14ac:dyDescent="0.35">
      <c r="A33">
        <v>44</v>
      </c>
      <c r="B33" s="1" t="s">
        <v>39</v>
      </c>
      <c r="C33" s="1" t="s">
        <v>40</v>
      </c>
      <c r="D33">
        <v>10</v>
      </c>
      <c r="E33">
        <v>4</v>
      </c>
      <c r="F33" s="1" t="s">
        <v>44</v>
      </c>
      <c r="G33">
        <v>4</v>
      </c>
      <c r="H33" s="1" t="s">
        <v>41</v>
      </c>
      <c r="I33">
        <v>3</v>
      </c>
      <c r="J33">
        <v>2</v>
      </c>
      <c r="K33" s="1" t="s">
        <v>52</v>
      </c>
      <c r="L33">
        <v>4</v>
      </c>
      <c r="M33" s="1" t="s">
        <v>43</v>
      </c>
      <c r="N33">
        <v>6465</v>
      </c>
      <c r="O33">
        <v>2</v>
      </c>
      <c r="P33" s="1" t="s">
        <v>30</v>
      </c>
      <c r="Q33">
        <v>13</v>
      </c>
      <c r="R33">
        <v>4</v>
      </c>
      <c r="S33">
        <v>0</v>
      </c>
      <c r="T33">
        <v>9</v>
      </c>
      <c r="U33">
        <v>5</v>
      </c>
      <c r="V33">
        <v>4</v>
      </c>
      <c r="W33">
        <v>4</v>
      </c>
      <c r="X33">
        <v>2</v>
      </c>
      <c r="Y33">
        <v>1</v>
      </c>
      <c r="Z33">
        <v>3</v>
      </c>
      <c r="AA33">
        <v>0</v>
      </c>
      <c r="AB33" s="1" t="s">
        <v>36</v>
      </c>
      <c r="AC33" t="s">
        <v>37</v>
      </c>
      <c r="AD33" t="s">
        <v>53</v>
      </c>
      <c r="AE33" s="2">
        <v>1616.25</v>
      </c>
    </row>
    <row r="34" spans="1:31" x14ac:dyDescent="0.35">
      <c r="A34">
        <v>30</v>
      </c>
      <c r="B34" s="1" t="s">
        <v>39</v>
      </c>
      <c r="C34" s="1" t="s">
        <v>40</v>
      </c>
      <c r="D34">
        <v>9</v>
      </c>
      <c r="E34">
        <v>2</v>
      </c>
      <c r="F34" s="1" t="s">
        <v>49</v>
      </c>
      <c r="G34">
        <v>4</v>
      </c>
      <c r="H34" s="1" t="s">
        <v>41</v>
      </c>
      <c r="I34">
        <v>2</v>
      </c>
      <c r="J34">
        <v>1</v>
      </c>
      <c r="K34" s="1" t="s">
        <v>45</v>
      </c>
      <c r="L34">
        <v>3</v>
      </c>
      <c r="M34" s="1" t="s">
        <v>35</v>
      </c>
      <c r="N34">
        <v>2206</v>
      </c>
      <c r="O34">
        <v>1</v>
      </c>
      <c r="P34" s="1" t="s">
        <v>39</v>
      </c>
      <c r="Q34">
        <v>13</v>
      </c>
      <c r="R34">
        <v>1</v>
      </c>
      <c r="S34">
        <v>0</v>
      </c>
      <c r="T34">
        <v>10</v>
      </c>
      <c r="U34">
        <v>5</v>
      </c>
      <c r="V34">
        <v>3</v>
      </c>
      <c r="W34">
        <v>10</v>
      </c>
      <c r="X34">
        <v>0</v>
      </c>
      <c r="Y34">
        <v>1</v>
      </c>
      <c r="Z34">
        <v>8</v>
      </c>
      <c r="AA34">
        <v>0</v>
      </c>
      <c r="AB34" s="1" t="s">
        <v>48</v>
      </c>
      <c r="AC34" t="s">
        <v>46</v>
      </c>
      <c r="AD34" t="s">
        <v>38</v>
      </c>
      <c r="AE34" s="2">
        <v>220.6</v>
      </c>
    </row>
    <row r="35" spans="1:31" x14ac:dyDescent="0.35">
      <c r="A35">
        <v>39</v>
      </c>
      <c r="B35" s="1" t="s">
        <v>30</v>
      </c>
      <c r="C35" s="1" t="s">
        <v>31</v>
      </c>
      <c r="D35">
        <v>5</v>
      </c>
      <c r="E35">
        <v>3</v>
      </c>
      <c r="F35" s="1" t="s">
        <v>61</v>
      </c>
      <c r="G35">
        <v>4</v>
      </c>
      <c r="H35" s="1" t="s">
        <v>41</v>
      </c>
      <c r="I35">
        <v>3</v>
      </c>
      <c r="J35">
        <v>2</v>
      </c>
      <c r="K35" s="1" t="s">
        <v>58</v>
      </c>
      <c r="L35">
        <v>4</v>
      </c>
      <c r="M35" s="1" t="s">
        <v>43</v>
      </c>
      <c r="N35">
        <v>2086</v>
      </c>
      <c r="O35">
        <v>3</v>
      </c>
      <c r="P35" s="1" t="s">
        <v>39</v>
      </c>
      <c r="Q35">
        <v>14</v>
      </c>
      <c r="R35">
        <v>3</v>
      </c>
      <c r="S35">
        <v>1</v>
      </c>
      <c r="T35">
        <v>19</v>
      </c>
      <c r="U35">
        <v>6</v>
      </c>
      <c r="V35">
        <v>4</v>
      </c>
      <c r="W35">
        <v>1</v>
      </c>
      <c r="X35">
        <v>0</v>
      </c>
      <c r="Y35">
        <v>0</v>
      </c>
      <c r="Z35">
        <v>0</v>
      </c>
      <c r="AA35">
        <v>1</v>
      </c>
      <c r="AB35" s="1" t="s">
        <v>36</v>
      </c>
      <c r="AC35" t="s">
        <v>46</v>
      </c>
      <c r="AD35" t="s">
        <v>47</v>
      </c>
      <c r="AE35" s="2">
        <v>2086</v>
      </c>
    </row>
    <row r="36" spans="1:31" x14ac:dyDescent="0.35">
      <c r="A36">
        <v>24</v>
      </c>
      <c r="B36" s="1" t="s">
        <v>30</v>
      </c>
      <c r="C36" s="1" t="s">
        <v>40</v>
      </c>
      <c r="D36">
        <v>1</v>
      </c>
      <c r="E36">
        <v>3</v>
      </c>
      <c r="F36" s="1" t="s">
        <v>49</v>
      </c>
      <c r="G36">
        <v>2</v>
      </c>
      <c r="H36" s="1" t="s">
        <v>41</v>
      </c>
      <c r="I36">
        <v>3</v>
      </c>
      <c r="J36">
        <v>1</v>
      </c>
      <c r="K36" s="1" t="s">
        <v>42</v>
      </c>
      <c r="L36">
        <v>4</v>
      </c>
      <c r="M36" s="1" t="s">
        <v>43</v>
      </c>
      <c r="N36">
        <v>2293</v>
      </c>
      <c r="O36">
        <v>2</v>
      </c>
      <c r="P36" s="1" t="s">
        <v>30</v>
      </c>
      <c r="Q36">
        <v>16</v>
      </c>
      <c r="R36">
        <v>1</v>
      </c>
      <c r="S36">
        <v>1</v>
      </c>
      <c r="T36">
        <v>6</v>
      </c>
      <c r="U36">
        <v>2</v>
      </c>
      <c r="V36">
        <v>2</v>
      </c>
      <c r="W36">
        <v>2</v>
      </c>
      <c r="X36">
        <v>0</v>
      </c>
      <c r="Y36">
        <v>2</v>
      </c>
      <c r="Z36">
        <v>0</v>
      </c>
      <c r="AA36">
        <v>1</v>
      </c>
      <c r="AB36" s="1" t="s">
        <v>54</v>
      </c>
      <c r="AC36" t="s">
        <v>46</v>
      </c>
      <c r="AD36" t="s">
        <v>47</v>
      </c>
      <c r="AE36" s="2">
        <v>1146.5</v>
      </c>
    </row>
    <row r="37" spans="1:31" x14ac:dyDescent="0.35">
      <c r="A37">
        <v>43</v>
      </c>
      <c r="B37" s="1" t="s">
        <v>39</v>
      </c>
      <c r="C37" s="1" t="s">
        <v>40</v>
      </c>
      <c r="D37">
        <v>2</v>
      </c>
      <c r="E37">
        <v>2</v>
      </c>
      <c r="F37" s="1" t="s">
        <v>49</v>
      </c>
      <c r="G37">
        <v>4</v>
      </c>
      <c r="H37" s="1" t="s">
        <v>33</v>
      </c>
      <c r="I37">
        <v>4</v>
      </c>
      <c r="J37">
        <v>1</v>
      </c>
      <c r="K37" s="1" t="s">
        <v>42</v>
      </c>
      <c r="L37">
        <v>3</v>
      </c>
      <c r="M37" s="1" t="s">
        <v>50</v>
      </c>
      <c r="N37">
        <v>2645</v>
      </c>
      <c r="O37">
        <v>1</v>
      </c>
      <c r="P37" s="1" t="s">
        <v>39</v>
      </c>
      <c r="Q37">
        <v>12</v>
      </c>
      <c r="R37">
        <v>4</v>
      </c>
      <c r="S37">
        <v>2</v>
      </c>
      <c r="T37">
        <v>6</v>
      </c>
      <c r="U37">
        <v>3</v>
      </c>
      <c r="V37">
        <v>2</v>
      </c>
      <c r="W37">
        <v>5</v>
      </c>
      <c r="X37">
        <v>3</v>
      </c>
      <c r="Y37">
        <v>1</v>
      </c>
      <c r="Z37">
        <v>4</v>
      </c>
      <c r="AA37">
        <v>0</v>
      </c>
      <c r="AB37" s="1" t="s">
        <v>36</v>
      </c>
      <c r="AC37" t="s">
        <v>46</v>
      </c>
      <c r="AD37" t="s">
        <v>53</v>
      </c>
      <c r="AE37" s="2">
        <v>529</v>
      </c>
    </row>
    <row r="38" spans="1:31" x14ac:dyDescent="0.35">
      <c r="A38">
        <v>50</v>
      </c>
      <c r="B38" s="1" t="s">
        <v>30</v>
      </c>
      <c r="C38" s="1" t="s">
        <v>31</v>
      </c>
      <c r="D38">
        <v>3</v>
      </c>
      <c r="E38">
        <v>2</v>
      </c>
      <c r="F38" s="1" t="s">
        <v>60</v>
      </c>
      <c r="G38">
        <v>1</v>
      </c>
      <c r="H38" s="1" t="s">
        <v>41</v>
      </c>
      <c r="I38">
        <v>2</v>
      </c>
      <c r="J38">
        <v>1</v>
      </c>
      <c r="K38" s="1" t="s">
        <v>58</v>
      </c>
      <c r="L38">
        <v>3</v>
      </c>
      <c r="M38" s="1" t="s">
        <v>43</v>
      </c>
      <c r="N38">
        <v>2683</v>
      </c>
      <c r="O38">
        <v>1</v>
      </c>
      <c r="P38" s="1" t="s">
        <v>30</v>
      </c>
      <c r="Q38">
        <v>14</v>
      </c>
      <c r="R38">
        <v>3</v>
      </c>
      <c r="S38">
        <v>0</v>
      </c>
      <c r="T38">
        <v>3</v>
      </c>
      <c r="U38">
        <v>2</v>
      </c>
      <c r="V38">
        <v>3</v>
      </c>
      <c r="W38">
        <v>3</v>
      </c>
      <c r="X38">
        <v>2</v>
      </c>
      <c r="Y38">
        <v>0</v>
      </c>
      <c r="Z38">
        <v>2</v>
      </c>
      <c r="AA38">
        <v>1</v>
      </c>
      <c r="AB38" s="1" t="s">
        <v>82</v>
      </c>
      <c r="AC38" t="s">
        <v>46</v>
      </c>
      <c r="AD38" t="s">
        <v>53</v>
      </c>
      <c r="AE38" s="2">
        <v>894.33333333333337</v>
      </c>
    </row>
    <row r="39" spans="1:31" x14ac:dyDescent="0.35">
      <c r="A39">
        <v>35</v>
      </c>
      <c r="B39" s="1" t="s">
        <v>39</v>
      </c>
      <c r="C39" s="1" t="s">
        <v>31</v>
      </c>
      <c r="D39">
        <v>2</v>
      </c>
      <c r="E39">
        <v>3</v>
      </c>
      <c r="F39" s="1" t="s">
        <v>60</v>
      </c>
      <c r="G39">
        <v>4</v>
      </c>
      <c r="H39" s="1" t="s">
        <v>33</v>
      </c>
      <c r="I39">
        <v>3</v>
      </c>
      <c r="J39">
        <v>1</v>
      </c>
      <c r="K39" s="1" t="s">
        <v>58</v>
      </c>
      <c r="L39">
        <v>4</v>
      </c>
      <c r="M39" s="1" t="s">
        <v>43</v>
      </c>
      <c r="N39">
        <v>2014</v>
      </c>
      <c r="O39">
        <v>1</v>
      </c>
      <c r="P39" s="1" t="s">
        <v>39</v>
      </c>
      <c r="Q39">
        <v>13</v>
      </c>
      <c r="R39">
        <v>1</v>
      </c>
      <c r="S39">
        <v>0</v>
      </c>
      <c r="T39">
        <v>2</v>
      </c>
      <c r="U39">
        <v>3</v>
      </c>
      <c r="V39">
        <v>3</v>
      </c>
      <c r="W39">
        <v>2</v>
      </c>
      <c r="X39">
        <v>2</v>
      </c>
      <c r="Y39">
        <v>2</v>
      </c>
      <c r="Z39">
        <v>2</v>
      </c>
      <c r="AA39">
        <v>0</v>
      </c>
      <c r="AB39" s="1" t="s">
        <v>48</v>
      </c>
      <c r="AC39" t="s">
        <v>46</v>
      </c>
      <c r="AD39" t="s">
        <v>47</v>
      </c>
      <c r="AE39" s="2">
        <v>1007</v>
      </c>
    </row>
    <row r="40" spans="1:31" x14ac:dyDescent="0.35">
      <c r="A40">
        <v>36</v>
      </c>
      <c r="B40" s="1" t="s">
        <v>39</v>
      </c>
      <c r="C40" s="1" t="s">
        <v>40</v>
      </c>
      <c r="D40">
        <v>5</v>
      </c>
      <c r="E40">
        <v>4</v>
      </c>
      <c r="F40" s="1" t="s">
        <v>32</v>
      </c>
      <c r="G40">
        <v>2</v>
      </c>
      <c r="H40" s="1" t="s">
        <v>33</v>
      </c>
      <c r="I40">
        <v>2</v>
      </c>
      <c r="J40">
        <v>1</v>
      </c>
      <c r="K40" s="1" t="s">
        <v>42</v>
      </c>
      <c r="L40">
        <v>1</v>
      </c>
      <c r="M40" s="1" t="s">
        <v>43</v>
      </c>
      <c r="N40">
        <v>3419</v>
      </c>
      <c r="O40">
        <v>9</v>
      </c>
      <c r="P40" s="1" t="s">
        <v>30</v>
      </c>
      <c r="Q40">
        <v>14</v>
      </c>
      <c r="R40">
        <v>4</v>
      </c>
      <c r="S40">
        <v>1</v>
      </c>
      <c r="T40">
        <v>6</v>
      </c>
      <c r="U40">
        <v>3</v>
      </c>
      <c r="V40">
        <v>4</v>
      </c>
      <c r="W40">
        <v>1</v>
      </c>
      <c r="X40">
        <v>1</v>
      </c>
      <c r="Y40">
        <v>0</v>
      </c>
      <c r="Z40">
        <v>0</v>
      </c>
      <c r="AA40">
        <v>0</v>
      </c>
      <c r="AB40" s="1" t="s">
        <v>36</v>
      </c>
      <c r="AC40" t="s">
        <v>46</v>
      </c>
      <c r="AD40" t="s">
        <v>47</v>
      </c>
      <c r="AE40" s="2">
        <v>3419</v>
      </c>
    </row>
    <row r="41" spans="1:31" x14ac:dyDescent="0.35">
      <c r="A41">
        <v>33</v>
      </c>
      <c r="B41" s="1" t="s">
        <v>39</v>
      </c>
      <c r="C41" s="1" t="s">
        <v>31</v>
      </c>
      <c r="D41">
        <v>1</v>
      </c>
      <c r="E41">
        <v>3</v>
      </c>
      <c r="F41" s="1" t="s">
        <v>32</v>
      </c>
      <c r="G41">
        <v>3</v>
      </c>
      <c r="H41" s="1" t="s">
        <v>33</v>
      </c>
      <c r="I41">
        <v>4</v>
      </c>
      <c r="J41">
        <v>2</v>
      </c>
      <c r="K41" s="1" t="s">
        <v>34</v>
      </c>
      <c r="L41">
        <v>1</v>
      </c>
      <c r="M41" s="1" t="s">
        <v>43</v>
      </c>
      <c r="N41">
        <v>5376</v>
      </c>
      <c r="O41">
        <v>2</v>
      </c>
      <c r="P41" s="1" t="s">
        <v>39</v>
      </c>
      <c r="Q41">
        <v>19</v>
      </c>
      <c r="R41">
        <v>1</v>
      </c>
      <c r="S41">
        <v>2</v>
      </c>
      <c r="T41">
        <v>10</v>
      </c>
      <c r="U41">
        <v>3</v>
      </c>
      <c r="V41">
        <v>3</v>
      </c>
      <c r="W41">
        <v>5</v>
      </c>
      <c r="X41">
        <v>3</v>
      </c>
      <c r="Y41">
        <v>1</v>
      </c>
      <c r="Z41">
        <v>3</v>
      </c>
      <c r="AA41">
        <v>0</v>
      </c>
      <c r="AB41" s="1" t="s">
        <v>48</v>
      </c>
      <c r="AC41" t="s">
        <v>37</v>
      </c>
      <c r="AD41" t="s">
        <v>53</v>
      </c>
      <c r="AE41" s="2">
        <v>1075.2</v>
      </c>
    </row>
    <row r="42" spans="1:31" x14ac:dyDescent="0.35">
      <c r="A42">
        <v>35</v>
      </c>
      <c r="B42" s="1" t="s">
        <v>39</v>
      </c>
      <c r="C42" s="1" t="s">
        <v>40</v>
      </c>
      <c r="D42">
        <v>4</v>
      </c>
      <c r="E42">
        <v>2</v>
      </c>
      <c r="F42" s="1" t="s">
        <v>44</v>
      </c>
      <c r="G42">
        <v>3</v>
      </c>
      <c r="H42" s="1" t="s">
        <v>41</v>
      </c>
      <c r="I42">
        <v>3</v>
      </c>
      <c r="J42">
        <v>1</v>
      </c>
      <c r="K42" s="1" t="s">
        <v>45</v>
      </c>
      <c r="L42">
        <v>4</v>
      </c>
      <c r="M42" s="1" t="s">
        <v>50</v>
      </c>
      <c r="N42">
        <v>1951</v>
      </c>
      <c r="O42">
        <v>1</v>
      </c>
      <c r="P42" s="1" t="s">
        <v>39</v>
      </c>
      <c r="Q42">
        <v>12</v>
      </c>
      <c r="R42">
        <v>3</v>
      </c>
      <c r="S42">
        <v>1</v>
      </c>
      <c r="T42">
        <v>1</v>
      </c>
      <c r="U42">
        <v>3</v>
      </c>
      <c r="V42">
        <v>3</v>
      </c>
      <c r="W42">
        <v>1</v>
      </c>
      <c r="X42">
        <v>0</v>
      </c>
      <c r="Y42">
        <v>0</v>
      </c>
      <c r="Z42">
        <v>0</v>
      </c>
      <c r="AA42">
        <v>0</v>
      </c>
      <c r="AB42" s="1" t="s">
        <v>48</v>
      </c>
      <c r="AC42" t="s">
        <v>46</v>
      </c>
      <c r="AD42" t="s">
        <v>47</v>
      </c>
      <c r="AE42" s="2">
        <v>1951</v>
      </c>
    </row>
    <row r="43" spans="1:31" x14ac:dyDescent="0.35">
      <c r="A43">
        <v>27</v>
      </c>
      <c r="B43" s="1" t="s">
        <v>39</v>
      </c>
      <c r="C43" s="1" t="s">
        <v>40</v>
      </c>
      <c r="D43">
        <v>2</v>
      </c>
      <c r="E43">
        <v>4</v>
      </c>
      <c r="F43" s="1" t="s">
        <v>32</v>
      </c>
      <c r="G43">
        <v>4</v>
      </c>
      <c r="H43" s="1" t="s">
        <v>33</v>
      </c>
      <c r="I43">
        <v>3</v>
      </c>
      <c r="J43">
        <v>1</v>
      </c>
      <c r="K43" s="1" t="s">
        <v>45</v>
      </c>
      <c r="L43">
        <v>1</v>
      </c>
      <c r="M43" s="1" t="s">
        <v>50</v>
      </c>
      <c r="N43">
        <v>2341</v>
      </c>
      <c r="O43">
        <v>1</v>
      </c>
      <c r="P43" s="1" t="s">
        <v>39</v>
      </c>
      <c r="Q43">
        <v>13</v>
      </c>
      <c r="R43">
        <v>4</v>
      </c>
      <c r="S43">
        <v>1</v>
      </c>
      <c r="T43">
        <v>1</v>
      </c>
      <c r="U43">
        <v>6</v>
      </c>
      <c r="V43">
        <v>3</v>
      </c>
      <c r="W43">
        <v>1</v>
      </c>
      <c r="X43">
        <v>0</v>
      </c>
      <c r="Y43">
        <v>0</v>
      </c>
      <c r="Z43">
        <v>0</v>
      </c>
      <c r="AA43">
        <v>0</v>
      </c>
      <c r="AB43" s="1" t="s">
        <v>48</v>
      </c>
      <c r="AC43" t="s">
        <v>46</v>
      </c>
      <c r="AD43" t="s">
        <v>47</v>
      </c>
      <c r="AE43" s="2">
        <v>2341</v>
      </c>
    </row>
    <row r="44" spans="1:31" x14ac:dyDescent="0.35">
      <c r="A44">
        <v>26</v>
      </c>
      <c r="B44" s="1" t="s">
        <v>30</v>
      </c>
      <c r="C44" s="1" t="s">
        <v>40</v>
      </c>
      <c r="D44">
        <v>25</v>
      </c>
      <c r="E44">
        <v>3</v>
      </c>
      <c r="F44" s="1" t="s">
        <v>32</v>
      </c>
      <c r="G44">
        <v>1</v>
      </c>
      <c r="H44" s="1" t="s">
        <v>41</v>
      </c>
      <c r="I44">
        <v>1</v>
      </c>
      <c r="J44">
        <v>1</v>
      </c>
      <c r="K44" s="1" t="s">
        <v>45</v>
      </c>
      <c r="L44">
        <v>3</v>
      </c>
      <c r="M44" s="1" t="s">
        <v>35</v>
      </c>
      <c r="N44">
        <v>2293</v>
      </c>
      <c r="O44">
        <v>1</v>
      </c>
      <c r="P44" s="1" t="s">
        <v>39</v>
      </c>
      <c r="Q44">
        <v>12</v>
      </c>
      <c r="R44">
        <v>3</v>
      </c>
      <c r="S44">
        <v>0</v>
      </c>
      <c r="T44">
        <v>1</v>
      </c>
      <c r="U44">
        <v>2</v>
      </c>
      <c r="V44">
        <v>2</v>
      </c>
      <c r="W44">
        <v>1</v>
      </c>
      <c r="X44">
        <v>0</v>
      </c>
      <c r="Y44">
        <v>0</v>
      </c>
      <c r="Z44">
        <v>1</v>
      </c>
      <c r="AA44">
        <v>1</v>
      </c>
      <c r="AB44" s="1" t="s">
        <v>48</v>
      </c>
      <c r="AC44" t="s">
        <v>46</v>
      </c>
      <c r="AD44" t="s">
        <v>47</v>
      </c>
      <c r="AE44" s="2">
        <v>2293</v>
      </c>
    </row>
    <row r="45" spans="1:31" x14ac:dyDescent="0.35">
      <c r="A45">
        <v>27</v>
      </c>
      <c r="B45" s="1" t="s">
        <v>39</v>
      </c>
      <c r="C45" s="1" t="s">
        <v>31</v>
      </c>
      <c r="D45">
        <v>8</v>
      </c>
      <c r="E45">
        <v>3</v>
      </c>
      <c r="F45" s="1" t="s">
        <v>32</v>
      </c>
      <c r="G45">
        <v>4</v>
      </c>
      <c r="H45" s="1" t="s">
        <v>41</v>
      </c>
      <c r="I45">
        <v>3</v>
      </c>
      <c r="J45">
        <v>3</v>
      </c>
      <c r="K45" s="1" t="s">
        <v>34</v>
      </c>
      <c r="L45">
        <v>3</v>
      </c>
      <c r="M45" s="1" t="s">
        <v>35</v>
      </c>
      <c r="N45">
        <v>8726</v>
      </c>
      <c r="O45">
        <v>1</v>
      </c>
      <c r="P45" s="1" t="s">
        <v>39</v>
      </c>
      <c r="Q45">
        <v>15</v>
      </c>
      <c r="R45">
        <v>4</v>
      </c>
      <c r="S45">
        <v>0</v>
      </c>
      <c r="T45">
        <v>9</v>
      </c>
      <c r="U45">
        <v>0</v>
      </c>
      <c r="V45">
        <v>3</v>
      </c>
      <c r="W45">
        <v>9</v>
      </c>
      <c r="X45">
        <v>8</v>
      </c>
      <c r="Y45">
        <v>1</v>
      </c>
      <c r="Z45">
        <v>7</v>
      </c>
      <c r="AA45">
        <v>0</v>
      </c>
      <c r="AB45" s="1" t="s">
        <v>48</v>
      </c>
      <c r="AC45" t="s">
        <v>37</v>
      </c>
      <c r="AD45" t="s">
        <v>38</v>
      </c>
      <c r="AE45" s="2">
        <v>969.55555555555554</v>
      </c>
    </row>
    <row r="46" spans="1:31" x14ac:dyDescent="0.35">
      <c r="A46">
        <v>30</v>
      </c>
      <c r="B46" s="1" t="s">
        <v>39</v>
      </c>
      <c r="C46" s="1" t="s">
        <v>40</v>
      </c>
      <c r="D46">
        <v>1</v>
      </c>
      <c r="E46">
        <v>2</v>
      </c>
      <c r="F46" s="1" t="s">
        <v>49</v>
      </c>
      <c r="G46">
        <v>3</v>
      </c>
      <c r="H46" s="1" t="s">
        <v>33</v>
      </c>
      <c r="I46">
        <v>3</v>
      </c>
      <c r="J46">
        <v>2</v>
      </c>
      <c r="K46" s="1" t="s">
        <v>45</v>
      </c>
      <c r="L46">
        <v>4</v>
      </c>
      <c r="M46" s="1" t="s">
        <v>35</v>
      </c>
      <c r="N46">
        <v>4011</v>
      </c>
      <c r="O46">
        <v>1</v>
      </c>
      <c r="P46" s="1" t="s">
        <v>39</v>
      </c>
      <c r="Q46">
        <v>23</v>
      </c>
      <c r="R46">
        <v>4</v>
      </c>
      <c r="S46">
        <v>0</v>
      </c>
      <c r="T46">
        <v>12</v>
      </c>
      <c r="U46">
        <v>2</v>
      </c>
      <c r="V46">
        <v>3</v>
      </c>
      <c r="W46">
        <v>12</v>
      </c>
      <c r="X46">
        <v>8</v>
      </c>
      <c r="Y46">
        <v>3</v>
      </c>
      <c r="Z46">
        <v>7</v>
      </c>
      <c r="AA46">
        <v>0</v>
      </c>
      <c r="AB46" s="1" t="s">
        <v>48</v>
      </c>
      <c r="AC46" t="s">
        <v>37</v>
      </c>
      <c r="AD46" t="s">
        <v>57</v>
      </c>
      <c r="AE46" s="2">
        <v>334.25</v>
      </c>
    </row>
    <row r="47" spans="1:31" x14ac:dyDescent="0.35">
      <c r="A47">
        <v>41</v>
      </c>
      <c r="B47" s="1" t="s">
        <v>30</v>
      </c>
      <c r="C47" s="1" t="s">
        <v>40</v>
      </c>
      <c r="D47">
        <v>12</v>
      </c>
      <c r="E47">
        <v>3</v>
      </c>
      <c r="F47" s="1" t="s">
        <v>61</v>
      </c>
      <c r="G47">
        <v>2</v>
      </c>
      <c r="H47" s="1" t="s">
        <v>33</v>
      </c>
      <c r="I47">
        <v>3</v>
      </c>
      <c r="J47">
        <v>5</v>
      </c>
      <c r="K47" s="1" t="s">
        <v>59</v>
      </c>
      <c r="L47">
        <v>3</v>
      </c>
      <c r="M47" s="1" t="s">
        <v>43</v>
      </c>
      <c r="N47">
        <v>19545</v>
      </c>
      <c r="O47">
        <v>1</v>
      </c>
      <c r="P47" s="1" t="s">
        <v>39</v>
      </c>
      <c r="Q47">
        <v>12</v>
      </c>
      <c r="R47">
        <v>4</v>
      </c>
      <c r="S47">
        <v>0</v>
      </c>
      <c r="T47">
        <v>23</v>
      </c>
      <c r="U47">
        <v>0</v>
      </c>
      <c r="V47">
        <v>3</v>
      </c>
      <c r="W47">
        <v>22</v>
      </c>
      <c r="X47">
        <v>15</v>
      </c>
      <c r="Y47">
        <v>15</v>
      </c>
      <c r="Z47">
        <v>8</v>
      </c>
      <c r="AA47">
        <v>1</v>
      </c>
      <c r="AB47" s="1" t="s">
        <v>36</v>
      </c>
      <c r="AC47" t="s">
        <v>56</v>
      </c>
      <c r="AD47" t="s">
        <v>57</v>
      </c>
      <c r="AE47" s="2">
        <v>888.40909090909088</v>
      </c>
    </row>
    <row r="48" spans="1:31" x14ac:dyDescent="0.35">
      <c r="A48">
        <v>34</v>
      </c>
      <c r="B48" s="1" t="s">
        <v>39</v>
      </c>
      <c r="C48" s="1" t="s">
        <v>31</v>
      </c>
      <c r="D48">
        <v>23</v>
      </c>
      <c r="E48">
        <v>4</v>
      </c>
      <c r="F48" s="1" t="s">
        <v>60</v>
      </c>
      <c r="G48">
        <v>2</v>
      </c>
      <c r="H48" s="1" t="s">
        <v>41</v>
      </c>
      <c r="I48">
        <v>3</v>
      </c>
      <c r="J48">
        <v>2</v>
      </c>
      <c r="K48" s="1" t="s">
        <v>34</v>
      </c>
      <c r="L48">
        <v>3</v>
      </c>
      <c r="M48" s="1" t="s">
        <v>35</v>
      </c>
      <c r="N48">
        <v>4568</v>
      </c>
      <c r="O48">
        <v>0</v>
      </c>
      <c r="P48" s="1" t="s">
        <v>39</v>
      </c>
      <c r="Q48">
        <v>20</v>
      </c>
      <c r="R48">
        <v>3</v>
      </c>
      <c r="S48">
        <v>0</v>
      </c>
      <c r="T48">
        <v>10</v>
      </c>
      <c r="U48">
        <v>2</v>
      </c>
      <c r="V48">
        <v>3</v>
      </c>
      <c r="W48">
        <v>9</v>
      </c>
      <c r="X48">
        <v>5</v>
      </c>
      <c r="Y48">
        <v>8</v>
      </c>
      <c r="Z48">
        <v>7</v>
      </c>
      <c r="AA48">
        <v>0</v>
      </c>
      <c r="AB48" s="1" t="s">
        <v>48</v>
      </c>
      <c r="AC48" t="s">
        <v>37</v>
      </c>
      <c r="AD48" t="s">
        <v>38</v>
      </c>
      <c r="AE48" s="2">
        <v>507.55555555555554</v>
      </c>
    </row>
    <row r="49" spans="1:31" x14ac:dyDescent="0.35">
      <c r="A49">
        <v>37</v>
      </c>
      <c r="B49" s="1" t="s">
        <v>39</v>
      </c>
      <c r="C49" s="1" t="s">
        <v>40</v>
      </c>
      <c r="D49">
        <v>19</v>
      </c>
      <c r="E49">
        <v>2</v>
      </c>
      <c r="F49" s="1" t="s">
        <v>32</v>
      </c>
      <c r="G49">
        <v>2</v>
      </c>
      <c r="H49" s="1" t="s">
        <v>41</v>
      </c>
      <c r="I49">
        <v>3</v>
      </c>
      <c r="J49">
        <v>1</v>
      </c>
      <c r="K49" s="1" t="s">
        <v>42</v>
      </c>
      <c r="L49">
        <v>2</v>
      </c>
      <c r="M49" s="1" t="s">
        <v>43</v>
      </c>
      <c r="N49">
        <v>3022</v>
      </c>
      <c r="O49">
        <v>4</v>
      </c>
      <c r="P49" s="1" t="s">
        <v>39</v>
      </c>
      <c r="Q49">
        <v>21</v>
      </c>
      <c r="R49">
        <v>1</v>
      </c>
      <c r="S49">
        <v>0</v>
      </c>
      <c r="T49">
        <v>8</v>
      </c>
      <c r="U49">
        <v>1</v>
      </c>
      <c r="V49">
        <v>3</v>
      </c>
      <c r="W49">
        <v>1</v>
      </c>
      <c r="X49">
        <v>0</v>
      </c>
      <c r="Y49">
        <v>0</v>
      </c>
      <c r="Z49">
        <v>0</v>
      </c>
      <c r="AA49">
        <v>0</v>
      </c>
      <c r="AB49" s="1" t="s">
        <v>36</v>
      </c>
      <c r="AC49" t="s">
        <v>46</v>
      </c>
      <c r="AD49" t="s">
        <v>47</v>
      </c>
      <c r="AE49" s="2">
        <v>3022</v>
      </c>
    </row>
    <row r="50" spans="1:31" x14ac:dyDescent="0.35">
      <c r="A50">
        <v>46</v>
      </c>
      <c r="B50" s="1" t="s">
        <v>39</v>
      </c>
      <c r="C50" s="1" t="s">
        <v>31</v>
      </c>
      <c r="D50">
        <v>5</v>
      </c>
      <c r="E50">
        <v>4</v>
      </c>
      <c r="F50" s="1" t="s">
        <v>60</v>
      </c>
      <c r="G50">
        <v>1</v>
      </c>
      <c r="H50" s="1" t="s">
        <v>41</v>
      </c>
      <c r="I50">
        <v>3</v>
      </c>
      <c r="J50">
        <v>2</v>
      </c>
      <c r="K50" s="1" t="s">
        <v>34</v>
      </c>
      <c r="L50">
        <v>4</v>
      </c>
      <c r="M50" s="1" t="s">
        <v>35</v>
      </c>
      <c r="N50">
        <v>5772</v>
      </c>
      <c r="O50">
        <v>4</v>
      </c>
      <c r="P50" s="1" t="s">
        <v>30</v>
      </c>
      <c r="Q50">
        <v>21</v>
      </c>
      <c r="R50">
        <v>3</v>
      </c>
      <c r="S50">
        <v>0</v>
      </c>
      <c r="T50">
        <v>14</v>
      </c>
      <c r="U50">
        <v>4</v>
      </c>
      <c r="V50">
        <v>3</v>
      </c>
      <c r="W50">
        <v>9</v>
      </c>
      <c r="X50">
        <v>6</v>
      </c>
      <c r="Y50">
        <v>0</v>
      </c>
      <c r="Z50">
        <v>8</v>
      </c>
      <c r="AA50">
        <v>0</v>
      </c>
      <c r="AB50" s="1" t="s">
        <v>82</v>
      </c>
      <c r="AC50" t="s">
        <v>37</v>
      </c>
      <c r="AD50" t="s">
        <v>38</v>
      </c>
      <c r="AE50" s="2">
        <v>641.33333333333337</v>
      </c>
    </row>
    <row r="51" spans="1:31" x14ac:dyDescent="0.35">
      <c r="A51">
        <v>35</v>
      </c>
      <c r="B51" s="1" t="s">
        <v>39</v>
      </c>
      <c r="C51" s="1" t="s">
        <v>40</v>
      </c>
      <c r="D51">
        <v>8</v>
      </c>
      <c r="E51">
        <v>1</v>
      </c>
      <c r="F51" s="1" t="s">
        <v>32</v>
      </c>
      <c r="G51">
        <v>4</v>
      </c>
      <c r="H51" s="1" t="s">
        <v>41</v>
      </c>
      <c r="I51">
        <v>4</v>
      </c>
      <c r="J51">
        <v>1</v>
      </c>
      <c r="K51" s="1" t="s">
        <v>45</v>
      </c>
      <c r="L51">
        <v>4</v>
      </c>
      <c r="M51" s="1" t="s">
        <v>43</v>
      </c>
      <c r="N51">
        <v>2269</v>
      </c>
      <c r="O51">
        <v>1</v>
      </c>
      <c r="P51" s="1" t="s">
        <v>39</v>
      </c>
      <c r="Q51">
        <v>19</v>
      </c>
      <c r="R51">
        <v>4</v>
      </c>
      <c r="S51">
        <v>0</v>
      </c>
      <c r="T51">
        <v>1</v>
      </c>
      <c r="U51">
        <v>2</v>
      </c>
      <c r="V51">
        <v>3</v>
      </c>
      <c r="W51">
        <v>1</v>
      </c>
      <c r="X51">
        <v>0</v>
      </c>
      <c r="Y51">
        <v>0</v>
      </c>
      <c r="Z51">
        <v>1</v>
      </c>
      <c r="AA51">
        <v>0</v>
      </c>
      <c r="AB51" s="1" t="s">
        <v>48</v>
      </c>
      <c r="AC51" t="s">
        <v>46</v>
      </c>
      <c r="AD51" t="s">
        <v>47</v>
      </c>
      <c r="AE51" s="2">
        <v>2269</v>
      </c>
    </row>
    <row r="52" spans="1:31" x14ac:dyDescent="0.35">
      <c r="A52">
        <v>48</v>
      </c>
      <c r="B52" s="1" t="s">
        <v>30</v>
      </c>
      <c r="C52" s="1" t="s">
        <v>40</v>
      </c>
      <c r="D52">
        <v>1</v>
      </c>
      <c r="E52">
        <v>2</v>
      </c>
      <c r="F52" s="1" t="s">
        <v>32</v>
      </c>
      <c r="G52">
        <v>1</v>
      </c>
      <c r="H52" s="1" t="s">
        <v>41</v>
      </c>
      <c r="I52">
        <v>2</v>
      </c>
      <c r="J52">
        <v>3</v>
      </c>
      <c r="K52" s="1" t="s">
        <v>45</v>
      </c>
      <c r="L52">
        <v>3</v>
      </c>
      <c r="M52" s="1" t="s">
        <v>35</v>
      </c>
      <c r="N52">
        <v>5381</v>
      </c>
      <c r="O52">
        <v>9</v>
      </c>
      <c r="P52" s="1" t="s">
        <v>30</v>
      </c>
      <c r="Q52">
        <v>13</v>
      </c>
      <c r="R52">
        <v>4</v>
      </c>
      <c r="S52">
        <v>0</v>
      </c>
      <c r="T52">
        <v>23</v>
      </c>
      <c r="U52">
        <v>2</v>
      </c>
      <c r="V52">
        <v>3</v>
      </c>
      <c r="W52">
        <v>1</v>
      </c>
      <c r="X52">
        <v>0</v>
      </c>
      <c r="Y52">
        <v>0</v>
      </c>
      <c r="Z52">
        <v>0</v>
      </c>
      <c r="AA52">
        <v>1</v>
      </c>
      <c r="AB52" s="1" t="s">
        <v>82</v>
      </c>
      <c r="AC52" t="s">
        <v>37</v>
      </c>
      <c r="AD52" t="s">
        <v>47</v>
      </c>
      <c r="AE52" s="2">
        <v>5381</v>
      </c>
    </row>
    <row r="53" spans="1:31" x14ac:dyDescent="0.35">
      <c r="A53">
        <v>28</v>
      </c>
      <c r="B53" s="1" t="s">
        <v>30</v>
      </c>
      <c r="C53" s="1" t="s">
        <v>40</v>
      </c>
      <c r="D53">
        <v>5</v>
      </c>
      <c r="E53">
        <v>4</v>
      </c>
      <c r="F53" s="1" t="s">
        <v>61</v>
      </c>
      <c r="G53">
        <v>3</v>
      </c>
      <c r="H53" s="1" t="s">
        <v>41</v>
      </c>
      <c r="I53">
        <v>3</v>
      </c>
      <c r="J53">
        <v>1</v>
      </c>
      <c r="K53" s="1" t="s">
        <v>45</v>
      </c>
      <c r="L53">
        <v>3</v>
      </c>
      <c r="M53" s="1" t="s">
        <v>35</v>
      </c>
      <c r="N53">
        <v>3441</v>
      </c>
      <c r="O53">
        <v>1</v>
      </c>
      <c r="P53" s="1" t="s">
        <v>30</v>
      </c>
      <c r="Q53">
        <v>13</v>
      </c>
      <c r="R53">
        <v>3</v>
      </c>
      <c r="S53">
        <v>0</v>
      </c>
      <c r="T53">
        <v>2</v>
      </c>
      <c r="U53">
        <v>3</v>
      </c>
      <c r="V53">
        <v>2</v>
      </c>
      <c r="W53">
        <v>2</v>
      </c>
      <c r="X53">
        <v>2</v>
      </c>
      <c r="Y53">
        <v>2</v>
      </c>
      <c r="Z53">
        <v>2</v>
      </c>
      <c r="AA53">
        <v>1</v>
      </c>
      <c r="AB53" s="1" t="s">
        <v>48</v>
      </c>
      <c r="AC53" t="s">
        <v>46</v>
      </c>
      <c r="AD53" t="s">
        <v>47</v>
      </c>
      <c r="AE53" s="2">
        <v>1720.5</v>
      </c>
    </row>
    <row r="54" spans="1:31" x14ac:dyDescent="0.35">
      <c r="A54">
        <v>44</v>
      </c>
      <c r="B54" s="1" t="s">
        <v>39</v>
      </c>
      <c r="C54" s="1" t="s">
        <v>31</v>
      </c>
      <c r="D54">
        <v>1</v>
      </c>
      <c r="E54">
        <v>5</v>
      </c>
      <c r="F54" s="1" t="s">
        <v>60</v>
      </c>
      <c r="G54">
        <v>2</v>
      </c>
      <c r="H54" s="1" t="s">
        <v>33</v>
      </c>
      <c r="I54">
        <v>3</v>
      </c>
      <c r="J54">
        <v>2</v>
      </c>
      <c r="K54" s="1" t="s">
        <v>34</v>
      </c>
      <c r="L54">
        <v>1</v>
      </c>
      <c r="M54" s="1" t="s">
        <v>50</v>
      </c>
      <c r="N54">
        <v>5454</v>
      </c>
      <c r="O54">
        <v>5</v>
      </c>
      <c r="P54" s="1" t="s">
        <v>30</v>
      </c>
      <c r="Q54">
        <v>21</v>
      </c>
      <c r="R54">
        <v>3</v>
      </c>
      <c r="S54">
        <v>1</v>
      </c>
      <c r="T54">
        <v>9</v>
      </c>
      <c r="U54">
        <v>2</v>
      </c>
      <c r="V54">
        <v>2</v>
      </c>
      <c r="W54">
        <v>4</v>
      </c>
      <c r="X54">
        <v>3</v>
      </c>
      <c r="Y54">
        <v>1</v>
      </c>
      <c r="Z54">
        <v>3</v>
      </c>
      <c r="AA54">
        <v>0</v>
      </c>
      <c r="AB54" s="1" t="s">
        <v>36</v>
      </c>
      <c r="AC54" t="s">
        <v>37</v>
      </c>
      <c r="AD54" t="s">
        <v>53</v>
      </c>
      <c r="AE54" s="2">
        <v>1363.5</v>
      </c>
    </row>
    <row r="55" spans="1:31" x14ac:dyDescent="0.35">
      <c r="A55">
        <v>35</v>
      </c>
      <c r="B55" s="1" t="s">
        <v>39</v>
      </c>
      <c r="C55" s="1" t="s">
        <v>40</v>
      </c>
      <c r="D55">
        <v>11</v>
      </c>
      <c r="E55">
        <v>2</v>
      </c>
      <c r="F55" s="1" t="s">
        <v>49</v>
      </c>
      <c r="G55">
        <v>3</v>
      </c>
      <c r="H55" s="1" t="s">
        <v>41</v>
      </c>
      <c r="I55">
        <v>2</v>
      </c>
      <c r="J55">
        <v>3</v>
      </c>
      <c r="K55" s="1" t="s">
        <v>52</v>
      </c>
      <c r="L55">
        <v>1</v>
      </c>
      <c r="M55" s="1" t="s">
        <v>43</v>
      </c>
      <c r="N55">
        <v>9884</v>
      </c>
      <c r="O55">
        <v>2</v>
      </c>
      <c r="P55" s="1" t="s">
        <v>30</v>
      </c>
      <c r="Q55">
        <v>13</v>
      </c>
      <c r="R55">
        <v>3</v>
      </c>
      <c r="S55">
        <v>1</v>
      </c>
      <c r="T55">
        <v>10</v>
      </c>
      <c r="U55">
        <v>3</v>
      </c>
      <c r="V55">
        <v>3</v>
      </c>
      <c r="W55">
        <v>4</v>
      </c>
      <c r="X55">
        <v>0</v>
      </c>
      <c r="Y55">
        <v>2</v>
      </c>
      <c r="Z55">
        <v>3</v>
      </c>
      <c r="AA55">
        <v>0</v>
      </c>
      <c r="AB55" s="1" t="s">
        <v>48</v>
      </c>
      <c r="AC55" t="s">
        <v>37</v>
      </c>
      <c r="AD55" t="s">
        <v>53</v>
      </c>
      <c r="AE55" s="2">
        <v>2471</v>
      </c>
    </row>
    <row r="56" spans="1:31" x14ac:dyDescent="0.35">
      <c r="A56">
        <v>26</v>
      </c>
      <c r="B56" s="1" t="s">
        <v>39</v>
      </c>
      <c r="C56" s="1" t="s">
        <v>31</v>
      </c>
      <c r="D56">
        <v>23</v>
      </c>
      <c r="E56">
        <v>3</v>
      </c>
      <c r="F56" s="1" t="s">
        <v>60</v>
      </c>
      <c r="G56">
        <v>3</v>
      </c>
      <c r="H56" s="1" t="s">
        <v>33</v>
      </c>
      <c r="I56">
        <v>2</v>
      </c>
      <c r="J56">
        <v>2</v>
      </c>
      <c r="K56" s="1" t="s">
        <v>34</v>
      </c>
      <c r="L56">
        <v>4</v>
      </c>
      <c r="M56" s="1" t="s">
        <v>43</v>
      </c>
      <c r="N56">
        <v>4157</v>
      </c>
      <c r="O56">
        <v>7</v>
      </c>
      <c r="P56" s="1" t="s">
        <v>30</v>
      </c>
      <c r="Q56">
        <v>19</v>
      </c>
      <c r="R56">
        <v>3</v>
      </c>
      <c r="S56">
        <v>1</v>
      </c>
      <c r="T56">
        <v>5</v>
      </c>
      <c r="U56">
        <v>2</v>
      </c>
      <c r="V56">
        <v>2</v>
      </c>
      <c r="W56">
        <v>2</v>
      </c>
      <c r="X56">
        <v>2</v>
      </c>
      <c r="Y56">
        <v>0</v>
      </c>
      <c r="Z56">
        <v>0</v>
      </c>
      <c r="AA56">
        <v>0</v>
      </c>
      <c r="AB56" s="1" t="s">
        <v>48</v>
      </c>
      <c r="AC56" t="s">
        <v>37</v>
      </c>
      <c r="AD56" t="s">
        <v>47</v>
      </c>
      <c r="AE56" s="2">
        <v>2078.5</v>
      </c>
    </row>
    <row r="57" spans="1:31" x14ac:dyDescent="0.35">
      <c r="A57">
        <v>33</v>
      </c>
      <c r="B57" s="1" t="s">
        <v>39</v>
      </c>
      <c r="C57" s="1" t="s">
        <v>40</v>
      </c>
      <c r="D57">
        <v>1</v>
      </c>
      <c r="E57">
        <v>2</v>
      </c>
      <c r="F57" s="1" t="s">
        <v>32</v>
      </c>
      <c r="G57">
        <v>1</v>
      </c>
      <c r="H57" s="1" t="s">
        <v>33</v>
      </c>
      <c r="I57">
        <v>3</v>
      </c>
      <c r="J57">
        <v>3</v>
      </c>
      <c r="K57" s="1" t="s">
        <v>59</v>
      </c>
      <c r="L57">
        <v>4</v>
      </c>
      <c r="M57" s="1" t="s">
        <v>35</v>
      </c>
      <c r="N57">
        <v>13458</v>
      </c>
      <c r="O57">
        <v>1</v>
      </c>
      <c r="P57" s="1" t="s">
        <v>30</v>
      </c>
      <c r="Q57">
        <v>12</v>
      </c>
      <c r="R57">
        <v>3</v>
      </c>
      <c r="S57">
        <v>0</v>
      </c>
      <c r="T57">
        <v>15</v>
      </c>
      <c r="U57">
        <v>1</v>
      </c>
      <c r="V57">
        <v>3</v>
      </c>
      <c r="W57">
        <v>15</v>
      </c>
      <c r="X57">
        <v>14</v>
      </c>
      <c r="Y57">
        <v>8</v>
      </c>
      <c r="Z57">
        <v>12</v>
      </c>
      <c r="AA57">
        <v>0</v>
      </c>
      <c r="AB57" s="1" t="s">
        <v>48</v>
      </c>
      <c r="AC57" t="s">
        <v>56</v>
      </c>
      <c r="AD57" t="s">
        <v>57</v>
      </c>
      <c r="AE57" s="2">
        <v>897.2</v>
      </c>
    </row>
    <row r="58" spans="1:31" x14ac:dyDescent="0.35">
      <c r="A58">
        <v>35</v>
      </c>
      <c r="B58" s="1" t="s">
        <v>39</v>
      </c>
      <c r="C58" s="1" t="s">
        <v>31</v>
      </c>
      <c r="D58">
        <v>18</v>
      </c>
      <c r="E58">
        <v>5</v>
      </c>
      <c r="F58" s="1" t="s">
        <v>32</v>
      </c>
      <c r="G58">
        <v>2</v>
      </c>
      <c r="H58" s="1" t="s">
        <v>41</v>
      </c>
      <c r="I58">
        <v>3</v>
      </c>
      <c r="J58">
        <v>3</v>
      </c>
      <c r="K58" s="1" t="s">
        <v>34</v>
      </c>
      <c r="L58">
        <v>1</v>
      </c>
      <c r="M58" s="1" t="s">
        <v>43</v>
      </c>
      <c r="N58">
        <v>9069</v>
      </c>
      <c r="O58">
        <v>1</v>
      </c>
      <c r="P58" s="1" t="s">
        <v>39</v>
      </c>
      <c r="Q58">
        <v>22</v>
      </c>
      <c r="R58">
        <v>4</v>
      </c>
      <c r="S58">
        <v>1</v>
      </c>
      <c r="T58">
        <v>9</v>
      </c>
      <c r="U58">
        <v>3</v>
      </c>
      <c r="V58">
        <v>2</v>
      </c>
      <c r="W58">
        <v>9</v>
      </c>
      <c r="X58">
        <v>8</v>
      </c>
      <c r="Y58">
        <v>1</v>
      </c>
      <c r="Z58">
        <v>8</v>
      </c>
      <c r="AA58">
        <v>0</v>
      </c>
      <c r="AB58" s="1" t="s">
        <v>48</v>
      </c>
      <c r="AC58" t="s">
        <v>37</v>
      </c>
      <c r="AD58" t="s">
        <v>38</v>
      </c>
      <c r="AE58" s="2">
        <v>1007.6666666666666</v>
      </c>
    </row>
    <row r="59" spans="1:31" x14ac:dyDescent="0.35">
      <c r="A59">
        <v>35</v>
      </c>
      <c r="B59" s="1" t="s">
        <v>39</v>
      </c>
      <c r="C59" s="1" t="s">
        <v>40</v>
      </c>
      <c r="D59">
        <v>23</v>
      </c>
      <c r="E59">
        <v>4</v>
      </c>
      <c r="F59" s="1" t="s">
        <v>49</v>
      </c>
      <c r="G59">
        <v>3</v>
      </c>
      <c r="H59" s="1" t="s">
        <v>33</v>
      </c>
      <c r="I59">
        <v>3</v>
      </c>
      <c r="J59">
        <v>1</v>
      </c>
      <c r="K59" s="1" t="s">
        <v>45</v>
      </c>
      <c r="L59">
        <v>1</v>
      </c>
      <c r="M59" s="1" t="s">
        <v>43</v>
      </c>
      <c r="N59">
        <v>4014</v>
      </c>
      <c r="O59">
        <v>3</v>
      </c>
      <c r="P59" s="1" t="s">
        <v>30</v>
      </c>
      <c r="Q59">
        <v>15</v>
      </c>
      <c r="R59">
        <v>3</v>
      </c>
      <c r="S59">
        <v>1</v>
      </c>
      <c r="T59">
        <v>4</v>
      </c>
      <c r="U59">
        <v>3</v>
      </c>
      <c r="V59">
        <v>3</v>
      </c>
      <c r="W59">
        <v>2</v>
      </c>
      <c r="X59">
        <v>2</v>
      </c>
      <c r="Y59">
        <v>2</v>
      </c>
      <c r="Z59">
        <v>2</v>
      </c>
      <c r="AA59">
        <v>0</v>
      </c>
      <c r="AB59" s="1" t="s">
        <v>48</v>
      </c>
      <c r="AC59" t="s">
        <v>37</v>
      </c>
      <c r="AD59" t="s">
        <v>47</v>
      </c>
      <c r="AE59" s="2">
        <v>2007</v>
      </c>
    </row>
    <row r="60" spans="1:31" x14ac:dyDescent="0.35">
      <c r="A60">
        <v>31</v>
      </c>
      <c r="B60" s="1" t="s">
        <v>39</v>
      </c>
      <c r="C60" s="1" t="s">
        <v>40</v>
      </c>
      <c r="D60">
        <v>7</v>
      </c>
      <c r="E60">
        <v>4</v>
      </c>
      <c r="F60" s="1" t="s">
        <v>32</v>
      </c>
      <c r="G60">
        <v>4</v>
      </c>
      <c r="H60" s="1" t="s">
        <v>41</v>
      </c>
      <c r="I60">
        <v>3</v>
      </c>
      <c r="J60">
        <v>2</v>
      </c>
      <c r="K60" s="1" t="s">
        <v>45</v>
      </c>
      <c r="L60">
        <v>4</v>
      </c>
      <c r="M60" s="1" t="s">
        <v>50</v>
      </c>
      <c r="N60">
        <v>5915</v>
      </c>
      <c r="O60">
        <v>3</v>
      </c>
      <c r="P60" s="1" t="s">
        <v>39</v>
      </c>
      <c r="Q60">
        <v>22</v>
      </c>
      <c r="R60">
        <v>4</v>
      </c>
      <c r="S60">
        <v>1</v>
      </c>
      <c r="T60">
        <v>10</v>
      </c>
      <c r="U60">
        <v>3</v>
      </c>
      <c r="V60">
        <v>2</v>
      </c>
      <c r="W60">
        <v>7</v>
      </c>
      <c r="X60">
        <v>7</v>
      </c>
      <c r="Y60">
        <v>1</v>
      </c>
      <c r="Z60">
        <v>7</v>
      </c>
      <c r="AA60">
        <v>0</v>
      </c>
      <c r="AB60" s="1" t="s">
        <v>48</v>
      </c>
      <c r="AC60" t="s">
        <v>37</v>
      </c>
      <c r="AD60" t="s">
        <v>38</v>
      </c>
      <c r="AE60" s="2">
        <v>845</v>
      </c>
    </row>
    <row r="61" spans="1:31" x14ac:dyDescent="0.35">
      <c r="A61">
        <v>37</v>
      </c>
      <c r="B61" s="1" t="s">
        <v>39</v>
      </c>
      <c r="C61" s="1" t="s">
        <v>40</v>
      </c>
      <c r="D61">
        <v>1</v>
      </c>
      <c r="E61">
        <v>4</v>
      </c>
      <c r="F61" s="1" t="s">
        <v>32</v>
      </c>
      <c r="G61">
        <v>1</v>
      </c>
      <c r="H61" s="1" t="s">
        <v>41</v>
      </c>
      <c r="I61">
        <v>2</v>
      </c>
      <c r="J61">
        <v>2</v>
      </c>
      <c r="K61" s="1" t="s">
        <v>51</v>
      </c>
      <c r="L61">
        <v>3</v>
      </c>
      <c r="M61" s="1" t="s">
        <v>50</v>
      </c>
      <c r="N61">
        <v>5993</v>
      </c>
      <c r="O61">
        <v>1</v>
      </c>
      <c r="P61" s="1" t="s">
        <v>39</v>
      </c>
      <c r="Q61">
        <v>18</v>
      </c>
      <c r="R61">
        <v>3</v>
      </c>
      <c r="S61">
        <v>1</v>
      </c>
      <c r="T61">
        <v>7</v>
      </c>
      <c r="U61">
        <v>2</v>
      </c>
      <c r="V61">
        <v>4</v>
      </c>
      <c r="W61">
        <v>7</v>
      </c>
      <c r="X61">
        <v>5</v>
      </c>
      <c r="Y61">
        <v>0</v>
      </c>
      <c r="Z61">
        <v>7</v>
      </c>
      <c r="AA61">
        <v>0</v>
      </c>
      <c r="AB61" s="1" t="s">
        <v>36</v>
      </c>
      <c r="AC61" t="s">
        <v>37</v>
      </c>
      <c r="AD61" t="s">
        <v>38</v>
      </c>
      <c r="AE61" s="2">
        <v>856.14285714285711</v>
      </c>
    </row>
    <row r="62" spans="1:31" x14ac:dyDescent="0.35">
      <c r="A62">
        <v>32</v>
      </c>
      <c r="B62" s="1" t="s">
        <v>39</v>
      </c>
      <c r="C62" s="1" t="s">
        <v>40</v>
      </c>
      <c r="D62">
        <v>1</v>
      </c>
      <c r="E62">
        <v>3</v>
      </c>
      <c r="F62" s="1" t="s">
        <v>49</v>
      </c>
      <c r="G62">
        <v>1</v>
      </c>
      <c r="H62" s="1" t="s">
        <v>41</v>
      </c>
      <c r="I62">
        <v>3</v>
      </c>
      <c r="J62">
        <v>2</v>
      </c>
      <c r="K62" s="1" t="s">
        <v>51</v>
      </c>
      <c r="L62">
        <v>4</v>
      </c>
      <c r="M62" s="1" t="s">
        <v>43</v>
      </c>
      <c r="N62">
        <v>6162</v>
      </c>
      <c r="O62">
        <v>1</v>
      </c>
      <c r="P62" s="1" t="s">
        <v>30</v>
      </c>
      <c r="Q62">
        <v>22</v>
      </c>
      <c r="R62">
        <v>2</v>
      </c>
      <c r="S62">
        <v>1</v>
      </c>
      <c r="T62">
        <v>9</v>
      </c>
      <c r="U62">
        <v>3</v>
      </c>
      <c r="V62">
        <v>3</v>
      </c>
      <c r="W62">
        <v>9</v>
      </c>
      <c r="X62">
        <v>8</v>
      </c>
      <c r="Y62">
        <v>7</v>
      </c>
      <c r="Z62">
        <v>8</v>
      </c>
      <c r="AA62">
        <v>0</v>
      </c>
      <c r="AB62" s="1" t="s">
        <v>48</v>
      </c>
      <c r="AC62" t="s">
        <v>37</v>
      </c>
      <c r="AD62" t="s">
        <v>38</v>
      </c>
      <c r="AE62" s="2">
        <v>684.66666666666663</v>
      </c>
    </row>
    <row r="63" spans="1:31" x14ac:dyDescent="0.35">
      <c r="A63">
        <v>38</v>
      </c>
      <c r="B63" s="1" t="s">
        <v>39</v>
      </c>
      <c r="C63" s="1" t="s">
        <v>40</v>
      </c>
      <c r="D63">
        <v>29</v>
      </c>
      <c r="E63">
        <v>5</v>
      </c>
      <c r="F63" s="1" t="s">
        <v>32</v>
      </c>
      <c r="G63">
        <v>4</v>
      </c>
      <c r="H63" s="1" t="s">
        <v>33</v>
      </c>
      <c r="I63">
        <v>3</v>
      </c>
      <c r="J63">
        <v>2</v>
      </c>
      <c r="K63" s="1" t="s">
        <v>45</v>
      </c>
      <c r="L63">
        <v>4</v>
      </c>
      <c r="M63" s="1" t="s">
        <v>35</v>
      </c>
      <c r="N63">
        <v>2406</v>
      </c>
      <c r="O63">
        <v>1</v>
      </c>
      <c r="P63" s="1" t="s">
        <v>39</v>
      </c>
      <c r="Q63">
        <v>11</v>
      </c>
      <c r="R63">
        <v>4</v>
      </c>
      <c r="S63">
        <v>0</v>
      </c>
      <c r="T63">
        <v>10</v>
      </c>
      <c r="U63">
        <v>2</v>
      </c>
      <c r="V63">
        <v>3</v>
      </c>
      <c r="W63">
        <v>10</v>
      </c>
      <c r="X63">
        <v>3</v>
      </c>
      <c r="Y63">
        <v>9</v>
      </c>
      <c r="Z63">
        <v>9</v>
      </c>
      <c r="AA63">
        <v>0</v>
      </c>
      <c r="AB63" s="1" t="s">
        <v>36</v>
      </c>
      <c r="AC63" t="s">
        <v>46</v>
      </c>
      <c r="AD63" t="s">
        <v>38</v>
      </c>
      <c r="AE63" s="2">
        <v>240.6</v>
      </c>
    </row>
    <row r="64" spans="1:31" x14ac:dyDescent="0.35">
      <c r="A64">
        <v>50</v>
      </c>
      <c r="B64" s="1" t="s">
        <v>39</v>
      </c>
      <c r="C64" s="1" t="s">
        <v>40</v>
      </c>
      <c r="D64">
        <v>7</v>
      </c>
      <c r="E64">
        <v>2</v>
      </c>
      <c r="F64" s="1" t="s">
        <v>49</v>
      </c>
      <c r="G64">
        <v>2</v>
      </c>
      <c r="H64" s="1" t="s">
        <v>33</v>
      </c>
      <c r="I64">
        <v>2</v>
      </c>
      <c r="J64">
        <v>5</v>
      </c>
      <c r="K64" s="1" t="s">
        <v>59</v>
      </c>
      <c r="L64">
        <v>3</v>
      </c>
      <c r="M64" s="1" t="s">
        <v>50</v>
      </c>
      <c r="N64">
        <v>18740</v>
      </c>
      <c r="O64">
        <v>5</v>
      </c>
      <c r="P64" s="1" t="s">
        <v>30</v>
      </c>
      <c r="Q64">
        <v>12</v>
      </c>
      <c r="R64">
        <v>4</v>
      </c>
      <c r="S64">
        <v>1</v>
      </c>
      <c r="T64">
        <v>29</v>
      </c>
      <c r="U64">
        <v>2</v>
      </c>
      <c r="V64">
        <v>2</v>
      </c>
      <c r="W64">
        <v>27</v>
      </c>
      <c r="X64">
        <v>3</v>
      </c>
      <c r="Y64">
        <v>13</v>
      </c>
      <c r="Z64">
        <v>8</v>
      </c>
      <c r="AA64">
        <v>0</v>
      </c>
      <c r="AB64" s="1" t="s">
        <v>82</v>
      </c>
      <c r="AC64" t="s">
        <v>56</v>
      </c>
      <c r="AD64" t="s">
        <v>57</v>
      </c>
      <c r="AE64" s="2">
        <v>694.07407407407402</v>
      </c>
    </row>
    <row r="65" spans="1:31" x14ac:dyDescent="0.35">
      <c r="A65">
        <v>59</v>
      </c>
      <c r="B65" s="1" t="s">
        <v>39</v>
      </c>
      <c r="C65" s="1" t="s">
        <v>31</v>
      </c>
      <c r="D65">
        <v>25</v>
      </c>
      <c r="E65">
        <v>3</v>
      </c>
      <c r="F65" s="1" t="s">
        <v>32</v>
      </c>
      <c r="G65">
        <v>1</v>
      </c>
      <c r="H65" s="1" t="s">
        <v>33</v>
      </c>
      <c r="I65">
        <v>3</v>
      </c>
      <c r="J65">
        <v>3</v>
      </c>
      <c r="K65" s="1" t="s">
        <v>34</v>
      </c>
      <c r="L65">
        <v>1</v>
      </c>
      <c r="M65" s="1" t="s">
        <v>35</v>
      </c>
      <c r="N65">
        <v>7637</v>
      </c>
      <c r="O65">
        <v>7</v>
      </c>
      <c r="P65" s="1" t="s">
        <v>39</v>
      </c>
      <c r="Q65">
        <v>11</v>
      </c>
      <c r="R65">
        <v>4</v>
      </c>
      <c r="S65">
        <v>0</v>
      </c>
      <c r="T65">
        <v>28</v>
      </c>
      <c r="U65">
        <v>3</v>
      </c>
      <c r="V65">
        <v>2</v>
      </c>
      <c r="W65">
        <v>21</v>
      </c>
      <c r="X65">
        <v>16</v>
      </c>
      <c r="Y65">
        <v>7</v>
      </c>
      <c r="Z65">
        <v>9</v>
      </c>
      <c r="AA65">
        <v>0</v>
      </c>
      <c r="AB65" s="1" t="s">
        <v>82</v>
      </c>
      <c r="AC65" t="s">
        <v>37</v>
      </c>
      <c r="AD65" t="s">
        <v>57</v>
      </c>
      <c r="AE65" s="2">
        <v>363.66666666666669</v>
      </c>
    </row>
    <row r="66" spans="1:31" x14ac:dyDescent="0.35">
      <c r="A66">
        <v>36</v>
      </c>
      <c r="B66" s="1" t="s">
        <v>39</v>
      </c>
      <c r="C66" s="1" t="s">
        <v>40</v>
      </c>
      <c r="D66">
        <v>8</v>
      </c>
      <c r="E66">
        <v>3</v>
      </c>
      <c r="F66" s="1" t="s">
        <v>61</v>
      </c>
      <c r="G66">
        <v>3</v>
      </c>
      <c r="H66" s="1" t="s">
        <v>33</v>
      </c>
      <c r="I66">
        <v>3</v>
      </c>
      <c r="J66">
        <v>3</v>
      </c>
      <c r="K66" s="1" t="s">
        <v>52</v>
      </c>
      <c r="L66">
        <v>3</v>
      </c>
      <c r="M66" s="1" t="s">
        <v>50</v>
      </c>
      <c r="N66">
        <v>10096</v>
      </c>
      <c r="O66">
        <v>1</v>
      </c>
      <c r="P66" s="1" t="s">
        <v>39</v>
      </c>
      <c r="Q66">
        <v>13</v>
      </c>
      <c r="R66">
        <v>2</v>
      </c>
      <c r="S66">
        <v>3</v>
      </c>
      <c r="T66">
        <v>17</v>
      </c>
      <c r="U66">
        <v>2</v>
      </c>
      <c r="V66">
        <v>3</v>
      </c>
      <c r="W66">
        <v>17</v>
      </c>
      <c r="X66">
        <v>14</v>
      </c>
      <c r="Y66">
        <v>12</v>
      </c>
      <c r="Z66">
        <v>8</v>
      </c>
      <c r="AA66">
        <v>0</v>
      </c>
      <c r="AB66" s="1" t="s">
        <v>36</v>
      </c>
      <c r="AC66" t="s">
        <v>56</v>
      </c>
      <c r="AD66" t="s">
        <v>57</v>
      </c>
      <c r="AE66" s="2">
        <v>593.88235294117646</v>
      </c>
    </row>
    <row r="67" spans="1:31" x14ac:dyDescent="0.35">
      <c r="A67">
        <v>55</v>
      </c>
      <c r="B67" s="1" t="s">
        <v>39</v>
      </c>
      <c r="C67" s="1" t="s">
        <v>40</v>
      </c>
      <c r="D67">
        <v>8</v>
      </c>
      <c r="E67">
        <v>3</v>
      </c>
      <c r="F67" s="1" t="s">
        <v>49</v>
      </c>
      <c r="G67">
        <v>4</v>
      </c>
      <c r="H67" s="1" t="s">
        <v>33</v>
      </c>
      <c r="I67">
        <v>3</v>
      </c>
      <c r="J67">
        <v>4</v>
      </c>
      <c r="K67" s="1" t="s">
        <v>55</v>
      </c>
      <c r="L67">
        <v>3</v>
      </c>
      <c r="M67" s="1" t="s">
        <v>50</v>
      </c>
      <c r="N67">
        <v>14756</v>
      </c>
      <c r="O67">
        <v>2</v>
      </c>
      <c r="P67" s="1" t="s">
        <v>30</v>
      </c>
      <c r="Q67">
        <v>14</v>
      </c>
      <c r="R67">
        <v>3</v>
      </c>
      <c r="S67">
        <v>3</v>
      </c>
      <c r="T67">
        <v>21</v>
      </c>
      <c r="U67">
        <v>2</v>
      </c>
      <c r="V67">
        <v>3</v>
      </c>
      <c r="W67">
        <v>5</v>
      </c>
      <c r="X67">
        <v>0</v>
      </c>
      <c r="Y67">
        <v>0</v>
      </c>
      <c r="Z67">
        <v>2</v>
      </c>
      <c r="AA67">
        <v>0</v>
      </c>
      <c r="AB67" s="1" t="s">
        <v>82</v>
      </c>
      <c r="AC67" t="s">
        <v>56</v>
      </c>
      <c r="AD67" t="s">
        <v>53</v>
      </c>
      <c r="AE67" s="2">
        <v>2951.2</v>
      </c>
    </row>
    <row r="68" spans="1:31" x14ac:dyDescent="0.35">
      <c r="A68">
        <v>36</v>
      </c>
      <c r="B68" s="1" t="s">
        <v>39</v>
      </c>
      <c r="C68" s="1" t="s">
        <v>40</v>
      </c>
      <c r="D68">
        <v>11</v>
      </c>
      <c r="E68">
        <v>3</v>
      </c>
      <c r="F68" s="1" t="s">
        <v>32</v>
      </c>
      <c r="G68">
        <v>2</v>
      </c>
      <c r="H68" s="1" t="s">
        <v>41</v>
      </c>
      <c r="I68">
        <v>2</v>
      </c>
      <c r="J68">
        <v>2</v>
      </c>
      <c r="K68" s="1" t="s">
        <v>51</v>
      </c>
      <c r="L68">
        <v>2</v>
      </c>
      <c r="M68" s="1" t="s">
        <v>35</v>
      </c>
      <c r="N68">
        <v>6499</v>
      </c>
      <c r="O68">
        <v>1</v>
      </c>
      <c r="P68" s="1" t="s">
        <v>39</v>
      </c>
      <c r="Q68">
        <v>13</v>
      </c>
      <c r="R68">
        <v>3</v>
      </c>
      <c r="S68">
        <v>0</v>
      </c>
      <c r="T68">
        <v>6</v>
      </c>
      <c r="U68">
        <v>3</v>
      </c>
      <c r="V68">
        <v>3</v>
      </c>
      <c r="W68">
        <v>6</v>
      </c>
      <c r="X68">
        <v>5</v>
      </c>
      <c r="Y68">
        <v>0</v>
      </c>
      <c r="Z68">
        <v>3</v>
      </c>
      <c r="AA68">
        <v>0</v>
      </c>
      <c r="AB68" s="1" t="s">
        <v>36</v>
      </c>
      <c r="AC68" t="s">
        <v>37</v>
      </c>
      <c r="AD68" t="s">
        <v>38</v>
      </c>
      <c r="AE68" s="2">
        <v>1083.1666666666667</v>
      </c>
    </row>
    <row r="69" spans="1:31" x14ac:dyDescent="0.35">
      <c r="A69">
        <v>45</v>
      </c>
      <c r="B69" s="1" t="s">
        <v>39</v>
      </c>
      <c r="C69" s="1" t="s">
        <v>40</v>
      </c>
      <c r="D69">
        <v>7</v>
      </c>
      <c r="E69">
        <v>3</v>
      </c>
      <c r="F69" s="1" t="s">
        <v>32</v>
      </c>
      <c r="G69">
        <v>2</v>
      </c>
      <c r="H69" s="1" t="s">
        <v>41</v>
      </c>
      <c r="I69">
        <v>3</v>
      </c>
      <c r="J69">
        <v>3</v>
      </c>
      <c r="K69" s="1" t="s">
        <v>42</v>
      </c>
      <c r="L69">
        <v>1</v>
      </c>
      <c r="M69" s="1" t="s">
        <v>50</v>
      </c>
      <c r="N69">
        <v>9724</v>
      </c>
      <c r="O69">
        <v>2</v>
      </c>
      <c r="P69" s="1" t="s">
        <v>39</v>
      </c>
      <c r="Q69">
        <v>17</v>
      </c>
      <c r="R69">
        <v>3</v>
      </c>
      <c r="S69">
        <v>1</v>
      </c>
      <c r="T69">
        <v>25</v>
      </c>
      <c r="U69">
        <v>2</v>
      </c>
      <c r="V69">
        <v>3</v>
      </c>
      <c r="W69">
        <v>1</v>
      </c>
      <c r="X69">
        <v>0</v>
      </c>
      <c r="Y69">
        <v>0</v>
      </c>
      <c r="Z69">
        <v>0</v>
      </c>
      <c r="AA69">
        <v>0</v>
      </c>
      <c r="AB69" s="1" t="s">
        <v>36</v>
      </c>
      <c r="AC69" t="s">
        <v>37</v>
      </c>
      <c r="AD69" t="s">
        <v>47</v>
      </c>
      <c r="AE69" s="2">
        <v>9724</v>
      </c>
    </row>
    <row r="70" spans="1:31" x14ac:dyDescent="0.35">
      <c r="A70">
        <v>35</v>
      </c>
      <c r="B70" s="1" t="s">
        <v>39</v>
      </c>
      <c r="C70" s="1" t="s">
        <v>40</v>
      </c>
      <c r="D70">
        <v>1</v>
      </c>
      <c r="E70">
        <v>3</v>
      </c>
      <c r="F70" s="1" t="s">
        <v>49</v>
      </c>
      <c r="G70">
        <v>2</v>
      </c>
      <c r="H70" s="1" t="s">
        <v>41</v>
      </c>
      <c r="I70">
        <v>3</v>
      </c>
      <c r="J70">
        <v>1</v>
      </c>
      <c r="K70" s="1" t="s">
        <v>42</v>
      </c>
      <c r="L70">
        <v>1</v>
      </c>
      <c r="M70" s="1" t="s">
        <v>43</v>
      </c>
      <c r="N70">
        <v>2194</v>
      </c>
      <c r="O70">
        <v>4</v>
      </c>
      <c r="P70" s="1" t="s">
        <v>39</v>
      </c>
      <c r="Q70">
        <v>13</v>
      </c>
      <c r="R70">
        <v>4</v>
      </c>
      <c r="S70">
        <v>1</v>
      </c>
      <c r="T70">
        <v>5</v>
      </c>
      <c r="U70">
        <v>2</v>
      </c>
      <c r="V70">
        <v>2</v>
      </c>
      <c r="W70">
        <v>3</v>
      </c>
      <c r="X70">
        <v>2</v>
      </c>
      <c r="Y70">
        <v>1</v>
      </c>
      <c r="Z70">
        <v>2</v>
      </c>
      <c r="AA70">
        <v>0</v>
      </c>
      <c r="AB70" s="1" t="s">
        <v>48</v>
      </c>
      <c r="AC70" t="s">
        <v>46</v>
      </c>
      <c r="AD70" t="s">
        <v>53</v>
      </c>
      <c r="AE70" s="2">
        <v>731.33333333333337</v>
      </c>
    </row>
    <row r="71" spans="1:31" x14ac:dyDescent="0.35">
      <c r="A71">
        <v>36</v>
      </c>
      <c r="B71" s="1" t="s">
        <v>30</v>
      </c>
      <c r="C71" s="1" t="s">
        <v>40</v>
      </c>
      <c r="D71">
        <v>9</v>
      </c>
      <c r="E71">
        <v>3</v>
      </c>
      <c r="F71" s="1" t="s">
        <v>49</v>
      </c>
      <c r="G71">
        <v>4</v>
      </c>
      <c r="H71" s="1" t="s">
        <v>41</v>
      </c>
      <c r="I71">
        <v>2</v>
      </c>
      <c r="J71">
        <v>1</v>
      </c>
      <c r="K71" s="1" t="s">
        <v>42</v>
      </c>
      <c r="L71">
        <v>3</v>
      </c>
      <c r="M71" s="1" t="s">
        <v>43</v>
      </c>
      <c r="N71">
        <v>3388</v>
      </c>
      <c r="O71">
        <v>0</v>
      </c>
      <c r="P71" s="1" t="s">
        <v>30</v>
      </c>
      <c r="Q71">
        <v>17</v>
      </c>
      <c r="R71">
        <v>1</v>
      </c>
      <c r="S71">
        <v>1</v>
      </c>
      <c r="T71">
        <v>2</v>
      </c>
      <c r="U71">
        <v>0</v>
      </c>
      <c r="V71">
        <v>2</v>
      </c>
      <c r="W71">
        <v>1</v>
      </c>
      <c r="X71">
        <v>0</v>
      </c>
      <c r="Y71">
        <v>0</v>
      </c>
      <c r="Z71">
        <v>0</v>
      </c>
      <c r="AA71">
        <v>1</v>
      </c>
      <c r="AB71" s="1" t="s">
        <v>36</v>
      </c>
      <c r="AC71" t="s">
        <v>46</v>
      </c>
      <c r="AD71" t="s">
        <v>47</v>
      </c>
      <c r="AE71" s="2">
        <v>3388</v>
      </c>
    </row>
    <row r="72" spans="1:31" x14ac:dyDescent="0.35">
      <c r="A72">
        <v>59</v>
      </c>
      <c r="B72" s="1" t="s">
        <v>39</v>
      </c>
      <c r="C72" s="1" t="s">
        <v>31</v>
      </c>
      <c r="D72">
        <v>1</v>
      </c>
      <c r="E72">
        <v>1</v>
      </c>
      <c r="F72" s="1" t="s">
        <v>32</v>
      </c>
      <c r="G72">
        <v>1</v>
      </c>
      <c r="H72" s="1" t="s">
        <v>33</v>
      </c>
      <c r="I72">
        <v>2</v>
      </c>
      <c r="J72">
        <v>2</v>
      </c>
      <c r="K72" s="1" t="s">
        <v>34</v>
      </c>
      <c r="L72">
        <v>3</v>
      </c>
      <c r="M72" s="1" t="s">
        <v>35</v>
      </c>
      <c r="N72">
        <v>5473</v>
      </c>
      <c r="O72">
        <v>7</v>
      </c>
      <c r="P72" s="1" t="s">
        <v>39</v>
      </c>
      <c r="Q72">
        <v>11</v>
      </c>
      <c r="R72">
        <v>4</v>
      </c>
      <c r="S72">
        <v>0</v>
      </c>
      <c r="T72">
        <v>20</v>
      </c>
      <c r="U72">
        <v>2</v>
      </c>
      <c r="V72">
        <v>2</v>
      </c>
      <c r="W72">
        <v>4</v>
      </c>
      <c r="X72">
        <v>3</v>
      </c>
      <c r="Y72">
        <v>1</v>
      </c>
      <c r="Z72">
        <v>3</v>
      </c>
      <c r="AA72">
        <v>0</v>
      </c>
      <c r="AB72" s="1" t="s">
        <v>82</v>
      </c>
      <c r="AC72" t="s">
        <v>37</v>
      </c>
      <c r="AD72" t="s">
        <v>53</v>
      </c>
      <c r="AE72" s="2">
        <v>1368.25</v>
      </c>
    </row>
    <row r="73" spans="1:31" x14ac:dyDescent="0.35">
      <c r="A73">
        <v>29</v>
      </c>
      <c r="B73" s="1" t="s">
        <v>39</v>
      </c>
      <c r="C73" s="1" t="s">
        <v>40</v>
      </c>
      <c r="D73">
        <v>2</v>
      </c>
      <c r="E73">
        <v>3</v>
      </c>
      <c r="F73" s="1" t="s">
        <v>32</v>
      </c>
      <c r="G73">
        <v>3</v>
      </c>
      <c r="H73" s="1" t="s">
        <v>41</v>
      </c>
      <c r="I73">
        <v>3</v>
      </c>
      <c r="J73">
        <v>1</v>
      </c>
      <c r="K73" s="1" t="s">
        <v>42</v>
      </c>
      <c r="L73">
        <v>2</v>
      </c>
      <c r="M73" s="1" t="s">
        <v>43</v>
      </c>
      <c r="N73">
        <v>2703</v>
      </c>
      <c r="O73">
        <v>0</v>
      </c>
      <c r="P73" s="1" t="s">
        <v>39</v>
      </c>
      <c r="Q73">
        <v>23</v>
      </c>
      <c r="R73">
        <v>4</v>
      </c>
      <c r="S73">
        <v>1</v>
      </c>
      <c r="T73">
        <v>6</v>
      </c>
      <c r="U73">
        <v>3</v>
      </c>
      <c r="V73">
        <v>3</v>
      </c>
      <c r="W73">
        <v>5</v>
      </c>
      <c r="X73">
        <v>4</v>
      </c>
      <c r="Y73">
        <v>0</v>
      </c>
      <c r="Z73">
        <v>4</v>
      </c>
      <c r="AA73">
        <v>0</v>
      </c>
      <c r="AB73" s="1" t="s">
        <v>48</v>
      </c>
      <c r="AC73" t="s">
        <v>46</v>
      </c>
      <c r="AD73" t="s">
        <v>53</v>
      </c>
      <c r="AE73" s="2">
        <v>540.6</v>
      </c>
    </row>
    <row r="74" spans="1:31" x14ac:dyDescent="0.35">
      <c r="A74">
        <v>31</v>
      </c>
      <c r="B74" s="1" t="s">
        <v>39</v>
      </c>
      <c r="C74" s="1" t="s">
        <v>40</v>
      </c>
      <c r="D74">
        <v>1</v>
      </c>
      <c r="E74">
        <v>4</v>
      </c>
      <c r="F74" s="1" t="s">
        <v>49</v>
      </c>
      <c r="G74">
        <v>3</v>
      </c>
      <c r="H74" s="1" t="s">
        <v>41</v>
      </c>
      <c r="I74">
        <v>3</v>
      </c>
      <c r="J74">
        <v>1</v>
      </c>
      <c r="K74" s="1" t="s">
        <v>42</v>
      </c>
      <c r="L74">
        <v>2</v>
      </c>
      <c r="M74" s="1" t="s">
        <v>35</v>
      </c>
      <c r="N74">
        <v>2501</v>
      </c>
      <c r="O74">
        <v>1</v>
      </c>
      <c r="P74" s="1" t="s">
        <v>39</v>
      </c>
      <c r="Q74">
        <v>17</v>
      </c>
      <c r="R74">
        <v>2</v>
      </c>
      <c r="S74">
        <v>0</v>
      </c>
      <c r="T74">
        <v>1</v>
      </c>
      <c r="U74">
        <v>4</v>
      </c>
      <c r="V74">
        <v>3</v>
      </c>
      <c r="W74">
        <v>1</v>
      </c>
      <c r="X74">
        <v>1</v>
      </c>
      <c r="Y74">
        <v>1</v>
      </c>
      <c r="Z74">
        <v>0</v>
      </c>
      <c r="AA74">
        <v>0</v>
      </c>
      <c r="AB74" s="1" t="s">
        <v>48</v>
      </c>
      <c r="AC74" t="s">
        <v>46</v>
      </c>
      <c r="AD74" t="s">
        <v>47</v>
      </c>
      <c r="AE74" s="2">
        <v>2501</v>
      </c>
    </row>
    <row r="75" spans="1:31" x14ac:dyDescent="0.35">
      <c r="A75">
        <v>32</v>
      </c>
      <c r="B75" s="1" t="s">
        <v>39</v>
      </c>
      <c r="C75" s="1" t="s">
        <v>40</v>
      </c>
      <c r="D75">
        <v>1</v>
      </c>
      <c r="E75">
        <v>3</v>
      </c>
      <c r="F75" s="1" t="s">
        <v>32</v>
      </c>
      <c r="G75">
        <v>2</v>
      </c>
      <c r="H75" s="1" t="s">
        <v>41</v>
      </c>
      <c r="I75">
        <v>3</v>
      </c>
      <c r="J75">
        <v>2</v>
      </c>
      <c r="K75" s="1" t="s">
        <v>42</v>
      </c>
      <c r="L75">
        <v>2</v>
      </c>
      <c r="M75" s="1" t="s">
        <v>43</v>
      </c>
      <c r="N75">
        <v>6220</v>
      </c>
      <c r="O75">
        <v>1</v>
      </c>
      <c r="P75" s="1" t="s">
        <v>39</v>
      </c>
      <c r="Q75">
        <v>17</v>
      </c>
      <c r="R75">
        <v>2</v>
      </c>
      <c r="S75">
        <v>2</v>
      </c>
      <c r="T75">
        <v>10</v>
      </c>
      <c r="U75">
        <v>3</v>
      </c>
      <c r="V75">
        <v>3</v>
      </c>
      <c r="W75">
        <v>10</v>
      </c>
      <c r="X75">
        <v>4</v>
      </c>
      <c r="Y75">
        <v>0</v>
      </c>
      <c r="Z75">
        <v>9</v>
      </c>
      <c r="AA75">
        <v>0</v>
      </c>
      <c r="AB75" s="1" t="s">
        <v>48</v>
      </c>
      <c r="AC75" t="s">
        <v>37</v>
      </c>
      <c r="AD75" t="s">
        <v>38</v>
      </c>
      <c r="AE75" s="2">
        <v>622</v>
      </c>
    </row>
    <row r="76" spans="1:31" x14ac:dyDescent="0.35">
      <c r="A76">
        <v>36</v>
      </c>
      <c r="B76" s="1" t="s">
        <v>39</v>
      </c>
      <c r="C76" s="1" t="s">
        <v>40</v>
      </c>
      <c r="D76">
        <v>6</v>
      </c>
      <c r="E76">
        <v>3</v>
      </c>
      <c r="F76" s="1" t="s">
        <v>32</v>
      </c>
      <c r="G76">
        <v>2</v>
      </c>
      <c r="H76" s="1" t="s">
        <v>33</v>
      </c>
      <c r="I76">
        <v>4</v>
      </c>
      <c r="J76">
        <v>1</v>
      </c>
      <c r="K76" s="1" t="s">
        <v>45</v>
      </c>
      <c r="L76">
        <v>4</v>
      </c>
      <c r="M76" s="1" t="s">
        <v>43</v>
      </c>
      <c r="N76">
        <v>3038</v>
      </c>
      <c r="O76">
        <v>3</v>
      </c>
      <c r="P76" s="1" t="s">
        <v>39</v>
      </c>
      <c r="Q76">
        <v>12</v>
      </c>
      <c r="R76">
        <v>2</v>
      </c>
      <c r="S76">
        <v>0</v>
      </c>
      <c r="T76">
        <v>5</v>
      </c>
      <c r="U76">
        <v>3</v>
      </c>
      <c r="V76">
        <v>3</v>
      </c>
      <c r="W76">
        <v>1</v>
      </c>
      <c r="X76">
        <v>0</v>
      </c>
      <c r="Y76">
        <v>0</v>
      </c>
      <c r="Z76">
        <v>0</v>
      </c>
      <c r="AA76">
        <v>0</v>
      </c>
      <c r="AB76" s="1" t="s">
        <v>36</v>
      </c>
      <c r="AC76" t="s">
        <v>46</v>
      </c>
      <c r="AD76" t="s">
        <v>47</v>
      </c>
      <c r="AE76" s="2">
        <v>3038</v>
      </c>
    </row>
    <row r="77" spans="1:31" x14ac:dyDescent="0.35">
      <c r="A77">
        <v>31</v>
      </c>
      <c r="B77" s="1" t="s">
        <v>39</v>
      </c>
      <c r="C77" s="1" t="s">
        <v>40</v>
      </c>
      <c r="D77">
        <v>8</v>
      </c>
      <c r="E77">
        <v>4</v>
      </c>
      <c r="F77" s="1" t="s">
        <v>32</v>
      </c>
      <c r="G77">
        <v>3</v>
      </c>
      <c r="H77" s="1" t="s">
        <v>33</v>
      </c>
      <c r="I77">
        <v>3</v>
      </c>
      <c r="J77">
        <v>2</v>
      </c>
      <c r="K77" s="1" t="s">
        <v>51</v>
      </c>
      <c r="L77">
        <v>4</v>
      </c>
      <c r="M77" s="1" t="s">
        <v>35</v>
      </c>
      <c r="N77">
        <v>4424</v>
      </c>
      <c r="O77">
        <v>1</v>
      </c>
      <c r="P77" s="1" t="s">
        <v>39</v>
      </c>
      <c r="Q77">
        <v>23</v>
      </c>
      <c r="R77">
        <v>4</v>
      </c>
      <c r="S77">
        <v>0</v>
      </c>
      <c r="T77">
        <v>11</v>
      </c>
      <c r="U77">
        <v>2</v>
      </c>
      <c r="V77">
        <v>3</v>
      </c>
      <c r="W77">
        <v>11</v>
      </c>
      <c r="X77">
        <v>7</v>
      </c>
      <c r="Y77">
        <v>1</v>
      </c>
      <c r="Z77">
        <v>8</v>
      </c>
      <c r="AA77">
        <v>0</v>
      </c>
      <c r="AB77" s="1" t="s">
        <v>48</v>
      </c>
      <c r="AC77" t="s">
        <v>37</v>
      </c>
      <c r="AD77" t="s">
        <v>57</v>
      </c>
      <c r="AE77" s="2">
        <v>402.18181818181819</v>
      </c>
    </row>
    <row r="78" spans="1:31" x14ac:dyDescent="0.35">
      <c r="A78">
        <v>35</v>
      </c>
      <c r="B78" s="1" t="s">
        <v>39</v>
      </c>
      <c r="C78" s="1" t="s">
        <v>31</v>
      </c>
      <c r="D78">
        <v>1</v>
      </c>
      <c r="E78">
        <v>4</v>
      </c>
      <c r="F78" s="1" t="s">
        <v>60</v>
      </c>
      <c r="G78">
        <v>3</v>
      </c>
      <c r="H78" s="1" t="s">
        <v>41</v>
      </c>
      <c r="I78">
        <v>2</v>
      </c>
      <c r="J78">
        <v>2</v>
      </c>
      <c r="K78" s="1" t="s">
        <v>34</v>
      </c>
      <c r="L78">
        <v>1</v>
      </c>
      <c r="M78" s="1" t="s">
        <v>35</v>
      </c>
      <c r="N78">
        <v>4312</v>
      </c>
      <c r="O78">
        <v>0</v>
      </c>
      <c r="P78" s="1" t="s">
        <v>39</v>
      </c>
      <c r="Q78">
        <v>14</v>
      </c>
      <c r="R78">
        <v>2</v>
      </c>
      <c r="S78">
        <v>0</v>
      </c>
      <c r="T78">
        <v>16</v>
      </c>
      <c r="U78">
        <v>2</v>
      </c>
      <c r="V78">
        <v>3</v>
      </c>
      <c r="W78">
        <v>15</v>
      </c>
      <c r="X78">
        <v>13</v>
      </c>
      <c r="Y78">
        <v>2</v>
      </c>
      <c r="Z78">
        <v>8</v>
      </c>
      <c r="AA78">
        <v>0</v>
      </c>
      <c r="AB78" s="1" t="s">
        <v>48</v>
      </c>
      <c r="AC78" t="s">
        <v>37</v>
      </c>
      <c r="AD78" t="s">
        <v>57</v>
      </c>
      <c r="AE78" s="2">
        <v>287.46666666666664</v>
      </c>
    </row>
    <row r="79" spans="1:31" x14ac:dyDescent="0.35">
      <c r="A79">
        <v>45</v>
      </c>
      <c r="B79" s="1" t="s">
        <v>39</v>
      </c>
      <c r="C79" s="1" t="s">
        <v>40</v>
      </c>
      <c r="D79">
        <v>6</v>
      </c>
      <c r="E79">
        <v>4</v>
      </c>
      <c r="F79" s="1" t="s">
        <v>44</v>
      </c>
      <c r="G79">
        <v>4</v>
      </c>
      <c r="H79" s="1" t="s">
        <v>41</v>
      </c>
      <c r="I79">
        <v>3</v>
      </c>
      <c r="J79">
        <v>3</v>
      </c>
      <c r="K79" s="1" t="s">
        <v>59</v>
      </c>
      <c r="L79">
        <v>1</v>
      </c>
      <c r="M79" s="1" t="s">
        <v>43</v>
      </c>
      <c r="N79">
        <v>13245</v>
      </c>
      <c r="O79">
        <v>4</v>
      </c>
      <c r="P79" s="1" t="s">
        <v>30</v>
      </c>
      <c r="Q79">
        <v>14</v>
      </c>
      <c r="R79">
        <v>2</v>
      </c>
      <c r="S79">
        <v>0</v>
      </c>
      <c r="T79">
        <v>17</v>
      </c>
      <c r="U79">
        <v>3</v>
      </c>
      <c r="V79">
        <v>4</v>
      </c>
      <c r="W79">
        <v>0</v>
      </c>
      <c r="X79">
        <v>0</v>
      </c>
      <c r="Y79">
        <v>0</v>
      </c>
      <c r="Z79">
        <v>0</v>
      </c>
      <c r="AA79">
        <v>0</v>
      </c>
      <c r="AB79" s="1" t="s">
        <v>36</v>
      </c>
      <c r="AC79" t="s">
        <v>56</v>
      </c>
      <c r="AD79" t="s">
        <v>47</v>
      </c>
      <c r="AE79" s="2">
        <v>13245</v>
      </c>
    </row>
    <row r="80" spans="1:31" x14ac:dyDescent="0.35">
      <c r="A80">
        <v>37</v>
      </c>
      <c r="B80" s="1" t="s">
        <v>39</v>
      </c>
      <c r="C80" s="1" t="s">
        <v>40</v>
      </c>
      <c r="D80">
        <v>7</v>
      </c>
      <c r="E80">
        <v>4</v>
      </c>
      <c r="F80" s="1" t="s">
        <v>49</v>
      </c>
      <c r="G80">
        <v>1</v>
      </c>
      <c r="H80" s="1" t="s">
        <v>41</v>
      </c>
      <c r="I80">
        <v>3</v>
      </c>
      <c r="J80">
        <v>3</v>
      </c>
      <c r="K80" s="1" t="s">
        <v>59</v>
      </c>
      <c r="L80">
        <v>3</v>
      </c>
      <c r="M80" s="1" t="s">
        <v>35</v>
      </c>
      <c r="N80">
        <v>13664</v>
      </c>
      <c r="O80">
        <v>4</v>
      </c>
      <c r="P80" s="1" t="s">
        <v>39</v>
      </c>
      <c r="Q80">
        <v>13</v>
      </c>
      <c r="R80">
        <v>1</v>
      </c>
      <c r="S80">
        <v>0</v>
      </c>
      <c r="T80">
        <v>16</v>
      </c>
      <c r="U80">
        <v>3</v>
      </c>
      <c r="V80">
        <v>4</v>
      </c>
      <c r="W80">
        <v>5</v>
      </c>
      <c r="X80">
        <v>2</v>
      </c>
      <c r="Y80">
        <v>0</v>
      </c>
      <c r="Z80">
        <v>2</v>
      </c>
      <c r="AA80">
        <v>0</v>
      </c>
      <c r="AB80" s="1" t="s">
        <v>36</v>
      </c>
      <c r="AC80" t="s">
        <v>56</v>
      </c>
      <c r="AD80" t="s">
        <v>53</v>
      </c>
      <c r="AE80" s="2">
        <v>2732.8</v>
      </c>
    </row>
    <row r="81" spans="1:31" x14ac:dyDescent="0.35">
      <c r="A81">
        <v>46</v>
      </c>
      <c r="B81" s="1" t="s">
        <v>39</v>
      </c>
      <c r="C81" s="1" t="s">
        <v>62</v>
      </c>
      <c r="D81">
        <v>5</v>
      </c>
      <c r="E81">
        <v>2</v>
      </c>
      <c r="F81" s="1" t="s">
        <v>49</v>
      </c>
      <c r="G81">
        <v>2</v>
      </c>
      <c r="H81" s="1" t="s">
        <v>41</v>
      </c>
      <c r="I81">
        <v>3</v>
      </c>
      <c r="J81">
        <v>2</v>
      </c>
      <c r="K81" s="1" t="s">
        <v>62</v>
      </c>
      <c r="L81">
        <v>2</v>
      </c>
      <c r="M81" s="1" t="s">
        <v>50</v>
      </c>
      <c r="N81">
        <v>5021</v>
      </c>
      <c r="O81">
        <v>8</v>
      </c>
      <c r="P81" s="1" t="s">
        <v>30</v>
      </c>
      <c r="Q81">
        <v>22</v>
      </c>
      <c r="R81">
        <v>4</v>
      </c>
      <c r="S81">
        <v>1</v>
      </c>
      <c r="T81">
        <v>16</v>
      </c>
      <c r="U81">
        <v>2</v>
      </c>
      <c r="V81">
        <v>3</v>
      </c>
      <c r="W81">
        <v>4</v>
      </c>
      <c r="X81">
        <v>2</v>
      </c>
      <c r="Y81">
        <v>0</v>
      </c>
      <c r="Z81">
        <v>2</v>
      </c>
      <c r="AA81">
        <v>0</v>
      </c>
      <c r="AB81" s="1" t="s">
        <v>82</v>
      </c>
      <c r="AC81" t="s">
        <v>37</v>
      </c>
      <c r="AD81" t="s">
        <v>53</v>
      </c>
      <c r="AE81" s="2">
        <v>1255.25</v>
      </c>
    </row>
    <row r="82" spans="1:31" x14ac:dyDescent="0.35">
      <c r="A82">
        <v>30</v>
      </c>
      <c r="B82" s="1" t="s">
        <v>39</v>
      </c>
      <c r="C82" s="1" t="s">
        <v>40</v>
      </c>
      <c r="D82">
        <v>1</v>
      </c>
      <c r="E82">
        <v>1</v>
      </c>
      <c r="F82" s="1" t="s">
        <v>32</v>
      </c>
      <c r="G82">
        <v>4</v>
      </c>
      <c r="H82" s="1" t="s">
        <v>41</v>
      </c>
      <c r="I82">
        <v>2</v>
      </c>
      <c r="J82">
        <v>2</v>
      </c>
      <c r="K82" s="1" t="s">
        <v>45</v>
      </c>
      <c r="L82">
        <v>4</v>
      </c>
      <c r="M82" s="1" t="s">
        <v>43</v>
      </c>
      <c r="N82">
        <v>5126</v>
      </c>
      <c r="O82">
        <v>1</v>
      </c>
      <c r="P82" s="1" t="s">
        <v>30</v>
      </c>
      <c r="Q82">
        <v>12</v>
      </c>
      <c r="R82">
        <v>3</v>
      </c>
      <c r="S82">
        <v>2</v>
      </c>
      <c r="T82">
        <v>10</v>
      </c>
      <c r="U82">
        <v>1</v>
      </c>
      <c r="V82">
        <v>2</v>
      </c>
      <c r="W82">
        <v>10</v>
      </c>
      <c r="X82">
        <v>8</v>
      </c>
      <c r="Y82">
        <v>3</v>
      </c>
      <c r="Z82">
        <v>0</v>
      </c>
      <c r="AA82">
        <v>0</v>
      </c>
      <c r="AB82" s="1" t="s">
        <v>48</v>
      </c>
      <c r="AC82" t="s">
        <v>37</v>
      </c>
      <c r="AD82" t="s">
        <v>38</v>
      </c>
      <c r="AE82" s="2">
        <v>512.6</v>
      </c>
    </row>
    <row r="83" spans="1:31" x14ac:dyDescent="0.35">
      <c r="A83">
        <v>35</v>
      </c>
      <c r="B83" s="1" t="s">
        <v>39</v>
      </c>
      <c r="C83" s="1" t="s">
        <v>40</v>
      </c>
      <c r="D83">
        <v>1</v>
      </c>
      <c r="E83">
        <v>3</v>
      </c>
      <c r="F83" s="1" t="s">
        <v>49</v>
      </c>
      <c r="G83">
        <v>2</v>
      </c>
      <c r="H83" s="1" t="s">
        <v>41</v>
      </c>
      <c r="I83">
        <v>2</v>
      </c>
      <c r="J83">
        <v>1</v>
      </c>
      <c r="K83" s="1" t="s">
        <v>42</v>
      </c>
      <c r="L83">
        <v>3</v>
      </c>
      <c r="M83" s="1" t="s">
        <v>35</v>
      </c>
      <c r="N83">
        <v>2859</v>
      </c>
      <c r="O83">
        <v>1</v>
      </c>
      <c r="P83" s="1" t="s">
        <v>39</v>
      </c>
      <c r="Q83">
        <v>18</v>
      </c>
      <c r="R83">
        <v>1</v>
      </c>
      <c r="S83">
        <v>0</v>
      </c>
      <c r="T83">
        <v>6</v>
      </c>
      <c r="U83">
        <v>3</v>
      </c>
      <c r="V83">
        <v>3</v>
      </c>
      <c r="W83">
        <v>6</v>
      </c>
      <c r="X83">
        <v>4</v>
      </c>
      <c r="Y83">
        <v>0</v>
      </c>
      <c r="Z83">
        <v>4</v>
      </c>
      <c r="AA83">
        <v>0</v>
      </c>
      <c r="AB83" s="1" t="s">
        <v>48</v>
      </c>
      <c r="AC83" t="s">
        <v>46</v>
      </c>
      <c r="AD83" t="s">
        <v>38</v>
      </c>
      <c r="AE83" s="2">
        <v>476.5</v>
      </c>
    </row>
    <row r="84" spans="1:31" x14ac:dyDescent="0.35">
      <c r="A84">
        <v>55</v>
      </c>
      <c r="B84" s="1" t="s">
        <v>39</v>
      </c>
      <c r="C84" s="1" t="s">
        <v>31</v>
      </c>
      <c r="D84">
        <v>1</v>
      </c>
      <c r="E84">
        <v>2</v>
      </c>
      <c r="F84" s="1" t="s">
        <v>32</v>
      </c>
      <c r="G84">
        <v>1</v>
      </c>
      <c r="H84" s="1" t="s">
        <v>41</v>
      </c>
      <c r="I84">
        <v>3</v>
      </c>
      <c r="J84">
        <v>3</v>
      </c>
      <c r="K84" s="1" t="s">
        <v>34</v>
      </c>
      <c r="L84">
        <v>4</v>
      </c>
      <c r="M84" s="1" t="s">
        <v>43</v>
      </c>
      <c r="N84">
        <v>10239</v>
      </c>
      <c r="O84">
        <v>3</v>
      </c>
      <c r="P84" s="1" t="s">
        <v>39</v>
      </c>
      <c r="Q84">
        <v>14</v>
      </c>
      <c r="R84">
        <v>4</v>
      </c>
      <c r="S84">
        <v>1</v>
      </c>
      <c r="T84">
        <v>24</v>
      </c>
      <c r="U84">
        <v>4</v>
      </c>
      <c r="V84">
        <v>3</v>
      </c>
      <c r="W84">
        <v>1</v>
      </c>
      <c r="X84">
        <v>0</v>
      </c>
      <c r="Y84">
        <v>1</v>
      </c>
      <c r="Z84">
        <v>0</v>
      </c>
      <c r="AA84">
        <v>0</v>
      </c>
      <c r="AB84" s="1" t="s">
        <v>82</v>
      </c>
      <c r="AC84" t="s">
        <v>56</v>
      </c>
      <c r="AD84" t="s">
        <v>47</v>
      </c>
      <c r="AE84" s="2">
        <v>10239</v>
      </c>
    </row>
    <row r="85" spans="1:31" x14ac:dyDescent="0.35">
      <c r="A85">
        <v>38</v>
      </c>
      <c r="B85" s="1" t="s">
        <v>39</v>
      </c>
      <c r="C85" s="1" t="s">
        <v>40</v>
      </c>
      <c r="D85">
        <v>6</v>
      </c>
      <c r="E85">
        <v>3</v>
      </c>
      <c r="F85" s="1" t="s">
        <v>49</v>
      </c>
      <c r="G85">
        <v>2</v>
      </c>
      <c r="H85" s="1" t="s">
        <v>33</v>
      </c>
      <c r="I85">
        <v>1</v>
      </c>
      <c r="J85">
        <v>2</v>
      </c>
      <c r="K85" s="1" t="s">
        <v>42</v>
      </c>
      <c r="L85">
        <v>4</v>
      </c>
      <c r="M85" s="1" t="s">
        <v>50</v>
      </c>
      <c r="N85">
        <v>5329</v>
      </c>
      <c r="O85">
        <v>7</v>
      </c>
      <c r="P85" s="1" t="s">
        <v>30</v>
      </c>
      <c r="Q85">
        <v>12</v>
      </c>
      <c r="R85">
        <v>4</v>
      </c>
      <c r="S85">
        <v>3</v>
      </c>
      <c r="T85">
        <v>17</v>
      </c>
      <c r="U85">
        <v>3</v>
      </c>
      <c r="V85">
        <v>3</v>
      </c>
      <c r="W85">
        <v>13</v>
      </c>
      <c r="X85">
        <v>11</v>
      </c>
      <c r="Y85">
        <v>1</v>
      </c>
      <c r="Z85">
        <v>9</v>
      </c>
      <c r="AA85">
        <v>0</v>
      </c>
      <c r="AB85" s="1" t="s">
        <v>36</v>
      </c>
      <c r="AC85" t="s">
        <v>37</v>
      </c>
      <c r="AD85" t="s">
        <v>57</v>
      </c>
      <c r="AE85" s="2">
        <v>409.92307692307691</v>
      </c>
    </row>
    <row r="86" spans="1:31" x14ac:dyDescent="0.35">
      <c r="A86">
        <v>34</v>
      </c>
      <c r="B86" s="1" t="s">
        <v>39</v>
      </c>
      <c r="C86" s="1" t="s">
        <v>40</v>
      </c>
      <c r="D86">
        <v>1</v>
      </c>
      <c r="E86">
        <v>2</v>
      </c>
      <c r="F86" s="1" t="s">
        <v>49</v>
      </c>
      <c r="G86">
        <v>1</v>
      </c>
      <c r="H86" s="1" t="s">
        <v>41</v>
      </c>
      <c r="I86">
        <v>3</v>
      </c>
      <c r="J86">
        <v>2</v>
      </c>
      <c r="K86" s="1" t="s">
        <v>51</v>
      </c>
      <c r="L86">
        <v>2</v>
      </c>
      <c r="M86" s="1" t="s">
        <v>43</v>
      </c>
      <c r="N86">
        <v>4325</v>
      </c>
      <c r="O86">
        <v>1</v>
      </c>
      <c r="P86" s="1" t="s">
        <v>39</v>
      </c>
      <c r="Q86">
        <v>15</v>
      </c>
      <c r="R86">
        <v>3</v>
      </c>
      <c r="S86">
        <v>0</v>
      </c>
      <c r="T86">
        <v>5</v>
      </c>
      <c r="U86">
        <v>2</v>
      </c>
      <c r="V86">
        <v>3</v>
      </c>
      <c r="W86">
        <v>5</v>
      </c>
      <c r="X86">
        <v>2</v>
      </c>
      <c r="Y86">
        <v>1</v>
      </c>
      <c r="Z86">
        <v>3</v>
      </c>
      <c r="AA86">
        <v>0</v>
      </c>
      <c r="AB86" s="1" t="s">
        <v>48</v>
      </c>
      <c r="AC86" t="s">
        <v>37</v>
      </c>
      <c r="AD86" t="s">
        <v>53</v>
      </c>
      <c r="AE86" s="2">
        <v>865</v>
      </c>
    </row>
    <row r="87" spans="1:31" x14ac:dyDescent="0.35">
      <c r="A87">
        <v>56</v>
      </c>
      <c r="B87" s="1" t="s">
        <v>39</v>
      </c>
      <c r="C87" s="1" t="s">
        <v>40</v>
      </c>
      <c r="D87">
        <v>7</v>
      </c>
      <c r="E87">
        <v>3</v>
      </c>
      <c r="F87" s="1" t="s">
        <v>32</v>
      </c>
      <c r="G87">
        <v>4</v>
      </c>
      <c r="H87" s="1" t="s">
        <v>41</v>
      </c>
      <c r="I87">
        <v>1</v>
      </c>
      <c r="J87">
        <v>3</v>
      </c>
      <c r="K87" s="1" t="s">
        <v>51</v>
      </c>
      <c r="L87">
        <v>4</v>
      </c>
      <c r="M87" s="1" t="s">
        <v>35</v>
      </c>
      <c r="N87">
        <v>7260</v>
      </c>
      <c r="O87">
        <v>4</v>
      </c>
      <c r="P87" s="1" t="s">
        <v>39</v>
      </c>
      <c r="Q87">
        <v>11</v>
      </c>
      <c r="R87">
        <v>1</v>
      </c>
      <c r="S87">
        <v>0</v>
      </c>
      <c r="T87">
        <v>37</v>
      </c>
      <c r="U87">
        <v>3</v>
      </c>
      <c r="V87">
        <v>2</v>
      </c>
      <c r="W87">
        <v>6</v>
      </c>
      <c r="X87">
        <v>4</v>
      </c>
      <c r="Y87">
        <v>0</v>
      </c>
      <c r="Z87">
        <v>2</v>
      </c>
      <c r="AA87">
        <v>0</v>
      </c>
      <c r="AB87" s="1" t="s">
        <v>82</v>
      </c>
      <c r="AC87" t="s">
        <v>37</v>
      </c>
      <c r="AD87" t="s">
        <v>38</v>
      </c>
      <c r="AE87" s="2">
        <v>1210</v>
      </c>
    </row>
    <row r="88" spans="1:31" x14ac:dyDescent="0.35">
      <c r="A88">
        <v>23</v>
      </c>
      <c r="B88" s="1" t="s">
        <v>39</v>
      </c>
      <c r="C88" s="1" t="s">
        <v>31</v>
      </c>
      <c r="D88">
        <v>2</v>
      </c>
      <c r="E88">
        <v>1</v>
      </c>
      <c r="F88" s="1" t="s">
        <v>61</v>
      </c>
      <c r="G88">
        <v>3</v>
      </c>
      <c r="H88" s="1" t="s">
        <v>41</v>
      </c>
      <c r="I88">
        <v>3</v>
      </c>
      <c r="J88">
        <v>1</v>
      </c>
      <c r="K88" s="1" t="s">
        <v>58</v>
      </c>
      <c r="L88">
        <v>1</v>
      </c>
      <c r="M88" s="1" t="s">
        <v>50</v>
      </c>
      <c r="N88">
        <v>2322</v>
      </c>
      <c r="O88">
        <v>3</v>
      </c>
      <c r="P88" s="1" t="s">
        <v>39</v>
      </c>
      <c r="Q88">
        <v>13</v>
      </c>
      <c r="R88">
        <v>3</v>
      </c>
      <c r="S88">
        <v>1</v>
      </c>
      <c r="T88">
        <v>3</v>
      </c>
      <c r="U88">
        <v>3</v>
      </c>
      <c r="V88">
        <v>3</v>
      </c>
      <c r="W88">
        <v>0</v>
      </c>
      <c r="X88">
        <v>0</v>
      </c>
      <c r="Y88">
        <v>0</v>
      </c>
      <c r="Z88">
        <v>0</v>
      </c>
      <c r="AA88">
        <v>0</v>
      </c>
      <c r="AB88" s="1" t="s">
        <v>54</v>
      </c>
      <c r="AC88" t="s">
        <v>46</v>
      </c>
      <c r="AD88" t="s">
        <v>47</v>
      </c>
      <c r="AE88" s="2">
        <v>2322</v>
      </c>
    </row>
    <row r="89" spans="1:31" x14ac:dyDescent="0.35">
      <c r="A89">
        <v>51</v>
      </c>
      <c r="B89" s="1" t="s">
        <v>39</v>
      </c>
      <c r="C89" s="1" t="s">
        <v>40</v>
      </c>
      <c r="D89">
        <v>9</v>
      </c>
      <c r="E89">
        <v>4</v>
      </c>
      <c r="F89" s="1" t="s">
        <v>32</v>
      </c>
      <c r="G89">
        <v>4</v>
      </c>
      <c r="H89" s="1" t="s">
        <v>41</v>
      </c>
      <c r="I89">
        <v>3</v>
      </c>
      <c r="J89">
        <v>1</v>
      </c>
      <c r="K89" s="1" t="s">
        <v>45</v>
      </c>
      <c r="L89">
        <v>4</v>
      </c>
      <c r="M89" s="1" t="s">
        <v>43</v>
      </c>
      <c r="N89">
        <v>2075</v>
      </c>
      <c r="O89">
        <v>3</v>
      </c>
      <c r="P89" s="1" t="s">
        <v>39</v>
      </c>
      <c r="Q89">
        <v>23</v>
      </c>
      <c r="R89">
        <v>2</v>
      </c>
      <c r="S89">
        <v>2</v>
      </c>
      <c r="T89">
        <v>10</v>
      </c>
      <c r="U89">
        <v>4</v>
      </c>
      <c r="V89">
        <v>3</v>
      </c>
      <c r="W89">
        <v>4</v>
      </c>
      <c r="X89">
        <v>2</v>
      </c>
      <c r="Y89">
        <v>0</v>
      </c>
      <c r="Z89">
        <v>3</v>
      </c>
      <c r="AA89">
        <v>0</v>
      </c>
      <c r="AB89" s="1" t="s">
        <v>82</v>
      </c>
      <c r="AC89" t="s">
        <v>46</v>
      </c>
      <c r="AD89" t="s">
        <v>53</v>
      </c>
      <c r="AE89" s="2">
        <v>518.75</v>
      </c>
    </row>
    <row r="90" spans="1:31" x14ac:dyDescent="0.35">
      <c r="A90">
        <v>30</v>
      </c>
      <c r="B90" s="1" t="s">
        <v>39</v>
      </c>
      <c r="C90" s="1" t="s">
        <v>40</v>
      </c>
      <c r="D90">
        <v>2</v>
      </c>
      <c r="E90">
        <v>3</v>
      </c>
      <c r="F90" s="1" t="s">
        <v>32</v>
      </c>
      <c r="G90">
        <v>3</v>
      </c>
      <c r="H90" s="1" t="s">
        <v>41</v>
      </c>
      <c r="I90">
        <v>2</v>
      </c>
      <c r="J90">
        <v>2</v>
      </c>
      <c r="K90" s="1" t="s">
        <v>52</v>
      </c>
      <c r="L90">
        <v>4</v>
      </c>
      <c r="M90" s="1" t="s">
        <v>43</v>
      </c>
      <c r="N90">
        <v>4152</v>
      </c>
      <c r="O90">
        <v>1</v>
      </c>
      <c r="P90" s="1" t="s">
        <v>39</v>
      </c>
      <c r="Q90">
        <v>19</v>
      </c>
      <c r="R90">
        <v>1</v>
      </c>
      <c r="S90">
        <v>3</v>
      </c>
      <c r="T90">
        <v>11</v>
      </c>
      <c r="U90">
        <v>3</v>
      </c>
      <c r="V90">
        <v>3</v>
      </c>
      <c r="W90">
        <v>11</v>
      </c>
      <c r="X90">
        <v>10</v>
      </c>
      <c r="Y90">
        <v>10</v>
      </c>
      <c r="Z90">
        <v>8</v>
      </c>
      <c r="AA90">
        <v>0</v>
      </c>
      <c r="AB90" s="1" t="s">
        <v>48</v>
      </c>
      <c r="AC90" t="s">
        <v>37</v>
      </c>
      <c r="AD90" t="s">
        <v>57</v>
      </c>
      <c r="AE90" s="2">
        <v>377.45454545454544</v>
      </c>
    </row>
    <row r="91" spans="1:31" x14ac:dyDescent="0.35">
      <c r="A91">
        <v>46</v>
      </c>
      <c r="B91" s="1" t="s">
        <v>30</v>
      </c>
      <c r="C91" s="1" t="s">
        <v>31</v>
      </c>
      <c r="D91">
        <v>9</v>
      </c>
      <c r="E91">
        <v>2</v>
      </c>
      <c r="F91" s="1" t="s">
        <v>49</v>
      </c>
      <c r="G91">
        <v>3</v>
      </c>
      <c r="H91" s="1" t="s">
        <v>41</v>
      </c>
      <c r="I91">
        <v>2</v>
      </c>
      <c r="J91">
        <v>3</v>
      </c>
      <c r="K91" s="1" t="s">
        <v>34</v>
      </c>
      <c r="L91">
        <v>4</v>
      </c>
      <c r="M91" s="1" t="s">
        <v>35</v>
      </c>
      <c r="N91">
        <v>9619</v>
      </c>
      <c r="O91">
        <v>1</v>
      </c>
      <c r="P91" s="1" t="s">
        <v>39</v>
      </c>
      <c r="Q91">
        <v>16</v>
      </c>
      <c r="R91">
        <v>4</v>
      </c>
      <c r="S91">
        <v>0</v>
      </c>
      <c r="T91">
        <v>9</v>
      </c>
      <c r="U91">
        <v>3</v>
      </c>
      <c r="V91">
        <v>3</v>
      </c>
      <c r="W91">
        <v>9</v>
      </c>
      <c r="X91">
        <v>8</v>
      </c>
      <c r="Y91">
        <v>4</v>
      </c>
      <c r="Z91">
        <v>7</v>
      </c>
      <c r="AA91">
        <v>1</v>
      </c>
      <c r="AB91" s="1" t="s">
        <v>82</v>
      </c>
      <c r="AC91" t="s">
        <v>37</v>
      </c>
      <c r="AD91" t="s">
        <v>38</v>
      </c>
      <c r="AE91" s="2">
        <v>1068.7777777777778</v>
      </c>
    </row>
    <row r="92" spans="1:31" x14ac:dyDescent="0.35">
      <c r="A92">
        <v>40</v>
      </c>
      <c r="B92" s="1" t="s">
        <v>39</v>
      </c>
      <c r="C92" s="1" t="s">
        <v>40</v>
      </c>
      <c r="D92">
        <v>1</v>
      </c>
      <c r="E92">
        <v>4</v>
      </c>
      <c r="F92" s="1" t="s">
        <v>32</v>
      </c>
      <c r="G92">
        <v>3</v>
      </c>
      <c r="H92" s="1" t="s">
        <v>41</v>
      </c>
      <c r="I92">
        <v>2</v>
      </c>
      <c r="J92">
        <v>4</v>
      </c>
      <c r="K92" s="1" t="s">
        <v>52</v>
      </c>
      <c r="L92">
        <v>2</v>
      </c>
      <c r="M92" s="1" t="s">
        <v>43</v>
      </c>
      <c r="N92">
        <v>13503</v>
      </c>
      <c r="O92">
        <v>1</v>
      </c>
      <c r="P92" s="1" t="s">
        <v>39</v>
      </c>
      <c r="Q92">
        <v>22</v>
      </c>
      <c r="R92">
        <v>4</v>
      </c>
      <c r="S92">
        <v>1</v>
      </c>
      <c r="T92">
        <v>22</v>
      </c>
      <c r="U92">
        <v>3</v>
      </c>
      <c r="V92">
        <v>2</v>
      </c>
      <c r="W92">
        <v>22</v>
      </c>
      <c r="X92">
        <v>3</v>
      </c>
      <c r="Y92">
        <v>11</v>
      </c>
      <c r="Z92">
        <v>11</v>
      </c>
      <c r="AA92">
        <v>0</v>
      </c>
      <c r="AB92" s="1" t="s">
        <v>36</v>
      </c>
      <c r="AC92" t="s">
        <v>56</v>
      </c>
      <c r="AD92" t="s">
        <v>57</v>
      </c>
      <c r="AE92" s="2">
        <v>613.77272727272725</v>
      </c>
    </row>
    <row r="93" spans="1:31" x14ac:dyDescent="0.35">
      <c r="A93">
        <v>51</v>
      </c>
      <c r="B93" s="1" t="s">
        <v>39</v>
      </c>
      <c r="C93" s="1" t="s">
        <v>31</v>
      </c>
      <c r="D93">
        <v>21</v>
      </c>
      <c r="E93">
        <v>4</v>
      </c>
      <c r="F93" s="1" t="s">
        <v>60</v>
      </c>
      <c r="G93">
        <v>3</v>
      </c>
      <c r="H93" s="1" t="s">
        <v>41</v>
      </c>
      <c r="I93">
        <v>3</v>
      </c>
      <c r="J93">
        <v>2</v>
      </c>
      <c r="K93" s="1" t="s">
        <v>34</v>
      </c>
      <c r="L93">
        <v>4</v>
      </c>
      <c r="M93" s="1" t="s">
        <v>35</v>
      </c>
      <c r="N93">
        <v>5441</v>
      </c>
      <c r="O93">
        <v>0</v>
      </c>
      <c r="P93" s="1" t="s">
        <v>30</v>
      </c>
      <c r="Q93">
        <v>22</v>
      </c>
      <c r="R93">
        <v>4</v>
      </c>
      <c r="S93">
        <v>0</v>
      </c>
      <c r="T93">
        <v>11</v>
      </c>
      <c r="U93">
        <v>2</v>
      </c>
      <c r="V93">
        <v>1</v>
      </c>
      <c r="W93">
        <v>10</v>
      </c>
      <c r="X93">
        <v>7</v>
      </c>
      <c r="Y93">
        <v>1</v>
      </c>
      <c r="Z93">
        <v>0</v>
      </c>
      <c r="AA93">
        <v>0</v>
      </c>
      <c r="AB93" s="1" t="s">
        <v>82</v>
      </c>
      <c r="AC93" t="s">
        <v>37</v>
      </c>
      <c r="AD93" t="s">
        <v>38</v>
      </c>
      <c r="AE93" s="2">
        <v>544.1</v>
      </c>
    </row>
    <row r="94" spans="1:31" x14ac:dyDescent="0.35">
      <c r="A94">
        <v>30</v>
      </c>
      <c r="B94" s="1" t="s">
        <v>39</v>
      </c>
      <c r="C94" s="1" t="s">
        <v>31</v>
      </c>
      <c r="D94">
        <v>4</v>
      </c>
      <c r="E94">
        <v>2</v>
      </c>
      <c r="F94" s="1" t="s">
        <v>49</v>
      </c>
      <c r="G94">
        <v>3</v>
      </c>
      <c r="H94" s="1" t="s">
        <v>33</v>
      </c>
      <c r="I94">
        <v>2</v>
      </c>
      <c r="J94">
        <v>2</v>
      </c>
      <c r="K94" s="1" t="s">
        <v>34</v>
      </c>
      <c r="L94">
        <v>2</v>
      </c>
      <c r="M94" s="1" t="s">
        <v>50</v>
      </c>
      <c r="N94">
        <v>5209</v>
      </c>
      <c r="O94">
        <v>1</v>
      </c>
      <c r="P94" s="1" t="s">
        <v>30</v>
      </c>
      <c r="Q94">
        <v>12</v>
      </c>
      <c r="R94">
        <v>2</v>
      </c>
      <c r="S94">
        <v>3</v>
      </c>
      <c r="T94">
        <v>11</v>
      </c>
      <c r="U94">
        <v>4</v>
      </c>
      <c r="V94">
        <v>2</v>
      </c>
      <c r="W94">
        <v>11</v>
      </c>
      <c r="X94">
        <v>8</v>
      </c>
      <c r="Y94">
        <v>2</v>
      </c>
      <c r="Z94">
        <v>7</v>
      </c>
      <c r="AA94">
        <v>0</v>
      </c>
      <c r="AB94" s="1" t="s">
        <v>48</v>
      </c>
      <c r="AC94" t="s">
        <v>37</v>
      </c>
      <c r="AD94" t="s">
        <v>57</v>
      </c>
      <c r="AE94" s="2">
        <v>473.54545454545456</v>
      </c>
    </row>
    <row r="95" spans="1:31" x14ac:dyDescent="0.35">
      <c r="A95">
        <v>46</v>
      </c>
      <c r="B95" s="1" t="s">
        <v>39</v>
      </c>
      <c r="C95" s="1" t="s">
        <v>40</v>
      </c>
      <c r="D95">
        <v>1</v>
      </c>
      <c r="E95">
        <v>3</v>
      </c>
      <c r="F95" s="1" t="s">
        <v>49</v>
      </c>
      <c r="G95">
        <v>3</v>
      </c>
      <c r="H95" s="1" t="s">
        <v>41</v>
      </c>
      <c r="I95">
        <v>2</v>
      </c>
      <c r="J95">
        <v>3</v>
      </c>
      <c r="K95" s="1" t="s">
        <v>52</v>
      </c>
      <c r="L95">
        <v>1</v>
      </c>
      <c r="M95" s="1" t="s">
        <v>43</v>
      </c>
      <c r="N95">
        <v>10673</v>
      </c>
      <c r="O95">
        <v>2</v>
      </c>
      <c r="P95" s="1" t="s">
        <v>30</v>
      </c>
      <c r="Q95">
        <v>13</v>
      </c>
      <c r="R95">
        <v>3</v>
      </c>
      <c r="S95">
        <v>1</v>
      </c>
      <c r="T95">
        <v>21</v>
      </c>
      <c r="U95">
        <v>5</v>
      </c>
      <c r="V95">
        <v>2</v>
      </c>
      <c r="W95">
        <v>10</v>
      </c>
      <c r="X95">
        <v>9</v>
      </c>
      <c r="Y95">
        <v>9</v>
      </c>
      <c r="Z95">
        <v>5</v>
      </c>
      <c r="AA95">
        <v>0</v>
      </c>
      <c r="AB95" s="1" t="s">
        <v>82</v>
      </c>
      <c r="AC95" t="s">
        <v>56</v>
      </c>
      <c r="AD95" t="s">
        <v>38</v>
      </c>
      <c r="AE95" s="2">
        <v>1067.3</v>
      </c>
    </row>
    <row r="96" spans="1:31" x14ac:dyDescent="0.35">
      <c r="A96">
        <v>32</v>
      </c>
      <c r="B96" s="1" t="s">
        <v>39</v>
      </c>
      <c r="C96" s="1" t="s">
        <v>31</v>
      </c>
      <c r="D96">
        <v>6</v>
      </c>
      <c r="E96">
        <v>4</v>
      </c>
      <c r="F96" s="1" t="s">
        <v>49</v>
      </c>
      <c r="G96">
        <v>2</v>
      </c>
      <c r="H96" s="1" t="s">
        <v>41</v>
      </c>
      <c r="I96">
        <v>3</v>
      </c>
      <c r="J96">
        <v>2</v>
      </c>
      <c r="K96" s="1" t="s">
        <v>34</v>
      </c>
      <c r="L96">
        <v>3</v>
      </c>
      <c r="M96" s="1" t="s">
        <v>35</v>
      </c>
      <c r="N96">
        <v>5010</v>
      </c>
      <c r="O96">
        <v>1</v>
      </c>
      <c r="P96" s="1" t="s">
        <v>39</v>
      </c>
      <c r="Q96">
        <v>16</v>
      </c>
      <c r="R96">
        <v>1</v>
      </c>
      <c r="S96">
        <v>0</v>
      </c>
      <c r="T96">
        <v>12</v>
      </c>
      <c r="U96">
        <v>0</v>
      </c>
      <c r="V96">
        <v>3</v>
      </c>
      <c r="W96">
        <v>11</v>
      </c>
      <c r="X96">
        <v>8</v>
      </c>
      <c r="Y96">
        <v>5</v>
      </c>
      <c r="Z96">
        <v>7</v>
      </c>
      <c r="AA96">
        <v>0</v>
      </c>
      <c r="AB96" s="1" t="s">
        <v>48</v>
      </c>
      <c r="AC96" t="s">
        <v>37</v>
      </c>
      <c r="AD96" t="s">
        <v>57</v>
      </c>
      <c r="AE96" s="2">
        <v>455.45454545454544</v>
      </c>
    </row>
    <row r="97" spans="1:31" x14ac:dyDescent="0.35">
      <c r="A97">
        <v>54</v>
      </c>
      <c r="B97" s="1" t="s">
        <v>39</v>
      </c>
      <c r="C97" s="1" t="s">
        <v>40</v>
      </c>
      <c r="D97">
        <v>2</v>
      </c>
      <c r="E97">
        <v>4</v>
      </c>
      <c r="F97" s="1" t="s">
        <v>61</v>
      </c>
      <c r="G97">
        <v>1</v>
      </c>
      <c r="H97" s="1" t="s">
        <v>33</v>
      </c>
      <c r="I97">
        <v>3</v>
      </c>
      <c r="J97">
        <v>3</v>
      </c>
      <c r="K97" s="1" t="s">
        <v>59</v>
      </c>
      <c r="L97">
        <v>3</v>
      </c>
      <c r="M97" s="1" t="s">
        <v>43</v>
      </c>
      <c r="N97">
        <v>13549</v>
      </c>
      <c r="O97">
        <v>9</v>
      </c>
      <c r="P97" s="1" t="s">
        <v>39</v>
      </c>
      <c r="Q97">
        <v>12</v>
      </c>
      <c r="R97">
        <v>1</v>
      </c>
      <c r="S97">
        <v>1</v>
      </c>
      <c r="T97">
        <v>16</v>
      </c>
      <c r="U97">
        <v>5</v>
      </c>
      <c r="V97">
        <v>1</v>
      </c>
      <c r="W97">
        <v>4</v>
      </c>
      <c r="X97">
        <v>3</v>
      </c>
      <c r="Y97">
        <v>0</v>
      </c>
      <c r="Z97">
        <v>3</v>
      </c>
      <c r="AA97">
        <v>0</v>
      </c>
      <c r="AB97" s="1" t="s">
        <v>82</v>
      </c>
      <c r="AC97" t="s">
        <v>56</v>
      </c>
      <c r="AD97" t="s">
        <v>53</v>
      </c>
      <c r="AE97" s="2">
        <v>3387.25</v>
      </c>
    </row>
    <row r="98" spans="1:31" x14ac:dyDescent="0.35">
      <c r="A98">
        <v>24</v>
      </c>
      <c r="B98" s="1" t="s">
        <v>39</v>
      </c>
      <c r="C98" s="1" t="s">
        <v>31</v>
      </c>
      <c r="D98">
        <v>3</v>
      </c>
      <c r="E98">
        <v>2</v>
      </c>
      <c r="F98" s="1" t="s">
        <v>44</v>
      </c>
      <c r="G98">
        <v>1</v>
      </c>
      <c r="H98" s="1" t="s">
        <v>33</v>
      </c>
      <c r="I98">
        <v>3</v>
      </c>
      <c r="J98">
        <v>2</v>
      </c>
      <c r="K98" s="1" t="s">
        <v>34</v>
      </c>
      <c r="L98">
        <v>3</v>
      </c>
      <c r="M98" s="1" t="s">
        <v>43</v>
      </c>
      <c r="N98">
        <v>4999</v>
      </c>
      <c r="O98">
        <v>0</v>
      </c>
      <c r="P98" s="1" t="s">
        <v>39</v>
      </c>
      <c r="Q98">
        <v>21</v>
      </c>
      <c r="R98">
        <v>1</v>
      </c>
      <c r="S98">
        <v>1</v>
      </c>
      <c r="T98">
        <v>4</v>
      </c>
      <c r="U98">
        <v>2</v>
      </c>
      <c r="V98">
        <v>2</v>
      </c>
      <c r="W98">
        <v>3</v>
      </c>
      <c r="X98">
        <v>2</v>
      </c>
      <c r="Y98">
        <v>0</v>
      </c>
      <c r="Z98">
        <v>2</v>
      </c>
      <c r="AA98">
        <v>0</v>
      </c>
      <c r="AB98" s="1" t="s">
        <v>54</v>
      </c>
      <c r="AC98" t="s">
        <v>37</v>
      </c>
      <c r="AD98" t="s">
        <v>53</v>
      </c>
      <c r="AE98" s="2">
        <v>1666.3333333333333</v>
      </c>
    </row>
    <row r="99" spans="1:31" x14ac:dyDescent="0.35">
      <c r="A99">
        <v>28</v>
      </c>
      <c r="B99" s="1" t="s">
        <v>39</v>
      </c>
      <c r="C99" s="1" t="s">
        <v>31</v>
      </c>
      <c r="D99">
        <v>4</v>
      </c>
      <c r="E99">
        <v>3</v>
      </c>
      <c r="F99" s="1" t="s">
        <v>49</v>
      </c>
      <c r="G99">
        <v>2</v>
      </c>
      <c r="H99" s="1" t="s">
        <v>41</v>
      </c>
      <c r="I99">
        <v>3</v>
      </c>
      <c r="J99">
        <v>2</v>
      </c>
      <c r="K99" s="1" t="s">
        <v>34</v>
      </c>
      <c r="L99">
        <v>3</v>
      </c>
      <c r="M99" s="1" t="s">
        <v>43</v>
      </c>
      <c r="N99">
        <v>4221</v>
      </c>
      <c r="O99">
        <v>1</v>
      </c>
      <c r="P99" s="1" t="s">
        <v>39</v>
      </c>
      <c r="Q99">
        <v>15</v>
      </c>
      <c r="R99">
        <v>2</v>
      </c>
      <c r="S99">
        <v>0</v>
      </c>
      <c r="T99">
        <v>5</v>
      </c>
      <c r="U99">
        <v>3</v>
      </c>
      <c r="V99">
        <v>4</v>
      </c>
      <c r="W99">
        <v>5</v>
      </c>
      <c r="X99">
        <v>4</v>
      </c>
      <c r="Y99">
        <v>0</v>
      </c>
      <c r="Z99">
        <v>4</v>
      </c>
      <c r="AA99">
        <v>0</v>
      </c>
      <c r="AB99" s="1" t="s">
        <v>48</v>
      </c>
      <c r="AC99" t="s">
        <v>37</v>
      </c>
      <c r="AD99" t="s">
        <v>53</v>
      </c>
      <c r="AE99" s="2">
        <v>844.2</v>
      </c>
    </row>
    <row r="100" spans="1:31" x14ac:dyDescent="0.35">
      <c r="A100">
        <v>58</v>
      </c>
      <c r="B100" s="1" t="s">
        <v>39</v>
      </c>
      <c r="C100" s="1" t="s">
        <v>31</v>
      </c>
      <c r="D100">
        <v>10</v>
      </c>
      <c r="E100">
        <v>4</v>
      </c>
      <c r="F100" s="1" t="s">
        <v>49</v>
      </c>
      <c r="G100">
        <v>4</v>
      </c>
      <c r="H100" s="1" t="s">
        <v>41</v>
      </c>
      <c r="I100">
        <v>3</v>
      </c>
      <c r="J100">
        <v>4</v>
      </c>
      <c r="K100" s="1" t="s">
        <v>34</v>
      </c>
      <c r="L100">
        <v>3</v>
      </c>
      <c r="M100" s="1" t="s">
        <v>35</v>
      </c>
      <c r="N100">
        <v>13872</v>
      </c>
      <c r="O100">
        <v>0</v>
      </c>
      <c r="P100" s="1" t="s">
        <v>39</v>
      </c>
      <c r="Q100">
        <v>13</v>
      </c>
      <c r="R100">
        <v>3</v>
      </c>
      <c r="S100">
        <v>0</v>
      </c>
      <c r="T100">
        <v>38</v>
      </c>
      <c r="U100">
        <v>1</v>
      </c>
      <c r="V100">
        <v>2</v>
      </c>
      <c r="W100">
        <v>37</v>
      </c>
      <c r="X100">
        <v>10</v>
      </c>
      <c r="Y100">
        <v>1</v>
      </c>
      <c r="Z100">
        <v>8</v>
      </c>
      <c r="AA100">
        <v>0</v>
      </c>
      <c r="AB100" s="1" t="s">
        <v>82</v>
      </c>
      <c r="AC100" t="s">
        <v>56</v>
      </c>
      <c r="AD100" t="s">
        <v>57</v>
      </c>
      <c r="AE100" s="2">
        <v>374.91891891891891</v>
      </c>
    </row>
    <row r="101" spans="1:31" x14ac:dyDescent="0.35">
      <c r="A101">
        <v>44</v>
      </c>
      <c r="B101" s="1" t="s">
        <v>39</v>
      </c>
      <c r="C101" s="1" t="s">
        <v>40</v>
      </c>
      <c r="D101">
        <v>23</v>
      </c>
      <c r="E101">
        <v>3</v>
      </c>
      <c r="F101" s="1" t="s">
        <v>49</v>
      </c>
      <c r="G101">
        <v>2</v>
      </c>
      <c r="H101" s="1" t="s">
        <v>41</v>
      </c>
      <c r="I101">
        <v>3</v>
      </c>
      <c r="J101">
        <v>2</v>
      </c>
      <c r="K101" s="1" t="s">
        <v>45</v>
      </c>
      <c r="L101">
        <v>2</v>
      </c>
      <c r="M101" s="1" t="s">
        <v>43</v>
      </c>
      <c r="N101">
        <v>2042</v>
      </c>
      <c r="O101">
        <v>4</v>
      </c>
      <c r="P101" s="1" t="s">
        <v>39</v>
      </c>
      <c r="Q101">
        <v>12</v>
      </c>
      <c r="R101">
        <v>3</v>
      </c>
      <c r="S101">
        <v>1</v>
      </c>
      <c r="T101">
        <v>17</v>
      </c>
      <c r="U101">
        <v>3</v>
      </c>
      <c r="V101">
        <v>4</v>
      </c>
      <c r="W101">
        <v>3</v>
      </c>
      <c r="X101">
        <v>2</v>
      </c>
      <c r="Y101">
        <v>1</v>
      </c>
      <c r="Z101">
        <v>2</v>
      </c>
      <c r="AA101">
        <v>0</v>
      </c>
      <c r="AB101" s="1" t="s">
        <v>36</v>
      </c>
      <c r="AC101" t="s">
        <v>46</v>
      </c>
      <c r="AD101" t="s">
        <v>53</v>
      </c>
      <c r="AE101" s="2">
        <v>680.66666666666663</v>
      </c>
    </row>
    <row r="102" spans="1:31" x14ac:dyDescent="0.35">
      <c r="A102">
        <v>37</v>
      </c>
      <c r="B102" s="1" t="s">
        <v>30</v>
      </c>
      <c r="C102" s="1" t="s">
        <v>62</v>
      </c>
      <c r="D102">
        <v>6</v>
      </c>
      <c r="E102">
        <v>4</v>
      </c>
      <c r="F102" s="1" t="s">
        <v>62</v>
      </c>
      <c r="G102">
        <v>3</v>
      </c>
      <c r="H102" s="1" t="s">
        <v>41</v>
      </c>
      <c r="I102">
        <v>3</v>
      </c>
      <c r="J102">
        <v>1</v>
      </c>
      <c r="K102" s="1" t="s">
        <v>62</v>
      </c>
      <c r="L102">
        <v>1</v>
      </c>
      <c r="M102" s="1" t="s">
        <v>50</v>
      </c>
      <c r="N102">
        <v>2073</v>
      </c>
      <c r="O102">
        <v>4</v>
      </c>
      <c r="P102" s="1" t="s">
        <v>30</v>
      </c>
      <c r="Q102">
        <v>22</v>
      </c>
      <c r="R102">
        <v>4</v>
      </c>
      <c r="S102">
        <v>0</v>
      </c>
      <c r="T102">
        <v>7</v>
      </c>
      <c r="U102">
        <v>3</v>
      </c>
      <c r="V102">
        <v>3</v>
      </c>
      <c r="W102">
        <v>3</v>
      </c>
      <c r="X102">
        <v>2</v>
      </c>
      <c r="Y102">
        <v>0</v>
      </c>
      <c r="Z102">
        <v>2</v>
      </c>
      <c r="AA102">
        <v>1</v>
      </c>
      <c r="AB102" s="1" t="s">
        <v>36</v>
      </c>
      <c r="AC102" t="s">
        <v>46</v>
      </c>
      <c r="AD102" t="s">
        <v>53</v>
      </c>
      <c r="AE102" s="2">
        <v>691</v>
      </c>
    </row>
    <row r="103" spans="1:31" x14ac:dyDescent="0.35">
      <c r="A103">
        <v>32</v>
      </c>
      <c r="B103" s="1" t="s">
        <v>39</v>
      </c>
      <c r="C103" s="1" t="s">
        <v>40</v>
      </c>
      <c r="D103">
        <v>1</v>
      </c>
      <c r="E103">
        <v>1</v>
      </c>
      <c r="F103" s="1" t="s">
        <v>32</v>
      </c>
      <c r="G103">
        <v>4</v>
      </c>
      <c r="H103" s="1" t="s">
        <v>41</v>
      </c>
      <c r="I103">
        <v>3</v>
      </c>
      <c r="J103">
        <v>1</v>
      </c>
      <c r="K103" s="1" t="s">
        <v>42</v>
      </c>
      <c r="L103">
        <v>1</v>
      </c>
      <c r="M103" s="1" t="s">
        <v>35</v>
      </c>
      <c r="N103">
        <v>2956</v>
      </c>
      <c r="O103">
        <v>1</v>
      </c>
      <c r="P103" s="1" t="s">
        <v>39</v>
      </c>
      <c r="Q103">
        <v>13</v>
      </c>
      <c r="R103">
        <v>4</v>
      </c>
      <c r="S103">
        <v>0</v>
      </c>
      <c r="T103">
        <v>1</v>
      </c>
      <c r="U103">
        <v>2</v>
      </c>
      <c r="V103">
        <v>3</v>
      </c>
      <c r="W103">
        <v>1</v>
      </c>
      <c r="X103">
        <v>0</v>
      </c>
      <c r="Y103">
        <v>0</v>
      </c>
      <c r="Z103">
        <v>0</v>
      </c>
      <c r="AA103">
        <v>0</v>
      </c>
      <c r="AB103" s="1" t="s">
        <v>48</v>
      </c>
      <c r="AC103" t="s">
        <v>46</v>
      </c>
      <c r="AD103" t="s">
        <v>47</v>
      </c>
      <c r="AE103" s="2">
        <v>2956</v>
      </c>
    </row>
    <row r="104" spans="1:31" x14ac:dyDescent="0.35">
      <c r="A104">
        <v>20</v>
      </c>
      <c r="B104" s="1" t="s">
        <v>30</v>
      </c>
      <c r="C104" s="1" t="s">
        <v>40</v>
      </c>
      <c r="D104">
        <v>6</v>
      </c>
      <c r="E104">
        <v>3</v>
      </c>
      <c r="F104" s="1" t="s">
        <v>32</v>
      </c>
      <c r="G104">
        <v>4</v>
      </c>
      <c r="H104" s="1" t="s">
        <v>33</v>
      </c>
      <c r="I104">
        <v>2</v>
      </c>
      <c r="J104">
        <v>1</v>
      </c>
      <c r="K104" s="1" t="s">
        <v>45</v>
      </c>
      <c r="L104">
        <v>4</v>
      </c>
      <c r="M104" s="1" t="s">
        <v>35</v>
      </c>
      <c r="N104">
        <v>2926</v>
      </c>
      <c r="O104">
        <v>1</v>
      </c>
      <c r="P104" s="1" t="s">
        <v>30</v>
      </c>
      <c r="Q104">
        <v>18</v>
      </c>
      <c r="R104">
        <v>2</v>
      </c>
      <c r="S104">
        <v>0</v>
      </c>
      <c r="T104">
        <v>1</v>
      </c>
      <c r="U104">
        <v>5</v>
      </c>
      <c r="V104">
        <v>3</v>
      </c>
      <c r="W104">
        <v>1</v>
      </c>
      <c r="X104">
        <v>0</v>
      </c>
      <c r="Y104">
        <v>1</v>
      </c>
      <c r="Z104">
        <v>0</v>
      </c>
      <c r="AA104">
        <v>1</v>
      </c>
      <c r="AB104" s="1" t="s">
        <v>54</v>
      </c>
      <c r="AC104" t="s">
        <v>46</v>
      </c>
      <c r="AD104" t="s">
        <v>47</v>
      </c>
      <c r="AE104" s="2">
        <v>2926</v>
      </c>
    </row>
    <row r="105" spans="1:31" x14ac:dyDescent="0.35">
      <c r="A105">
        <v>34</v>
      </c>
      <c r="B105" s="1" t="s">
        <v>39</v>
      </c>
      <c r="C105" s="1" t="s">
        <v>40</v>
      </c>
      <c r="D105">
        <v>6</v>
      </c>
      <c r="E105">
        <v>4</v>
      </c>
      <c r="F105" s="1" t="s">
        <v>44</v>
      </c>
      <c r="G105">
        <v>1</v>
      </c>
      <c r="H105" s="1" t="s">
        <v>33</v>
      </c>
      <c r="I105">
        <v>3</v>
      </c>
      <c r="J105">
        <v>2</v>
      </c>
      <c r="K105" s="1" t="s">
        <v>42</v>
      </c>
      <c r="L105">
        <v>3</v>
      </c>
      <c r="M105" s="1" t="s">
        <v>35</v>
      </c>
      <c r="N105">
        <v>4809</v>
      </c>
      <c r="O105">
        <v>1</v>
      </c>
      <c r="P105" s="1" t="s">
        <v>39</v>
      </c>
      <c r="Q105">
        <v>14</v>
      </c>
      <c r="R105">
        <v>3</v>
      </c>
      <c r="S105">
        <v>0</v>
      </c>
      <c r="T105">
        <v>16</v>
      </c>
      <c r="U105">
        <v>3</v>
      </c>
      <c r="V105">
        <v>3</v>
      </c>
      <c r="W105">
        <v>16</v>
      </c>
      <c r="X105">
        <v>13</v>
      </c>
      <c r="Y105">
        <v>2</v>
      </c>
      <c r="Z105">
        <v>10</v>
      </c>
      <c r="AA105">
        <v>0</v>
      </c>
      <c r="AB105" s="1" t="s">
        <v>48</v>
      </c>
      <c r="AC105" t="s">
        <v>37</v>
      </c>
      <c r="AD105" t="s">
        <v>57</v>
      </c>
      <c r="AE105" s="2">
        <v>300.5625</v>
      </c>
    </row>
    <row r="106" spans="1:31" x14ac:dyDescent="0.35">
      <c r="A106">
        <v>37</v>
      </c>
      <c r="B106" s="1" t="s">
        <v>39</v>
      </c>
      <c r="C106" s="1" t="s">
        <v>40</v>
      </c>
      <c r="D106">
        <v>2</v>
      </c>
      <c r="E106">
        <v>2</v>
      </c>
      <c r="F106" s="1" t="s">
        <v>32</v>
      </c>
      <c r="G106">
        <v>3</v>
      </c>
      <c r="H106" s="1" t="s">
        <v>41</v>
      </c>
      <c r="I106">
        <v>2</v>
      </c>
      <c r="J106">
        <v>2</v>
      </c>
      <c r="K106" s="1" t="s">
        <v>52</v>
      </c>
      <c r="L106">
        <v>4</v>
      </c>
      <c r="M106" s="1" t="s">
        <v>50</v>
      </c>
      <c r="N106">
        <v>5163</v>
      </c>
      <c r="O106">
        <v>5</v>
      </c>
      <c r="P106" s="1" t="s">
        <v>39</v>
      </c>
      <c r="Q106">
        <v>14</v>
      </c>
      <c r="R106">
        <v>4</v>
      </c>
      <c r="S106">
        <v>1</v>
      </c>
      <c r="T106">
        <v>17</v>
      </c>
      <c r="U106">
        <v>2</v>
      </c>
      <c r="V106">
        <v>4</v>
      </c>
      <c r="W106">
        <v>1</v>
      </c>
      <c r="X106">
        <v>0</v>
      </c>
      <c r="Y106">
        <v>0</v>
      </c>
      <c r="Z106">
        <v>0</v>
      </c>
      <c r="AA106">
        <v>0</v>
      </c>
      <c r="AB106" s="1" t="s">
        <v>36</v>
      </c>
      <c r="AC106" t="s">
        <v>37</v>
      </c>
      <c r="AD106" t="s">
        <v>47</v>
      </c>
      <c r="AE106" s="2">
        <v>5163</v>
      </c>
    </row>
    <row r="107" spans="1:31" x14ac:dyDescent="0.35">
      <c r="A107">
        <v>59</v>
      </c>
      <c r="B107" s="1" t="s">
        <v>39</v>
      </c>
      <c r="C107" s="1" t="s">
        <v>62</v>
      </c>
      <c r="D107">
        <v>2</v>
      </c>
      <c r="E107">
        <v>4</v>
      </c>
      <c r="F107" s="1" t="s">
        <v>62</v>
      </c>
      <c r="G107">
        <v>3</v>
      </c>
      <c r="H107" s="1" t="s">
        <v>33</v>
      </c>
      <c r="I107">
        <v>2</v>
      </c>
      <c r="J107">
        <v>5</v>
      </c>
      <c r="K107" s="1" t="s">
        <v>55</v>
      </c>
      <c r="L107">
        <v>4</v>
      </c>
      <c r="M107" s="1" t="s">
        <v>43</v>
      </c>
      <c r="N107">
        <v>18844</v>
      </c>
      <c r="O107">
        <v>9</v>
      </c>
      <c r="P107" s="1" t="s">
        <v>39</v>
      </c>
      <c r="Q107">
        <v>21</v>
      </c>
      <c r="R107">
        <v>4</v>
      </c>
      <c r="S107">
        <v>1</v>
      </c>
      <c r="T107">
        <v>30</v>
      </c>
      <c r="U107">
        <v>3</v>
      </c>
      <c r="V107">
        <v>3</v>
      </c>
      <c r="W107">
        <v>3</v>
      </c>
      <c r="X107">
        <v>2</v>
      </c>
      <c r="Y107">
        <v>2</v>
      </c>
      <c r="Z107">
        <v>2</v>
      </c>
      <c r="AA107">
        <v>0</v>
      </c>
      <c r="AB107" s="1" t="s">
        <v>82</v>
      </c>
      <c r="AC107" t="s">
        <v>56</v>
      </c>
      <c r="AD107" t="s">
        <v>53</v>
      </c>
      <c r="AE107" s="2">
        <v>6281.333333333333</v>
      </c>
    </row>
    <row r="108" spans="1:31" x14ac:dyDescent="0.35">
      <c r="A108">
        <v>50</v>
      </c>
      <c r="B108" s="1" t="s">
        <v>39</v>
      </c>
      <c r="C108" s="1" t="s">
        <v>40</v>
      </c>
      <c r="D108">
        <v>1</v>
      </c>
      <c r="E108">
        <v>3</v>
      </c>
      <c r="F108" s="1" t="s">
        <v>32</v>
      </c>
      <c r="G108">
        <v>1</v>
      </c>
      <c r="H108" s="1" t="s">
        <v>33</v>
      </c>
      <c r="I108">
        <v>3</v>
      </c>
      <c r="J108">
        <v>5</v>
      </c>
      <c r="K108" s="1" t="s">
        <v>59</v>
      </c>
      <c r="L108">
        <v>2</v>
      </c>
      <c r="M108" s="1" t="s">
        <v>43</v>
      </c>
      <c r="N108">
        <v>18172</v>
      </c>
      <c r="O108">
        <v>3</v>
      </c>
      <c r="P108" s="1" t="s">
        <v>30</v>
      </c>
      <c r="Q108">
        <v>19</v>
      </c>
      <c r="R108">
        <v>1</v>
      </c>
      <c r="S108">
        <v>0</v>
      </c>
      <c r="T108">
        <v>28</v>
      </c>
      <c r="U108">
        <v>1</v>
      </c>
      <c r="V108">
        <v>2</v>
      </c>
      <c r="W108">
        <v>8</v>
      </c>
      <c r="X108">
        <v>3</v>
      </c>
      <c r="Y108">
        <v>0</v>
      </c>
      <c r="Z108">
        <v>7</v>
      </c>
      <c r="AA108">
        <v>0</v>
      </c>
      <c r="AB108" s="1" t="s">
        <v>82</v>
      </c>
      <c r="AC108" t="s">
        <v>56</v>
      </c>
      <c r="AD108" t="s">
        <v>38</v>
      </c>
      <c r="AE108" s="2">
        <v>2271.5</v>
      </c>
    </row>
    <row r="109" spans="1:31" x14ac:dyDescent="0.35">
      <c r="A109">
        <v>25</v>
      </c>
      <c r="B109" s="1" t="s">
        <v>30</v>
      </c>
      <c r="C109" s="1" t="s">
        <v>31</v>
      </c>
      <c r="D109">
        <v>5</v>
      </c>
      <c r="E109">
        <v>3</v>
      </c>
      <c r="F109" s="1" t="s">
        <v>60</v>
      </c>
      <c r="G109">
        <v>3</v>
      </c>
      <c r="H109" s="1" t="s">
        <v>41</v>
      </c>
      <c r="I109">
        <v>2</v>
      </c>
      <c r="J109">
        <v>2</v>
      </c>
      <c r="K109" s="1" t="s">
        <v>34</v>
      </c>
      <c r="L109">
        <v>3</v>
      </c>
      <c r="M109" s="1" t="s">
        <v>35</v>
      </c>
      <c r="N109">
        <v>5744</v>
      </c>
      <c r="O109">
        <v>1</v>
      </c>
      <c r="P109" s="1" t="s">
        <v>30</v>
      </c>
      <c r="Q109">
        <v>11</v>
      </c>
      <c r="R109">
        <v>4</v>
      </c>
      <c r="S109">
        <v>0</v>
      </c>
      <c r="T109">
        <v>6</v>
      </c>
      <c r="U109">
        <v>1</v>
      </c>
      <c r="V109">
        <v>3</v>
      </c>
      <c r="W109">
        <v>6</v>
      </c>
      <c r="X109">
        <v>4</v>
      </c>
      <c r="Y109">
        <v>0</v>
      </c>
      <c r="Z109">
        <v>3</v>
      </c>
      <c r="AA109">
        <v>1</v>
      </c>
      <c r="AB109" s="1" t="s">
        <v>54</v>
      </c>
      <c r="AC109" t="s">
        <v>37</v>
      </c>
      <c r="AD109" t="s">
        <v>38</v>
      </c>
      <c r="AE109" s="2">
        <v>957.33333333333337</v>
      </c>
    </row>
    <row r="110" spans="1:31" x14ac:dyDescent="0.35">
      <c r="A110">
        <v>25</v>
      </c>
      <c r="B110" s="1" t="s">
        <v>39</v>
      </c>
      <c r="C110" s="1" t="s">
        <v>40</v>
      </c>
      <c r="D110">
        <v>7</v>
      </c>
      <c r="E110">
        <v>1</v>
      </c>
      <c r="F110" s="1" t="s">
        <v>49</v>
      </c>
      <c r="G110">
        <v>4</v>
      </c>
      <c r="H110" s="1" t="s">
        <v>41</v>
      </c>
      <c r="I110">
        <v>2</v>
      </c>
      <c r="J110">
        <v>1</v>
      </c>
      <c r="K110" s="1" t="s">
        <v>42</v>
      </c>
      <c r="L110">
        <v>4</v>
      </c>
      <c r="M110" s="1" t="s">
        <v>43</v>
      </c>
      <c r="N110">
        <v>2889</v>
      </c>
      <c r="O110">
        <v>1</v>
      </c>
      <c r="P110" s="1" t="s">
        <v>39</v>
      </c>
      <c r="Q110">
        <v>11</v>
      </c>
      <c r="R110">
        <v>3</v>
      </c>
      <c r="S110">
        <v>2</v>
      </c>
      <c r="T110">
        <v>2</v>
      </c>
      <c r="U110">
        <v>2</v>
      </c>
      <c r="V110">
        <v>3</v>
      </c>
      <c r="W110">
        <v>2</v>
      </c>
      <c r="X110">
        <v>2</v>
      </c>
      <c r="Y110">
        <v>2</v>
      </c>
      <c r="Z110">
        <v>1</v>
      </c>
      <c r="AA110">
        <v>0</v>
      </c>
      <c r="AB110" s="1" t="s">
        <v>54</v>
      </c>
      <c r="AC110" t="s">
        <v>46</v>
      </c>
      <c r="AD110" t="s">
        <v>47</v>
      </c>
      <c r="AE110" s="2">
        <v>1444.5</v>
      </c>
    </row>
    <row r="111" spans="1:31" x14ac:dyDescent="0.35">
      <c r="A111">
        <v>22</v>
      </c>
      <c r="B111" s="1" t="s">
        <v>39</v>
      </c>
      <c r="C111" s="1" t="s">
        <v>40</v>
      </c>
      <c r="D111">
        <v>15</v>
      </c>
      <c r="E111">
        <v>3</v>
      </c>
      <c r="F111" s="1" t="s">
        <v>49</v>
      </c>
      <c r="G111">
        <v>2</v>
      </c>
      <c r="H111" s="1" t="s">
        <v>33</v>
      </c>
      <c r="I111">
        <v>3</v>
      </c>
      <c r="J111">
        <v>1</v>
      </c>
      <c r="K111" s="1" t="s">
        <v>45</v>
      </c>
      <c r="L111">
        <v>4</v>
      </c>
      <c r="M111" s="1" t="s">
        <v>35</v>
      </c>
      <c r="N111">
        <v>2871</v>
      </c>
      <c r="O111">
        <v>1</v>
      </c>
      <c r="P111" s="1" t="s">
        <v>39</v>
      </c>
      <c r="Q111">
        <v>15</v>
      </c>
      <c r="R111">
        <v>3</v>
      </c>
      <c r="S111">
        <v>0</v>
      </c>
      <c r="T111">
        <v>1</v>
      </c>
      <c r="U111">
        <v>5</v>
      </c>
      <c r="V111">
        <v>3</v>
      </c>
      <c r="W111">
        <v>0</v>
      </c>
      <c r="X111">
        <v>0</v>
      </c>
      <c r="Y111">
        <v>0</v>
      </c>
      <c r="Z111">
        <v>0</v>
      </c>
      <c r="AA111">
        <v>0</v>
      </c>
      <c r="AB111" s="1" t="s">
        <v>54</v>
      </c>
      <c r="AC111" t="s">
        <v>46</v>
      </c>
      <c r="AD111" t="s">
        <v>47</v>
      </c>
      <c r="AE111" s="2">
        <v>2871</v>
      </c>
    </row>
    <row r="112" spans="1:31" x14ac:dyDescent="0.35">
      <c r="A112">
        <v>51</v>
      </c>
      <c r="B112" s="1" t="s">
        <v>39</v>
      </c>
      <c r="C112" s="1" t="s">
        <v>40</v>
      </c>
      <c r="D112">
        <v>1</v>
      </c>
      <c r="E112">
        <v>4</v>
      </c>
      <c r="F112" s="1" t="s">
        <v>49</v>
      </c>
      <c r="G112">
        <v>1</v>
      </c>
      <c r="H112" s="1" t="s">
        <v>33</v>
      </c>
      <c r="I112">
        <v>2</v>
      </c>
      <c r="J112">
        <v>3</v>
      </c>
      <c r="K112" s="1" t="s">
        <v>52</v>
      </c>
      <c r="L112">
        <v>1</v>
      </c>
      <c r="M112" s="1" t="s">
        <v>35</v>
      </c>
      <c r="N112">
        <v>7484</v>
      </c>
      <c r="O112">
        <v>3</v>
      </c>
      <c r="P112" s="1" t="s">
        <v>39</v>
      </c>
      <c r="Q112">
        <v>20</v>
      </c>
      <c r="R112">
        <v>3</v>
      </c>
      <c r="S112">
        <v>0</v>
      </c>
      <c r="T112">
        <v>23</v>
      </c>
      <c r="U112">
        <v>1</v>
      </c>
      <c r="V112">
        <v>2</v>
      </c>
      <c r="W112">
        <v>13</v>
      </c>
      <c r="X112">
        <v>12</v>
      </c>
      <c r="Y112">
        <v>12</v>
      </c>
      <c r="Z112">
        <v>8</v>
      </c>
      <c r="AA112">
        <v>0</v>
      </c>
      <c r="AB112" s="1" t="s">
        <v>82</v>
      </c>
      <c r="AC112" t="s">
        <v>37</v>
      </c>
      <c r="AD112" t="s">
        <v>57</v>
      </c>
      <c r="AE112" s="2">
        <v>575.69230769230774</v>
      </c>
    </row>
    <row r="113" spans="1:31" x14ac:dyDescent="0.35">
      <c r="A113">
        <v>34</v>
      </c>
      <c r="B113" s="1" t="s">
        <v>30</v>
      </c>
      <c r="C113" s="1" t="s">
        <v>40</v>
      </c>
      <c r="D113">
        <v>7</v>
      </c>
      <c r="E113">
        <v>3</v>
      </c>
      <c r="F113" s="1" t="s">
        <v>32</v>
      </c>
      <c r="G113">
        <v>1</v>
      </c>
      <c r="H113" s="1" t="s">
        <v>41</v>
      </c>
      <c r="I113">
        <v>1</v>
      </c>
      <c r="J113">
        <v>2</v>
      </c>
      <c r="K113" s="1" t="s">
        <v>45</v>
      </c>
      <c r="L113">
        <v>3</v>
      </c>
      <c r="M113" s="1" t="s">
        <v>35</v>
      </c>
      <c r="N113">
        <v>6074</v>
      </c>
      <c r="O113">
        <v>1</v>
      </c>
      <c r="P113" s="1" t="s">
        <v>30</v>
      </c>
      <c r="Q113">
        <v>24</v>
      </c>
      <c r="R113">
        <v>4</v>
      </c>
      <c r="S113">
        <v>0</v>
      </c>
      <c r="T113">
        <v>9</v>
      </c>
      <c r="U113">
        <v>3</v>
      </c>
      <c r="V113">
        <v>3</v>
      </c>
      <c r="W113">
        <v>9</v>
      </c>
      <c r="X113">
        <v>7</v>
      </c>
      <c r="Y113">
        <v>0</v>
      </c>
      <c r="Z113">
        <v>6</v>
      </c>
      <c r="AA113">
        <v>1</v>
      </c>
      <c r="AB113" s="1" t="s">
        <v>48</v>
      </c>
      <c r="AC113" t="s">
        <v>37</v>
      </c>
      <c r="AD113" t="s">
        <v>38</v>
      </c>
      <c r="AE113" s="2">
        <v>674.88888888888891</v>
      </c>
    </row>
    <row r="114" spans="1:31" x14ac:dyDescent="0.35">
      <c r="A114">
        <v>54</v>
      </c>
      <c r="B114" s="1" t="s">
        <v>39</v>
      </c>
      <c r="C114" s="1" t="s">
        <v>62</v>
      </c>
      <c r="D114">
        <v>26</v>
      </c>
      <c r="E114">
        <v>3</v>
      </c>
      <c r="F114" s="1" t="s">
        <v>62</v>
      </c>
      <c r="G114">
        <v>4</v>
      </c>
      <c r="H114" s="1" t="s">
        <v>33</v>
      </c>
      <c r="I114">
        <v>4</v>
      </c>
      <c r="J114">
        <v>4</v>
      </c>
      <c r="K114" s="1" t="s">
        <v>55</v>
      </c>
      <c r="L114">
        <v>4</v>
      </c>
      <c r="M114" s="1" t="s">
        <v>35</v>
      </c>
      <c r="N114">
        <v>17328</v>
      </c>
      <c r="O114">
        <v>2</v>
      </c>
      <c r="P114" s="1" t="s">
        <v>30</v>
      </c>
      <c r="Q114">
        <v>12</v>
      </c>
      <c r="R114">
        <v>3</v>
      </c>
      <c r="S114">
        <v>0</v>
      </c>
      <c r="T114">
        <v>23</v>
      </c>
      <c r="U114">
        <v>3</v>
      </c>
      <c r="V114">
        <v>3</v>
      </c>
      <c r="W114">
        <v>5</v>
      </c>
      <c r="X114">
        <v>3</v>
      </c>
      <c r="Y114">
        <v>4</v>
      </c>
      <c r="Z114">
        <v>4</v>
      </c>
      <c r="AA114">
        <v>0</v>
      </c>
      <c r="AB114" s="1" t="s">
        <v>82</v>
      </c>
      <c r="AC114" t="s">
        <v>56</v>
      </c>
      <c r="AD114" t="s">
        <v>53</v>
      </c>
      <c r="AE114" s="2">
        <v>3465.6</v>
      </c>
    </row>
    <row r="115" spans="1:31" x14ac:dyDescent="0.35">
      <c r="A115">
        <v>24</v>
      </c>
      <c r="B115" s="1" t="s">
        <v>39</v>
      </c>
      <c r="C115" s="1" t="s">
        <v>40</v>
      </c>
      <c r="D115">
        <v>18</v>
      </c>
      <c r="E115">
        <v>1</v>
      </c>
      <c r="F115" s="1" t="s">
        <v>32</v>
      </c>
      <c r="G115">
        <v>2</v>
      </c>
      <c r="H115" s="1" t="s">
        <v>41</v>
      </c>
      <c r="I115">
        <v>3</v>
      </c>
      <c r="J115">
        <v>1</v>
      </c>
      <c r="K115" s="1" t="s">
        <v>45</v>
      </c>
      <c r="L115">
        <v>3</v>
      </c>
      <c r="M115" s="1" t="s">
        <v>43</v>
      </c>
      <c r="N115">
        <v>2774</v>
      </c>
      <c r="O115">
        <v>0</v>
      </c>
      <c r="P115" s="1" t="s">
        <v>39</v>
      </c>
      <c r="Q115">
        <v>12</v>
      </c>
      <c r="R115">
        <v>3</v>
      </c>
      <c r="S115">
        <v>1</v>
      </c>
      <c r="T115">
        <v>6</v>
      </c>
      <c r="U115">
        <v>2</v>
      </c>
      <c r="V115">
        <v>3</v>
      </c>
      <c r="W115">
        <v>5</v>
      </c>
      <c r="X115">
        <v>3</v>
      </c>
      <c r="Y115">
        <v>1</v>
      </c>
      <c r="Z115">
        <v>2</v>
      </c>
      <c r="AA115">
        <v>0</v>
      </c>
      <c r="AB115" s="1" t="s">
        <v>54</v>
      </c>
      <c r="AC115" t="s">
        <v>46</v>
      </c>
      <c r="AD115" t="s">
        <v>53</v>
      </c>
      <c r="AE115" s="2">
        <v>554.79999999999995</v>
      </c>
    </row>
    <row r="116" spans="1:31" x14ac:dyDescent="0.35">
      <c r="A116">
        <v>34</v>
      </c>
      <c r="B116" s="1" t="s">
        <v>39</v>
      </c>
      <c r="C116" s="1" t="s">
        <v>40</v>
      </c>
      <c r="D116">
        <v>6</v>
      </c>
      <c r="E116">
        <v>4</v>
      </c>
      <c r="F116" s="1" t="s">
        <v>32</v>
      </c>
      <c r="G116">
        <v>3</v>
      </c>
      <c r="H116" s="1" t="s">
        <v>33</v>
      </c>
      <c r="I116">
        <v>2</v>
      </c>
      <c r="J116">
        <v>2</v>
      </c>
      <c r="K116" s="1" t="s">
        <v>42</v>
      </c>
      <c r="L116">
        <v>2</v>
      </c>
      <c r="M116" s="1" t="s">
        <v>50</v>
      </c>
      <c r="N116">
        <v>4505</v>
      </c>
      <c r="O116">
        <v>6</v>
      </c>
      <c r="P116" s="1" t="s">
        <v>39</v>
      </c>
      <c r="Q116">
        <v>15</v>
      </c>
      <c r="R116">
        <v>3</v>
      </c>
      <c r="S116">
        <v>1</v>
      </c>
      <c r="T116">
        <v>12</v>
      </c>
      <c r="U116">
        <v>3</v>
      </c>
      <c r="V116">
        <v>3</v>
      </c>
      <c r="W116">
        <v>1</v>
      </c>
      <c r="X116">
        <v>0</v>
      </c>
      <c r="Y116">
        <v>0</v>
      </c>
      <c r="Z116">
        <v>0</v>
      </c>
      <c r="AA116">
        <v>0</v>
      </c>
      <c r="AB116" s="1" t="s">
        <v>48</v>
      </c>
      <c r="AC116" t="s">
        <v>37</v>
      </c>
      <c r="AD116" t="s">
        <v>47</v>
      </c>
      <c r="AE116" s="2">
        <v>4505</v>
      </c>
    </row>
    <row r="117" spans="1:31" x14ac:dyDescent="0.35">
      <c r="A117">
        <v>37</v>
      </c>
      <c r="B117" s="1" t="s">
        <v>39</v>
      </c>
      <c r="C117" s="1" t="s">
        <v>31</v>
      </c>
      <c r="D117">
        <v>3</v>
      </c>
      <c r="E117">
        <v>3</v>
      </c>
      <c r="F117" s="1" t="s">
        <v>32</v>
      </c>
      <c r="G117">
        <v>3</v>
      </c>
      <c r="H117" s="1" t="s">
        <v>41</v>
      </c>
      <c r="I117">
        <v>3</v>
      </c>
      <c r="J117">
        <v>3</v>
      </c>
      <c r="K117" s="1" t="s">
        <v>34</v>
      </c>
      <c r="L117">
        <v>4</v>
      </c>
      <c r="M117" s="1" t="s">
        <v>35</v>
      </c>
      <c r="N117">
        <v>7428</v>
      </c>
      <c r="O117">
        <v>2</v>
      </c>
      <c r="P117" s="1" t="s">
        <v>39</v>
      </c>
      <c r="Q117">
        <v>12</v>
      </c>
      <c r="R117">
        <v>1</v>
      </c>
      <c r="S117">
        <v>0</v>
      </c>
      <c r="T117">
        <v>12</v>
      </c>
      <c r="U117">
        <v>3</v>
      </c>
      <c r="V117">
        <v>3</v>
      </c>
      <c r="W117">
        <v>5</v>
      </c>
      <c r="X117">
        <v>3</v>
      </c>
      <c r="Y117">
        <v>1</v>
      </c>
      <c r="Z117">
        <v>3</v>
      </c>
      <c r="AA117">
        <v>0</v>
      </c>
      <c r="AB117" s="1" t="s">
        <v>36</v>
      </c>
      <c r="AC117" t="s">
        <v>37</v>
      </c>
      <c r="AD117" t="s">
        <v>53</v>
      </c>
      <c r="AE117" s="2">
        <v>1485.6</v>
      </c>
    </row>
    <row r="118" spans="1:31" x14ac:dyDescent="0.35">
      <c r="A118">
        <v>34</v>
      </c>
      <c r="B118" s="1" t="s">
        <v>39</v>
      </c>
      <c r="C118" s="1" t="s">
        <v>40</v>
      </c>
      <c r="D118">
        <v>5</v>
      </c>
      <c r="E118">
        <v>3</v>
      </c>
      <c r="F118" s="1" t="s">
        <v>49</v>
      </c>
      <c r="G118">
        <v>3</v>
      </c>
      <c r="H118" s="1" t="s">
        <v>33</v>
      </c>
      <c r="I118">
        <v>2</v>
      </c>
      <c r="J118">
        <v>3</v>
      </c>
      <c r="K118" s="1" t="s">
        <v>55</v>
      </c>
      <c r="L118">
        <v>1</v>
      </c>
      <c r="M118" s="1" t="s">
        <v>35</v>
      </c>
      <c r="N118">
        <v>11631</v>
      </c>
      <c r="O118">
        <v>2</v>
      </c>
      <c r="P118" s="1" t="s">
        <v>39</v>
      </c>
      <c r="Q118">
        <v>12</v>
      </c>
      <c r="R118">
        <v>4</v>
      </c>
      <c r="S118">
        <v>0</v>
      </c>
      <c r="T118">
        <v>14</v>
      </c>
      <c r="U118">
        <v>6</v>
      </c>
      <c r="V118">
        <v>3</v>
      </c>
      <c r="W118">
        <v>11</v>
      </c>
      <c r="X118">
        <v>10</v>
      </c>
      <c r="Y118">
        <v>5</v>
      </c>
      <c r="Z118">
        <v>8</v>
      </c>
      <c r="AA118">
        <v>0</v>
      </c>
      <c r="AB118" s="1" t="s">
        <v>48</v>
      </c>
      <c r="AC118" t="s">
        <v>56</v>
      </c>
      <c r="AD118" t="s">
        <v>57</v>
      </c>
      <c r="AE118" s="2">
        <v>1057.3636363636363</v>
      </c>
    </row>
    <row r="119" spans="1:31" x14ac:dyDescent="0.35">
      <c r="A119">
        <v>36</v>
      </c>
      <c r="B119" s="1" t="s">
        <v>39</v>
      </c>
      <c r="C119" s="1" t="s">
        <v>31</v>
      </c>
      <c r="D119">
        <v>11</v>
      </c>
      <c r="E119">
        <v>2</v>
      </c>
      <c r="F119" s="1" t="s">
        <v>61</v>
      </c>
      <c r="G119">
        <v>2</v>
      </c>
      <c r="H119" s="1" t="s">
        <v>33</v>
      </c>
      <c r="I119">
        <v>3</v>
      </c>
      <c r="J119">
        <v>3</v>
      </c>
      <c r="K119" s="1" t="s">
        <v>34</v>
      </c>
      <c r="L119">
        <v>4</v>
      </c>
      <c r="M119" s="1" t="s">
        <v>43</v>
      </c>
      <c r="N119">
        <v>9738</v>
      </c>
      <c r="O119">
        <v>0</v>
      </c>
      <c r="P119" s="1" t="s">
        <v>39</v>
      </c>
      <c r="Q119">
        <v>14</v>
      </c>
      <c r="R119">
        <v>3</v>
      </c>
      <c r="S119">
        <v>1</v>
      </c>
      <c r="T119">
        <v>10</v>
      </c>
      <c r="U119">
        <v>6</v>
      </c>
      <c r="V119">
        <v>3</v>
      </c>
      <c r="W119">
        <v>9</v>
      </c>
      <c r="X119">
        <v>7</v>
      </c>
      <c r="Y119">
        <v>2</v>
      </c>
      <c r="Z119">
        <v>8</v>
      </c>
      <c r="AA119">
        <v>0</v>
      </c>
      <c r="AB119" s="1" t="s">
        <v>36</v>
      </c>
      <c r="AC119" t="s">
        <v>37</v>
      </c>
      <c r="AD119" t="s">
        <v>38</v>
      </c>
      <c r="AE119" s="2">
        <v>1082</v>
      </c>
    </row>
    <row r="120" spans="1:31" x14ac:dyDescent="0.35">
      <c r="A120">
        <v>36</v>
      </c>
      <c r="B120" s="1" t="s">
        <v>39</v>
      </c>
      <c r="C120" s="1" t="s">
        <v>40</v>
      </c>
      <c r="D120">
        <v>3</v>
      </c>
      <c r="E120">
        <v>2</v>
      </c>
      <c r="F120" s="1" t="s">
        <v>32</v>
      </c>
      <c r="G120">
        <v>1</v>
      </c>
      <c r="H120" s="1" t="s">
        <v>33</v>
      </c>
      <c r="I120">
        <v>3</v>
      </c>
      <c r="J120">
        <v>1</v>
      </c>
      <c r="K120" s="1" t="s">
        <v>45</v>
      </c>
      <c r="L120">
        <v>4</v>
      </c>
      <c r="M120" s="1" t="s">
        <v>50</v>
      </c>
      <c r="N120">
        <v>2835</v>
      </c>
      <c r="O120">
        <v>5</v>
      </c>
      <c r="P120" s="1" t="s">
        <v>39</v>
      </c>
      <c r="Q120">
        <v>22</v>
      </c>
      <c r="R120">
        <v>1</v>
      </c>
      <c r="S120">
        <v>1</v>
      </c>
      <c r="T120">
        <v>7</v>
      </c>
      <c r="U120">
        <v>2</v>
      </c>
      <c r="V120">
        <v>3</v>
      </c>
      <c r="W120">
        <v>1</v>
      </c>
      <c r="X120">
        <v>0</v>
      </c>
      <c r="Y120">
        <v>0</v>
      </c>
      <c r="Z120">
        <v>0</v>
      </c>
      <c r="AA120">
        <v>0</v>
      </c>
      <c r="AB120" s="1" t="s">
        <v>36</v>
      </c>
      <c r="AC120" t="s">
        <v>46</v>
      </c>
      <c r="AD120" t="s">
        <v>47</v>
      </c>
      <c r="AE120" s="2">
        <v>2835</v>
      </c>
    </row>
    <row r="121" spans="1:31" x14ac:dyDescent="0.35">
      <c r="A121">
        <v>43</v>
      </c>
      <c r="B121" s="1" t="s">
        <v>39</v>
      </c>
      <c r="C121" s="1" t="s">
        <v>31</v>
      </c>
      <c r="D121">
        <v>26</v>
      </c>
      <c r="E121">
        <v>2</v>
      </c>
      <c r="F121" s="1" t="s">
        <v>32</v>
      </c>
      <c r="G121">
        <v>3</v>
      </c>
      <c r="H121" s="1" t="s">
        <v>41</v>
      </c>
      <c r="I121">
        <v>3</v>
      </c>
      <c r="J121">
        <v>4</v>
      </c>
      <c r="K121" s="1" t="s">
        <v>55</v>
      </c>
      <c r="L121">
        <v>4</v>
      </c>
      <c r="M121" s="1" t="s">
        <v>43</v>
      </c>
      <c r="N121">
        <v>16959</v>
      </c>
      <c r="O121">
        <v>1</v>
      </c>
      <c r="P121" s="1" t="s">
        <v>30</v>
      </c>
      <c r="Q121">
        <v>12</v>
      </c>
      <c r="R121">
        <v>4</v>
      </c>
      <c r="S121">
        <v>2</v>
      </c>
      <c r="T121">
        <v>25</v>
      </c>
      <c r="U121">
        <v>3</v>
      </c>
      <c r="V121">
        <v>4</v>
      </c>
      <c r="W121">
        <v>25</v>
      </c>
      <c r="X121">
        <v>12</v>
      </c>
      <c r="Y121">
        <v>4</v>
      </c>
      <c r="Z121">
        <v>12</v>
      </c>
      <c r="AA121">
        <v>0</v>
      </c>
      <c r="AB121" s="1" t="s">
        <v>36</v>
      </c>
      <c r="AC121" t="s">
        <v>56</v>
      </c>
      <c r="AD121" t="s">
        <v>57</v>
      </c>
      <c r="AE121" s="2">
        <v>678.36</v>
      </c>
    </row>
    <row r="122" spans="1:31" x14ac:dyDescent="0.35">
      <c r="A122">
        <v>30</v>
      </c>
      <c r="B122" s="1" t="s">
        <v>39</v>
      </c>
      <c r="C122" s="1" t="s">
        <v>40</v>
      </c>
      <c r="D122">
        <v>23</v>
      </c>
      <c r="E122">
        <v>3</v>
      </c>
      <c r="F122" s="1" t="s">
        <v>32</v>
      </c>
      <c r="G122">
        <v>1</v>
      </c>
      <c r="H122" s="1" t="s">
        <v>41</v>
      </c>
      <c r="I122">
        <v>1</v>
      </c>
      <c r="J122">
        <v>1</v>
      </c>
      <c r="K122" s="1" t="s">
        <v>42</v>
      </c>
      <c r="L122">
        <v>3</v>
      </c>
      <c r="M122" s="1" t="s">
        <v>50</v>
      </c>
      <c r="N122">
        <v>2613</v>
      </c>
      <c r="O122">
        <v>1</v>
      </c>
      <c r="P122" s="1" t="s">
        <v>39</v>
      </c>
      <c r="Q122">
        <v>25</v>
      </c>
      <c r="R122">
        <v>3</v>
      </c>
      <c r="S122">
        <v>3</v>
      </c>
      <c r="T122">
        <v>10</v>
      </c>
      <c r="U122">
        <v>2</v>
      </c>
      <c r="V122">
        <v>2</v>
      </c>
      <c r="W122">
        <v>10</v>
      </c>
      <c r="X122">
        <v>7</v>
      </c>
      <c r="Y122">
        <v>0</v>
      </c>
      <c r="Z122">
        <v>9</v>
      </c>
      <c r="AA122">
        <v>0</v>
      </c>
      <c r="AB122" s="1" t="s">
        <v>48</v>
      </c>
      <c r="AC122" t="s">
        <v>46</v>
      </c>
      <c r="AD122" t="s">
        <v>38</v>
      </c>
      <c r="AE122" s="2">
        <v>261.3</v>
      </c>
    </row>
    <row r="123" spans="1:31" x14ac:dyDescent="0.35">
      <c r="A123">
        <v>33</v>
      </c>
      <c r="B123" s="1" t="s">
        <v>39</v>
      </c>
      <c r="C123" s="1" t="s">
        <v>31</v>
      </c>
      <c r="D123">
        <v>22</v>
      </c>
      <c r="E123">
        <v>2</v>
      </c>
      <c r="F123" s="1" t="s">
        <v>60</v>
      </c>
      <c r="G123">
        <v>3</v>
      </c>
      <c r="H123" s="1" t="s">
        <v>41</v>
      </c>
      <c r="I123">
        <v>3</v>
      </c>
      <c r="J123">
        <v>2</v>
      </c>
      <c r="K123" s="1" t="s">
        <v>34</v>
      </c>
      <c r="L123">
        <v>2</v>
      </c>
      <c r="M123" s="1" t="s">
        <v>43</v>
      </c>
      <c r="N123">
        <v>6146</v>
      </c>
      <c r="O123">
        <v>0</v>
      </c>
      <c r="P123" s="1" t="s">
        <v>39</v>
      </c>
      <c r="Q123">
        <v>13</v>
      </c>
      <c r="R123">
        <v>1</v>
      </c>
      <c r="S123">
        <v>1</v>
      </c>
      <c r="T123">
        <v>8</v>
      </c>
      <c r="U123">
        <v>2</v>
      </c>
      <c r="V123">
        <v>4</v>
      </c>
      <c r="W123">
        <v>7</v>
      </c>
      <c r="X123">
        <v>7</v>
      </c>
      <c r="Y123">
        <v>0</v>
      </c>
      <c r="Z123">
        <v>7</v>
      </c>
      <c r="AA123">
        <v>0</v>
      </c>
      <c r="AB123" s="1" t="s">
        <v>48</v>
      </c>
      <c r="AC123" t="s">
        <v>37</v>
      </c>
      <c r="AD123" t="s">
        <v>38</v>
      </c>
      <c r="AE123" s="2">
        <v>878</v>
      </c>
    </row>
    <row r="124" spans="1:31" x14ac:dyDescent="0.35">
      <c r="A124">
        <v>56</v>
      </c>
      <c r="B124" s="1" t="s">
        <v>30</v>
      </c>
      <c r="C124" s="1" t="s">
        <v>40</v>
      </c>
      <c r="D124">
        <v>14</v>
      </c>
      <c r="E124">
        <v>4</v>
      </c>
      <c r="F124" s="1" t="s">
        <v>32</v>
      </c>
      <c r="G124">
        <v>2</v>
      </c>
      <c r="H124" s="1" t="s">
        <v>33</v>
      </c>
      <c r="I124">
        <v>3</v>
      </c>
      <c r="J124">
        <v>1</v>
      </c>
      <c r="K124" s="1" t="s">
        <v>42</v>
      </c>
      <c r="L124">
        <v>2</v>
      </c>
      <c r="M124" s="1" t="s">
        <v>43</v>
      </c>
      <c r="N124">
        <v>4963</v>
      </c>
      <c r="O124">
        <v>9</v>
      </c>
      <c r="P124" s="1" t="s">
        <v>30</v>
      </c>
      <c r="Q124">
        <v>18</v>
      </c>
      <c r="R124">
        <v>1</v>
      </c>
      <c r="S124">
        <v>3</v>
      </c>
      <c r="T124">
        <v>7</v>
      </c>
      <c r="U124">
        <v>2</v>
      </c>
      <c r="V124">
        <v>3</v>
      </c>
      <c r="W124">
        <v>5</v>
      </c>
      <c r="X124">
        <v>4</v>
      </c>
      <c r="Y124">
        <v>4</v>
      </c>
      <c r="Z124">
        <v>3</v>
      </c>
      <c r="AA124">
        <v>1</v>
      </c>
      <c r="AB124" s="1" t="s">
        <v>82</v>
      </c>
      <c r="AC124" t="s">
        <v>37</v>
      </c>
      <c r="AD124" t="s">
        <v>53</v>
      </c>
      <c r="AE124" s="2">
        <v>992.6</v>
      </c>
    </row>
    <row r="125" spans="1:31" x14ac:dyDescent="0.35">
      <c r="A125">
        <v>51</v>
      </c>
      <c r="B125" s="1" t="s">
        <v>39</v>
      </c>
      <c r="C125" s="1" t="s">
        <v>40</v>
      </c>
      <c r="D125">
        <v>6</v>
      </c>
      <c r="E125">
        <v>3</v>
      </c>
      <c r="F125" s="1" t="s">
        <v>32</v>
      </c>
      <c r="G125">
        <v>1</v>
      </c>
      <c r="H125" s="1" t="s">
        <v>41</v>
      </c>
      <c r="I125">
        <v>3</v>
      </c>
      <c r="J125">
        <v>5</v>
      </c>
      <c r="K125" s="1" t="s">
        <v>59</v>
      </c>
      <c r="L125">
        <v>3</v>
      </c>
      <c r="M125" s="1" t="s">
        <v>35</v>
      </c>
      <c r="N125">
        <v>19537</v>
      </c>
      <c r="O125">
        <v>7</v>
      </c>
      <c r="P125" s="1" t="s">
        <v>39</v>
      </c>
      <c r="Q125">
        <v>13</v>
      </c>
      <c r="R125">
        <v>3</v>
      </c>
      <c r="S125">
        <v>0</v>
      </c>
      <c r="T125">
        <v>23</v>
      </c>
      <c r="U125">
        <v>5</v>
      </c>
      <c r="V125">
        <v>3</v>
      </c>
      <c r="W125">
        <v>20</v>
      </c>
      <c r="X125">
        <v>18</v>
      </c>
      <c r="Y125">
        <v>15</v>
      </c>
      <c r="Z125">
        <v>15</v>
      </c>
      <c r="AA125">
        <v>0</v>
      </c>
      <c r="AB125" s="1" t="s">
        <v>82</v>
      </c>
      <c r="AC125" t="s">
        <v>56</v>
      </c>
      <c r="AD125" t="s">
        <v>57</v>
      </c>
      <c r="AE125" s="2">
        <v>976.85</v>
      </c>
    </row>
    <row r="126" spans="1:31" x14ac:dyDescent="0.35">
      <c r="A126">
        <v>31</v>
      </c>
      <c r="B126" s="1" t="s">
        <v>30</v>
      </c>
      <c r="C126" s="1" t="s">
        <v>31</v>
      </c>
      <c r="D126">
        <v>6</v>
      </c>
      <c r="E126">
        <v>4</v>
      </c>
      <c r="F126" s="1" t="s">
        <v>32</v>
      </c>
      <c r="G126">
        <v>2</v>
      </c>
      <c r="H126" s="1" t="s">
        <v>41</v>
      </c>
      <c r="I126">
        <v>1</v>
      </c>
      <c r="J126">
        <v>2</v>
      </c>
      <c r="K126" s="1" t="s">
        <v>34</v>
      </c>
      <c r="L126">
        <v>3</v>
      </c>
      <c r="M126" s="1" t="s">
        <v>43</v>
      </c>
      <c r="N126">
        <v>6172</v>
      </c>
      <c r="O126">
        <v>4</v>
      </c>
      <c r="P126" s="1" t="s">
        <v>30</v>
      </c>
      <c r="Q126">
        <v>18</v>
      </c>
      <c r="R126">
        <v>2</v>
      </c>
      <c r="S126">
        <v>0</v>
      </c>
      <c r="T126">
        <v>12</v>
      </c>
      <c r="U126">
        <v>3</v>
      </c>
      <c r="V126">
        <v>2</v>
      </c>
      <c r="W126">
        <v>7</v>
      </c>
      <c r="X126">
        <v>7</v>
      </c>
      <c r="Y126">
        <v>7</v>
      </c>
      <c r="Z126">
        <v>7</v>
      </c>
      <c r="AA126">
        <v>1</v>
      </c>
      <c r="AB126" s="1" t="s">
        <v>48</v>
      </c>
      <c r="AC126" t="s">
        <v>37</v>
      </c>
      <c r="AD126" t="s">
        <v>38</v>
      </c>
      <c r="AE126" s="2">
        <v>881.71428571428567</v>
      </c>
    </row>
    <row r="127" spans="1:31" x14ac:dyDescent="0.35">
      <c r="A127">
        <v>26</v>
      </c>
      <c r="B127" s="1" t="s">
        <v>39</v>
      </c>
      <c r="C127" s="1" t="s">
        <v>40</v>
      </c>
      <c r="D127">
        <v>6</v>
      </c>
      <c r="E127">
        <v>3</v>
      </c>
      <c r="F127" s="1" t="s">
        <v>44</v>
      </c>
      <c r="G127">
        <v>3</v>
      </c>
      <c r="H127" s="1" t="s">
        <v>33</v>
      </c>
      <c r="I127">
        <v>2</v>
      </c>
      <c r="J127">
        <v>1</v>
      </c>
      <c r="K127" s="1" t="s">
        <v>42</v>
      </c>
      <c r="L127">
        <v>2</v>
      </c>
      <c r="M127" s="1" t="s">
        <v>43</v>
      </c>
      <c r="N127">
        <v>2368</v>
      </c>
      <c r="O127">
        <v>1</v>
      </c>
      <c r="P127" s="1" t="s">
        <v>39</v>
      </c>
      <c r="Q127">
        <v>19</v>
      </c>
      <c r="R127">
        <v>3</v>
      </c>
      <c r="S127">
        <v>0</v>
      </c>
      <c r="T127">
        <v>5</v>
      </c>
      <c r="U127">
        <v>3</v>
      </c>
      <c r="V127">
        <v>2</v>
      </c>
      <c r="W127">
        <v>5</v>
      </c>
      <c r="X127">
        <v>4</v>
      </c>
      <c r="Y127">
        <v>4</v>
      </c>
      <c r="Z127">
        <v>3</v>
      </c>
      <c r="AA127">
        <v>0</v>
      </c>
      <c r="AB127" s="1" t="s">
        <v>48</v>
      </c>
      <c r="AC127" t="s">
        <v>46</v>
      </c>
      <c r="AD127" t="s">
        <v>53</v>
      </c>
      <c r="AE127" s="2">
        <v>473.6</v>
      </c>
    </row>
    <row r="128" spans="1:31" x14ac:dyDescent="0.35">
      <c r="A128">
        <v>58</v>
      </c>
      <c r="B128" s="1" t="s">
        <v>30</v>
      </c>
      <c r="C128" s="1" t="s">
        <v>40</v>
      </c>
      <c r="D128">
        <v>23</v>
      </c>
      <c r="E128">
        <v>4</v>
      </c>
      <c r="F128" s="1" t="s">
        <v>49</v>
      </c>
      <c r="G128">
        <v>4</v>
      </c>
      <c r="H128" s="1" t="s">
        <v>33</v>
      </c>
      <c r="I128">
        <v>3</v>
      </c>
      <c r="J128">
        <v>3</v>
      </c>
      <c r="K128" s="1" t="s">
        <v>52</v>
      </c>
      <c r="L128">
        <v>4</v>
      </c>
      <c r="M128" s="1" t="s">
        <v>43</v>
      </c>
      <c r="N128">
        <v>10312</v>
      </c>
      <c r="O128">
        <v>1</v>
      </c>
      <c r="P128" s="1" t="s">
        <v>39</v>
      </c>
      <c r="Q128">
        <v>12</v>
      </c>
      <c r="R128">
        <v>4</v>
      </c>
      <c r="S128">
        <v>1</v>
      </c>
      <c r="T128">
        <v>40</v>
      </c>
      <c r="U128">
        <v>3</v>
      </c>
      <c r="V128">
        <v>2</v>
      </c>
      <c r="W128">
        <v>40</v>
      </c>
      <c r="X128">
        <v>10</v>
      </c>
      <c r="Y128">
        <v>15</v>
      </c>
      <c r="Z128">
        <v>6</v>
      </c>
      <c r="AA128">
        <v>1</v>
      </c>
      <c r="AB128" s="1" t="s">
        <v>82</v>
      </c>
      <c r="AC128" t="s">
        <v>56</v>
      </c>
      <c r="AD128" t="s">
        <v>57</v>
      </c>
      <c r="AE128" s="2">
        <v>257.8</v>
      </c>
    </row>
    <row r="129" spans="1:31" x14ac:dyDescent="0.35">
      <c r="A129">
        <v>19</v>
      </c>
      <c r="B129" s="1" t="s">
        <v>30</v>
      </c>
      <c r="C129" s="1" t="s">
        <v>31</v>
      </c>
      <c r="D129">
        <v>22</v>
      </c>
      <c r="E129">
        <v>1</v>
      </c>
      <c r="F129" s="1" t="s">
        <v>60</v>
      </c>
      <c r="G129">
        <v>4</v>
      </c>
      <c r="H129" s="1" t="s">
        <v>41</v>
      </c>
      <c r="I129">
        <v>3</v>
      </c>
      <c r="J129">
        <v>1</v>
      </c>
      <c r="K129" s="1" t="s">
        <v>58</v>
      </c>
      <c r="L129">
        <v>3</v>
      </c>
      <c r="M129" s="1" t="s">
        <v>35</v>
      </c>
      <c r="N129">
        <v>1675</v>
      </c>
      <c r="O129">
        <v>1</v>
      </c>
      <c r="P129" s="1" t="s">
        <v>30</v>
      </c>
      <c r="Q129">
        <v>19</v>
      </c>
      <c r="R129">
        <v>4</v>
      </c>
      <c r="S129">
        <v>0</v>
      </c>
      <c r="T129">
        <v>0</v>
      </c>
      <c r="U129">
        <v>2</v>
      </c>
      <c r="V129">
        <v>2</v>
      </c>
      <c r="W129">
        <v>0</v>
      </c>
      <c r="X129">
        <v>0</v>
      </c>
      <c r="Y129">
        <v>0</v>
      </c>
      <c r="Z129">
        <v>0</v>
      </c>
      <c r="AA129">
        <v>1</v>
      </c>
      <c r="AB129" s="1" t="s">
        <v>54</v>
      </c>
      <c r="AC129" t="s">
        <v>46</v>
      </c>
      <c r="AD129" t="s">
        <v>47</v>
      </c>
      <c r="AE129" s="2">
        <v>1675</v>
      </c>
    </row>
    <row r="130" spans="1:31" x14ac:dyDescent="0.35">
      <c r="A130">
        <v>22</v>
      </c>
      <c r="B130" s="1" t="s">
        <v>39</v>
      </c>
      <c r="C130" s="1" t="s">
        <v>40</v>
      </c>
      <c r="D130">
        <v>2</v>
      </c>
      <c r="E130">
        <v>1</v>
      </c>
      <c r="F130" s="1" t="s">
        <v>61</v>
      </c>
      <c r="G130">
        <v>3</v>
      </c>
      <c r="H130" s="1" t="s">
        <v>41</v>
      </c>
      <c r="I130">
        <v>3</v>
      </c>
      <c r="J130">
        <v>1</v>
      </c>
      <c r="K130" s="1" t="s">
        <v>45</v>
      </c>
      <c r="L130">
        <v>4</v>
      </c>
      <c r="M130" s="1" t="s">
        <v>43</v>
      </c>
      <c r="N130">
        <v>2523</v>
      </c>
      <c r="O130">
        <v>0</v>
      </c>
      <c r="P130" s="1" t="s">
        <v>39</v>
      </c>
      <c r="Q130">
        <v>14</v>
      </c>
      <c r="R130">
        <v>3</v>
      </c>
      <c r="S130">
        <v>1</v>
      </c>
      <c r="T130">
        <v>3</v>
      </c>
      <c r="U130">
        <v>2</v>
      </c>
      <c r="V130">
        <v>3</v>
      </c>
      <c r="W130">
        <v>2</v>
      </c>
      <c r="X130">
        <v>1</v>
      </c>
      <c r="Y130">
        <v>2</v>
      </c>
      <c r="Z130">
        <v>1</v>
      </c>
      <c r="AA130">
        <v>0</v>
      </c>
      <c r="AB130" s="1" t="s">
        <v>54</v>
      </c>
      <c r="AC130" t="s">
        <v>46</v>
      </c>
      <c r="AD130" t="s">
        <v>47</v>
      </c>
      <c r="AE130" s="2">
        <v>1261.5</v>
      </c>
    </row>
    <row r="131" spans="1:31" x14ac:dyDescent="0.35">
      <c r="A131">
        <v>49</v>
      </c>
      <c r="B131" s="1" t="s">
        <v>39</v>
      </c>
      <c r="C131" s="1" t="s">
        <v>40</v>
      </c>
      <c r="D131">
        <v>20</v>
      </c>
      <c r="E131">
        <v>4</v>
      </c>
      <c r="F131" s="1" t="s">
        <v>49</v>
      </c>
      <c r="G131">
        <v>3</v>
      </c>
      <c r="H131" s="1" t="s">
        <v>33</v>
      </c>
      <c r="I131">
        <v>3</v>
      </c>
      <c r="J131">
        <v>2</v>
      </c>
      <c r="K131" s="1" t="s">
        <v>51</v>
      </c>
      <c r="L131">
        <v>1</v>
      </c>
      <c r="M131" s="1" t="s">
        <v>43</v>
      </c>
      <c r="N131">
        <v>6567</v>
      </c>
      <c r="O131">
        <v>1</v>
      </c>
      <c r="P131" s="1" t="s">
        <v>39</v>
      </c>
      <c r="Q131">
        <v>14</v>
      </c>
      <c r="R131">
        <v>3</v>
      </c>
      <c r="S131">
        <v>0</v>
      </c>
      <c r="T131">
        <v>16</v>
      </c>
      <c r="U131">
        <v>2</v>
      </c>
      <c r="V131">
        <v>2</v>
      </c>
      <c r="W131">
        <v>15</v>
      </c>
      <c r="X131">
        <v>11</v>
      </c>
      <c r="Y131">
        <v>5</v>
      </c>
      <c r="Z131">
        <v>11</v>
      </c>
      <c r="AA131">
        <v>0</v>
      </c>
      <c r="AB131" s="1" t="s">
        <v>82</v>
      </c>
      <c r="AC131" t="s">
        <v>37</v>
      </c>
      <c r="AD131" t="s">
        <v>57</v>
      </c>
      <c r="AE131" s="2">
        <v>437.8</v>
      </c>
    </row>
    <row r="132" spans="1:31" x14ac:dyDescent="0.35">
      <c r="A132">
        <v>43</v>
      </c>
      <c r="B132" s="1" t="s">
        <v>39</v>
      </c>
      <c r="C132" s="1" t="s">
        <v>40</v>
      </c>
      <c r="D132">
        <v>28</v>
      </c>
      <c r="E132">
        <v>3</v>
      </c>
      <c r="F132" s="1" t="s">
        <v>49</v>
      </c>
      <c r="G132">
        <v>2</v>
      </c>
      <c r="H132" s="1" t="s">
        <v>33</v>
      </c>
      <c r="I132">
        <v>4</v>
      </c>
      <c r="J132">
        <v>1</v>
      </c>
      <c r="K132" s="1" t="s">
        <v>42</v>
      </c>
      <c r="L132">
        <v>3</v>
      </c>
      <c r="M132" s="1" t="s">
        <v>35</v>
      </c>
      <c r="N132">
        <v>4739</v>
      </c>
      <c r="O132">
        <v>4</v>
      </c>
      <c r="P132" s="1" t="s">
        <v>39</v>
      </c>
      <c r="Q132">
        <v>12</v>
      </c>
      <c r="R132">
        <v>4</v>
      </c>
      <c r="S132">
        <v>0</v>
      </c>
      <c r="T132">
        <v>18</v>
      </c>
      <c r="U132">
        <v>2</v>
      </c>
      <c r="V132">
        <v>3</v>
      </c>
      <c r="W132">
        <v>3</v>
      </c>
      <c r="X132">
        <v>2</v>
      </c>
      <c r="Y132">
        <v>1</v>
      </c>
      <c r="Z132">
        <v>2</v>
      </c>
      <c r="AA132">
        <v>0</v>
      </c>
      <c r="AB132" s="1" t="s">
        <v>36</v>
      </c>
      <c r="AC132" t="s">
        <v>37</v>
      </c>
      <c r="AD132" t="s">
        <v>53</v>
      </c>
      <c r="AE132" s="2">
        <v>1579.6666666666667</v>
      </c>
    </row>
    <row r="133" spans="1:31" x14ac:dyDescent="0.35">
      <c r="A133">
        <v>50</v>
      </c>
      <c r="B133" s="1" t="s">
        <v>39</v>
      </c>
      <c r="C133" s="1" t="s">
        <v>31</v>
      </c>
      <c r="D133">
        <v>12</v>
      </c>
      <c r="E133">
        <v>3</v>
      </c>
      <c r="F133" s="1" t="s">
        <v>60</v>
      </c>
      <c r="G133">
        <v>3</v>
      </c>
      <c r="H133" s="1" t="s">
        <v>33</v>
      </c>
      <c r="I133">
        <v>3</v>
      </c>
      <c r="J133">
        <v>3</v>
      </c>
      <c r="K133" s="1" t="s">
        <v>34</v>
      </c>
      <c r="L133">
        <v>4</v>
      </c>
      <c r="M133" s="1" t="s">
        <v>35</v>
      </c>
      <c r="N133">
        <v>9208</v>
      </c>
      <c r="O133">
        <v>4</v>
      </c>
      <c r="P133" s="1" t="s">
        <v>39</v>
      </c>
      <c r="Q133">
        <v>11</v>
      </c>
      <c r="R133">
        <v>4</v>
      </c>
      <c r="S133">
        <v>0</v>
      </c>
      <c r="T133">
        <v>16</v>
      </c>
      <c r="U133">
        <v>3</v>
      </c>
      <c r="V133">
        <v>3</v>
      </c>
      <c r="W133">
        <v>2</v>
      </c>
      <c r="X133">
        <v>2</v>
      </c>
      <c r="Y133">
        <v>2</v>
      </c>
      <c r="Z133">
        <v>1</v>
      </c>
      <c r="AA133">
        <v>0</v>
      </c>
      <c r="AB133" s="1" t="s">
        <v>82</v>
      </c>
      <c r="AC133" t="s">
        <v>37</v>
      </c>
      <c r="AD133" t="s">
        <v>47</v>
      </c>
      <c r="AE133" s="2">
        <v>4604</v>
      </c>
    </row>
    <row r="134" spans="1:31" x14ac:dyDescent="0.35">
      <c r="A134">
        <v>31</v>
      </c>
      <c r="B134" s="1" t="s">
        <v>30</v>
      </c>
      <c r="C134" s="1" t="s">
        <v>31</v>
      </c>
      <c r="D134">
        <v>20</v>
      </c>
      <c r="E134">
        <v>3</v>
      </c>
      <c r="F134" s="1" t="s">
        <v>32</v>
      </c>
      <c r="G134">
        <v>2</v>
      </c>
      <c r="H134" s="1" t="s">
        <v>33</v>
      </c>
      <c r="I134">
        <v>1</v>
      </c>
      <c r="J134">
        <v>2</v>
      </c>
      <c r="K134" s="1" t="s">
        <v>34</v>
      </c>
      <c r="L134">
        <v>3</v>
      </c>
      <c r="M134" s="1" t="s">
        <v>43</v>
      </c>
      <c r="N134">
        <v>4559</v>
      </c>
      <c r="O134">
        <v>3</v>
      </c>
      <c r="P134" s="1" t="s">
        <v>30</v>
      </c>
      <c r="Q134">
        <v>11</v>
      </c>
      <c r="R134">
        <v>3</v>
      </c>
      <c r="S134">
        <v>1</v>
      </c>
      <c r="T134">
        <v>4</v>
      </c>
      <c r="U134">
        <v>2</v>
      </c>
      <c r="V134">
        <v>3</v>
      </c>
      <c r="W134">
        <v>2</v>
      </c>
      <c r="X134">
        <v>2</v>
      </c>
      <c r="Y134">
        <v>2</v>
      </c>
      <c r="Z134">
        <v>2</v>
      </c>
      <c r="AA134">
        <v>1</v>
      </c>
      <c r="AB134" s="1" t="s">
        <v>48</v>
      </c>
      <c r="AC134" t="s">
        <v>37</v>
      </c>
      <c r="AD134" t="s">
        <v>47</v>
      </c>
      <c r="AE134" s="2">
        <v>2279.5</v>
      </c>
    </row>
    <row r="135" spans="1:31" x14ac:dyDescent="0.35">
      <c r="A135">
        <v>41</v>
      </c>
      <c r="B135" s="1" t="s">
        <v>39</v>
      </c>
      <c r="C135" s="1" t="s">
        <v>31</v>
      </c>
      <c r="D135">
        <v>9</v>
      </c>
      <c r="E135">
        <v>1</v>
      </c>
      <c r="F135" s="1" t="s">
        <v>32</v>
      </c>
      <c r="G135">
        <v>3</v>
      </c>
      <c r="H135" s="1" t="s">
        <v>41</v>
      </c>
      <c r="I135">
        <v>3</v>
      </c>
      <c r="J135">
        <v>3</v>
      </c>
      <c r="K135" s="1" t="s">
        <v>34</v>
      </c>
      <c r="L135">
        <v>3</v>
      </c>
      <c r="M135" s="1" t="s">
        <v>50</v>
      </c>
      <c r="N135">
        <v>8189</v>
      </c>
      <c r="O135">
        <v>3</v>
      </c>
      <c r="P135" s="1" t="s">
        <v>30</v>
      </c>
      <c r="Q135">
        <v>13</v>
      </c>
      <c r="R135">
        <v>3</v>
      </c>
      <c r="S135">
        <v>1</v>
      </c>
      <c r="T135">
        <v>12</v>
      </c>
      <c r="U135">
        <v>2</v>
      </c>
      <c r="V135">
        <v>3</v>
      </c>
      <c r="W135">
        <v>9</v>
      </c>
      <c r="X135">
        <v>7</v>
      </c>
      <c r="Y135">
        <v>0</v>
      </c>
      <c r="Z135">
        <v>7</v>
      </c>
      <c r="AA135">
        <v>0</v>
      </c>
      <c r="AB135" s="1" t="s">
        <v>36</v>
      </c>
      <c r="AC135" t="s">
        <v>37</v>
      </c>
      <c r="AD135" t="s">
        <v>38</v>
      </c>
      <c r="AE135" s="2">
        <v>909.88888888888891</v>
      </c>
    </row>
    <row r="136" spans="1:31" x14ac:dyDescent="0.35">
      <c r="A136">
        <v>26</v>
      </c>
      <c r="B136" s="1" t="s">
        <v>39</v>
      </c>
      <c r="C136" s="1" t="s">
        <v>62</v>
      </c>
      <c r="D136">
        <v>25</v>
      </c>
      <c r="E136">
        <v>1</v>
      </c>
      <c r="F136" s="1" t="s">
        <v>32</v>
      </c>
      <c r="G136">
        <v>3</v>
      </c>
      <c r="H136" s="1" t="s">
        <v>33</v>
      </c>
      <c r="I136">
        <v>3</v>
      </c>
      <c r="J136">
        <v>1</v>
      </c>
      <c r="K136" s="1" t="s">
        <v>62</v>
      </c>
      <c r="L136">
        <v>3</v>
      </c>
      <c r="M136" s="1" t="s">
        <v>43</v>
      </c>
      <c r="N136">
        <v>2942</v>
      </c>
      <c r="O136">
        <v>1</v>
      </c>
      <c r="P136" s="1" t="s">
        <v>39</v>
      </c>
      <c r="Q136">
        <v>23</v>
      </c>
      <c r="R136">
        <v>4</v>
      </c>
      <c r="S136">
        <v>1</v>
      </c>
      <c r="T136">
        <v>8</v>
      </c>
      <c r="U136">
        <v>3</v>
      </c>
      <c r="V136">
        <v>3</v>
      </c>
      <c r="W136">
        <v>8</v>
      </c>
      <c r="X136">
        <v>7</v>
      </c>
      <c r="Y136">
        <v>5</v>
      </c>
      <c r="Z136">
        <v>7</v>
      </c>
      <c r="AA136">
        <v>0</v>
      </c>
      <c r="AB136" s="1" t="s">
        <v>48</v>
      </c>
      <c r="AC136" t="s">
        <v>46</v>
      </c>
      <c r="AD136" t="s">
        <v>38</v>
      </c>
      <c r="AE136" s="2">
        <v>367.75</v>
      </c>
    </row>
    <row r="137" spans="1:31" x14ac:dyDescent="0.35">
      <c r="A137">
        <v>36</v>
      </c>
      <c r="B137" s="1" t="s">
        <v>39</v>
      </c>
      <c r="C137" s="1" t="s">
        <v>40</v>
      </c>
      <c r="D137">
        <v>6</v>
      </c>
      <c r="E137">
        <v>2</v>
      </c>
      <c r="F137" s="1" t="s">
        <v>49</v>
      </c>
      <c r="G137">
        <v>2</v>
      </c>
      <c r="H137" s="1" t="s">
        <v>41</v>
      </c>
      <c r="I137">
        <v>3</v>
      </c>
      <c r="J137">
        <v>2</v>
      </c>
      <c r="K137" s="1" t="s">
        <v>51</v>
      </c>
      <c r="L137">
        <v>2</v>
      </c>
      <c r="M137" s="1" t="s">
        <v>50</v>
      </c>
      <c r="N137">
        <v>4941</v>
      </c>
      <c r="O137">
        <v>6</v>
      </c>
      <c r="P137" s="1" t="s">
        <v>39</v>
      </c>
      <c r="Q137">
        <v>20</v>
      </c>
      <c r="R137">
        <v>4</v>
      </c>
      <c r="S137">
        <v>2</v>
      </c>
      <c r="T137">
        <v>7</v>
      </c>
      <c r="U137">
        <v>0</v>
      </c>
      <c r="V137">
        <v>3</v>
      </c>
      <c r="W137">
        <v>3</v>
      </c>
      <c r="X137">
        <v>2</v>
      </c>
      <c r="Y137">
        <v>0</v>
      </c>
      <c r="Z137">
        <v>1</v>
      </c>
      <c r="AA137">
        <v>0</v>
      </c>
      <c r="AB137" s="1" t="s">
        <v>36</v>
      </c>
      <c r="AC137" t="s">
        <v>37</v>
      </c>
      <c r="AD137" t="s">
        <v>53</v>
      </c>
      <c r="AE137" s="2">
        <v>1647</v>
      </c>
    </row>
    <row r="138" spans="1:31" x14ac:dyDescent="0.35">
      <c r="A138">
        <v>51</v>
      </c>
      <c r="B138" s="1" t="s">
        <v>30</v>
      </c>
      <c r="C138" s="1" t="s">
        <v>40</v>
      </c>
      <c r="D138">
        <v>8</v>
      </c>
      <c r="E138">
        <v>4</v>
      </c>
      <c r="F138" s="1" t="s">
        <v>32</v>
      </c>
      <c r="G138">
        <v>1</v>
      </c>
      <c r="H138" s="1" t="s">
        <v>41</v>
      </c>
      <c r="I138">
        <v>1</v>
      </c>
      <c r="J138">
        <v>3</v>
      </c>
      <c r="K138" s="1" t="s">
        <v>51</v>
      </c>
      <c r="L138">
        <v>4</v>
      </c>
      <c r="M138" s="1" t="s">
        <v>35</v>
      </c>
      <c r="N138">
        <v>10650</v>
      </c>
      <c r="O138">
        <v>2</v>
      </c>
      <c r="P138" s="1" t="s">
        <v>39</v>
      </c>
      <c r="Q138">
        <v>15</v>
      </c>
      <c r="R138">
        <v>4</v>
      </c>
      <c r="S138">
        <v>0</v>
      </c>
      <c r="T138">
        <v>18</v>
      </c>
      <c r="U138">
        <v>2</v>
      </c>
      <c r="V138">
        <v>3</v>
      </c>
      <c r="W138">
        <v>4</v>
      </c>
      <c r="X138">
        <v>2</v>
      </c>
      <c r="Y138">
        <v>0</v>
      </c>
      <c r="Z138">
        <v>3</v>
      </c>
      <c r="AA138">
        <v>1</v>
      </c>
      <c r="AB138" s="1" t="s">
        <v>82</v>
      </c>
      <c r="AC138" t="s">
        <v>56</v>
      </c>
      <c r="AD138" t="s">
        <v>53</v>
      </c>
      <c r="AE138" s="2">
        <v>2662.5</v>
      </c>
    </row>
    <row r="139" spans="1:31" x14ac:dyDescent="0.35">
      <c r="A139">
        <v>39</v>
      </c>
      <c r="B139" s="1" t="s">
        <v>39</v>
      </c>
      <c r="C139" s="1" t="s">
        <v>31</v>
      </c>
      <c r="D139">
        <v>4</v>
      </c>
      <c r="E139">
        <v>4</v>
      </c>
      <c r="F139" s="1" t="s">
        <v>32</v>
      </c>
      <c r="G139">
        <v>4</v>
      </c>
      <c r="H139" s="1" t="s">
        <v>33</v>
      </c>
      <c r="I139">
        <v>2</v>
      </c>
      <c r="J139">
        <v>2</v>
      </c>
      <c r="K139" s="1" t="s">
        <v>34</v>
      </c>
      <c r="L139">
        <v>3</v>
      </c>
      <c r="M139" s="1" t="s">
        <v>43</v>
      </c>
      <c r="N139">
        <v>5902</v>
      </c>
      <c r="O139">
        <v>4</v>
      </c>
      <c r="P139" s="1" t="s">
        <v>39</v>
      </c>
      <c r="Q139">
        <v>14</v>
      </c>
      <c r="R139">
        <v>3</v>
      </c>
      <c r="S139">
        <v>1</v>
      </c>
      <c r="T139">
        <v>17</v>
      </c>
      <c r="U139">
        <v>1</v>
      </c>
      <c r="V139">
        <v>4</v>
      </c>
      <c r="W139">
        <v>15</v>
      </c>
      <c r="X139">
        <v>11</v>
      </c>
      <c r="Y139">
        <v>5</v>
      </c>
      <c r="Z139">
        <v>9</v>
      </c>
      <c r="AA139">
        <v>0</v>
      </c>
      <c r="AB139" s="1" t="s">
        <v>36</v>
      </c>
      <c r="AC139" t="s">
        <v>37</v>
      </c>
      <c r="AD139" t="s">
        <v>57</v>
      </c>
      <c r="AE139" s="2">
        <v>393.46666666666664</v>
      </c>
    </row>
    <row r="140" spans="1:31" x14ac:dyDescent="0.35">
      <c r="A140">
        <v>25</v>
      </c>
      <c r="B140" s="1" t="s">
        <v>39</v>
      </c>
      <c r="C140" s="1" t="s">
        <v>31</v>
      </c>
      <c r="D140">
        <v>28</v>
      </c>
      <c r="E140">
        <v>3</v>
      </c>
      <c r="F140" s="1" t="s">
        <v>32</v>
      </c>
      <c r="G140">
        <v>1</v>
      </c>
      <c r="H140" s="1" t="s">
        <v>41</v>
      </c>
      <c r="I140">
        <v>2</v>
      </c>
      <c r="J140">
        <v>2</v>
      </c>
      <c r="K140" s="1" t="s">
        <v>34</v>
      </c>
      <c r="L140">
        <v>3</v>
      </c>
      <c r="M140" s="1" t="s">
        <v>43</v>
      </c>
      <c r="N140">
        <v>8639</v>
      </c>
      <c r="O140">
        <v>2</v>
      </c>
      <c r="P140" s="1" t="s">
        <v>39</v>
      </c>
      <c r="Q140">
        <v>18</v>
      </c>
      <c r="R140">
        <v>4</v>
      </c>
      <c r="S140">
        <v>0</v>
      </c>
      <c r="T140">
        <v>6</v>
      </c>
      <c r="U140">
        <v>3</v>
      </c>
      <c r="V140">
        <v>3</v>
      </c>
      <c r="W140">
        <v>2</v>
      </c>
      <c r="X140">
        <v>2</v>
      </c>
      <c r="Y140">
        <v>2</v>
      </c>
      <c r="Z140">
        <v>2</v>
      </c>
      <c r="AA140">
        <v>0</v>
      </c>
      <c r="AB140" s="1" t="s">
        <v>54</v>
      </c>
      <c r="AC140" t="s">
        <v>37</v>
      </c>
      <c r="AD140" t="s">
        <v>47</v>
      </c>
      <c r="AE140" s="2">
        <v>4319.5</v>
      </c>
    </row>
    <row r="141" spans="1:31" x14ac:dyDescent="0.35">
      <c r="A141">
        <v>30</v>
      </c>
      <c r="B141" s="1" t="s">
        <v>39</v>
      </c>
      <c r="C141" s="1" t="s">
        <v>62</v>
      </c>
      <c r="D141">
        <v>9</v>
      </c>
      <c r="E141">
        <v>3</v>
      </c>
      <c r="F141" s="1" t="s">
        <v>62</v>
      </c>
      <c r="G141">
        <v>3</v>
      </c>
      <c r="H141" s="1" t="s">
        <v>41</v>
      </c>
      <c r="I141">
        <v>3</v>
      </c>
      <c r="J141">
        <v>2</v>
      </c>
      <c r="K141" s="1" t="s">
        <v>62</v>
      </c>
      <c r="L141">
        <v>4</v>
      </c>
      <c r="M141" s="1" t="s">
        <v>43</v>
      </c>
      <c r="N141">
        <v>6347</v>
      </c>
      <c r="O141">
        <v>0</v>
      </c>
      <c r="P141" s="1" t="s">
        <v>30</v>
      </c>
      <c r="Q141">
        <v>19</v>
      </c>
      <c r="R141">
        <v>4</v>
      </c>
      <c r="S141">
        <v>0</v>
      </c>
      <c r="T141">
        <v>12</v>
      </c>
      <c r="U141">
        <v>2</v>
      </c>
      <c r="V141">
        <v>1</v>
      </c>
      <c r="W141">
        <v>11</v>
      </c>
      <c r="X141">
        <v>9</v>
      </c>
      <c r="Y141">
        <v>4</v>
      </c>
      <c r="Z141">
        <v>7</v>
      </c>
      <c r="AA141">
        <v>0</v>
      </c>
      <c r="AB141" s="1" t="s">
        <v>48</v>
      </c>
      <c r="AC141" t="s">
        <v>37</v>
      </c>
      <c r="AD141" t="s">
        <v>57</v>
      </c>
      <c r="AE141" s="2">
        <v>577</v>
      </c>
    </row>
    <row r="142" spans="1:31" x14ac:dyDescent="0.35">
      <c r="A142">
        <v>32</v>
      </c>
      <c r="B142" s="1" t="s">
        <v>30</v>
      </c>
      <c r="C142" s="1" t="s">
        <v>40</v>
      </c>
      <c r="D142">
        <v>9</v>
      </c>
      <c r="E142">
        <v>3</v>
      </c>
      <c r="F142" s="1" t="s">
        <v>49</v>
      </c>
      <c r="G142">
        <v>1</v>
      </c>
      <c r="H142" s="1" t="s">
        <v>33</v>
      </c>
      <c r="I142">
        <v>3</v>
      </c>
      <c r="J142">
        <v>1</v>
      </c>
      <c r="K142" s="1" t="s">
        <v>45</v>
      </c>
      <c r="L142">
        <v>1</v>
      </c>
      <c r="M142" s="1" t="s">
        <v>35</v>
      </c>
      <c r="N142">
        <v>4200</v>
      </c>
      <c r="O142">
        <v>7</v>
      </c>
      <c r="P142" s="1" t="s">
        <v>39</v>
      </c>
      <c r="Q142">
        <v>22</v>
      </c>
      <c r="R142">
        <v>1</v>
      </c>
      <c r="S142">
        <v>0</v>
      </c>
      <c r="T142">
        <v>10</v>
      </c>
      <c r="U142">
        <v>2</v>
      </c>
      <c r="V142">
        <v>4</v>
      </c>
      <c r="W142">
        <v>5</v>
      </c>
      <c r="X142">
        <v>4</v>
      </c>
      <c r="Y142">
        <v>0</v>
      </c>
      <c r="Z142">
        <v>4</v>
      </c>
      <c r="AA142">
        <v>1</v>
      </c>
      <c r="AB142" s="1" t="s">
        <v>48</v>
      </c>
      <c r="AC142" t="s">
        <v>37</v>
      </c>
      <c r="AD142" t="s">
        <v>53</v>
      </c>
      <c r="AE142" s="2">
        <v>840</v>
      </c>
    </row>
    <row r="143" spans="1:31" x14ac:dyDescent="0.35">
      <c r="A143">
        <v>45</v>
      </c>
      <c r="B143" s="1" t="s">
        <v>39</v>
      </c>
      <c r="C143" s="1" t="s">
        <v>40</v>
      </c>
      <c r="D143">
        <v>29</v>
      </c>
      <c r="E143">
        <v>3</v>
      </c>
      <c r="F143" s="1" t="s">
        <v>49</v>
      </c>
      <c r="G143">
        <v>3</v>
      </c>
      <c r="H143" s="1" t="s">
        <v>41</v>
      </c>
      <c r="I143">
        <v>3</v>
      </c>
      <c r="J143">
        <v>1</v>
      </c>
      <c r="K143" s="1" t="s">
        <v>42</v>
      </c>
      <c r="L143">
        <v>4</v>
      </c>
      <c r="M143" s="1" t="s">
        <v>35</v>
      </c>
      <c r="N143">
        <v>3452</v>
      </c>
      <c r="O143">
        <v>5</v>
      </c>
      <c r="P143" s="1" t="s">
        <v>39</v>
      </c>
      <c r="Q143">
        <v>13</v>
      </c>
      <c r="R143">
        <v>2</v>
      </c>
      <c r="S143">
        <v>0</v>
      </c>
      <c r="T143">
        <v>9</v>
      </c>
      <c r="U143">
        <v>2</v>
      </c>
      <c r="V143">
        <v>2</v>
      </c>
      <c r="W143">
        <v>6</v>
      </c>
      <c r="X143">
        <v>5</v>
      </c>
      <c r="Y143">
        <v>0</v>
      </c>
      <c r="Z143">
        <v>3</v>
      </c>
      <c r="AA143">
        <v>0</v>
      </c>
      <c r="AB143" s="1" t="s">
        <v>36</v>
      </c>
      <c r="AC143" t="s">
        <v>46</v>
      </c>
      <c r="AD143" t="s">
        <v>38</v>
      </c>
      <c r="AE143" s="2">
        <v>575.33333333333337</v>
      </c>
    </row>
    <row r="144" spans="1:31" x14ac:dyDescent="0.35">
      <c r="A144">
        <v>38</v>
      </c>
      <c r="B144" s="1" t="s">
        <v>39</v>
      </c>
      <c r="C144" s="1" t="s">
        <v>40</v>
      </c>
      <c r="D144">
        <v>3</v>
      </c>
      <c r="E144">
        <v>5</v>
      </c>
      <c r="F144" s="1" t="s">
        <v>61</v>
      </c>
      <c r="G144">
        <v>4</v>
      </c>
      <c r="H144" s="1" t="s">
        <v>33</v>
      </c>
      <c r="I144">
        <v>3</v>
      </c>
      <c r="J144">
        <v>2</v>
      </c>
      <c r="K144" s="1" t="s">
        <v>42</v>
      </c>
      <c r="L144">
        <v>3</v>
      </c>
      <c r="M144" s="1" t="s">
        <v>35</v>
      </c>
      <c r="N144">
        <v>4317</v>
      </c>
      <c r="O144">
        <v>3</v>
      </c>
      <c r="P144" s="1" t="s">
        <v>30</v>
      </c>
      <c r="Q144">
        <v>20</v>
      </c>
      <c r="R144">
        <v>2</v>
      </c>
      <c r="S144">
        <v>0</v>
      </c>
      <c r="T144">
        <v>19</v>
      </c>
      <c r="U144">
        <v>2</v>
      </c>
      <c r="V144">
        <v>3</v>
      </c>
      <c r="W144">
        <v>3</v>
      </c>
      <c r="X144">
        <v>2</v>
      </c>
      <c r="Y144">
        <v>2</v>
      </c>
      <c r="Z144">
        <v>2</v>
      </c>
      <c r="AA144">
        <v>0</v>
      </c>
      <c r="AB144" s="1" t="s">
        <v>36</v>
      </c>
      <c r="AC144" t="s">
        <v>37</v>
      </c>
      <c r="AD144" t="s">
        <v>53</v>
      </c>
      <c r="AE144" s="2">
        <v>1439</v>
      </c>
    </row>
    <row r="145" spans="1:31" x14ac:dyDescent="0.35">
      <c r="A145">
        <v>30</v>
      </c>
      <c r="B145" s="1" t="s">
        <v>39</v>
      </c>
      <c r="C145" s="1" t="s">
        <v>40</v>
      </c>
      <c r="D145">
        <v>18</v>
      </c>
      <c r="E145">
        <v>3</v>
      </c>
      <c r="F145" s="1" t="s">
        <v>32</v>
      </c>
      <c r="G145">
        <v>1</v>
      </c>
      <c r="H145" s="1" t="s">
        <v>33</v>
      </c>
      <c r="I145">
        <v>3</v>
      </c>
      <c r="J145">
        <v>1</v>
      </c>
      <c r="K145" s="1" t="s">
        <v>42</v>
      </c>
      <c r="L145">
        <v>3</v>
      </c>
      <c r="M145" s="1" t="s">
        <v>35</v>
      </c>
      <c r="N145">
        <v>2632</v>
      </c>
      <c r="O145">
        <v>1</v>
      </c>
      <c r="P145" s="1" t="s">
        <v>39</v>
      </c>
      <c r="Q145">
        <v>14</v>
      </c>
      <c r="R145">
        <v>3</v>
      </c>
      <c r="S145">
        <v>0</v>
      </c>
      <c r="T145">
        <v>5</v>
      </c>
      <c r="U145">
        <v>4</v>
      </c>
      <c r="V145">
        <v>2</v>
      </c>
      <c r="W145">
        <v>5</v>
      </c>
      <c r="X145">
        <v>4</v>
      </c>
      <c r="Y145">
        <v>0</v>
      </c>
      <c r="Z145">
        <v>4</v>
      </c>
      <c r="AA145">
        <v>0</v>
      </c>
      <c r="AB145" s="1" t="s">
        <v>48</v>
      </c>
      <c r="AC145" t="s">
        <v>46</v>
      </c>
      <c r="AD145" t="s">
        <v>53</v>
      </c>
      <c r="AE145" s="2">
        <v>526.4</v>
      </c>
    </row>
    <row r="146" spans="1:31" x14ac:dyDescent="0.35">
      <c r="A146">
        <v>32</v>
      </c>
      <c r="B146" s="1" t="s">
        <v>39</v>
      </c>
      <c r="C146" s="1" t="s">
        <v>31</v>
      </c>
      <c r="D146">
        <v>9</v>
      </c>
      <c r="E146">
        <v>2</v>
      </c>
      <c r="F146" s="1" t="s">
        <v>49</v>
      </c>
      <c r="G146">
        <v>4</v>
      </c>
      <c r="H146" s="1" t="s">
        <v>41</v>
      </c>
      <c r="I146">
        <v>1</v>
      </c>
      <c r="J146">
        <v>2</v>
      </c>
      <c r="K146" s="1" t="s">
        <v>34</v>
      </c>
      <c r="L146">
        <v>4</v>
      </c>
      <c r="M146" s="1" t="s">
        <v>50</v>
      </c>
      <c r="N146">
        <v>4668</v>
      </c>
      <c r="O146">
        <v>0</v>
      </c>
      <c r="P146" s="1" t="s">
        <v>39</v>
      </c>
      <c r="Q146">
        <v>17</v>
      </c>
      <c r="R146">
        <v>4</v>
      </c>
      <c r="S146">
        <v>3</v>
      </c>
      <c r="T146">
        <v>9</v>
      </c>
      <c r="U146">
        <v>2</v>
      </c>
      <c r="V146">
        <v>4</v>
      </c>
      <c r="W146">
        <v>8</v>
      </c>
      <c r="X146">
        <v>7</v>
      </c>
      <c r="Y146">
        <v>0</v>
      </c>
      <c r="Z146">
        <v>7</v>
      </c>
      <c r="AA146">
        <v>0</v>
      </c>
      <c r="AB146" s="1" t="s">
        <v>48</v>
      </c>
      <c r="AC146" t="s">
        <v>37</v>
      </c>
      <c r="AD146" t="s">
        <v>38</v>
      </c>
      <c r="AE146" s="2">
        <v>583.5</v>
      </c>
    </row>
    <row r="147" spans="1:31" x14ac:dyDescent="0.35">
      <c r="A147">
        <v>30</v>
      </c>
      <c r="B147" s="1" t="s">
        <v>39</v>
      </c>
      <c r="C147" s="1" t="s">
        <v>40</v>
      </c>
      <c r="D147">
        <v>5</v>
      </c>
      <c r="E147">
        <v>3</v>
      </c>
      <c r="F147" s="1" t="s">
        <v>61</v>
      </c>
      <c r="G147">
        <v>4</v>
      </c>
      <c r="H147" s="1" t="s">
        <v>33</v>
      </c>
      <c r="I147">
        <v>3</v>
      </c>
      <c r="J147">
        <v>1</v>
      </c>
      <c r="K147" s="1" t="s">
        <v>42</v>
      </c>
      <c r="L147">
        <v>1</v>
      </c>
      <c r="M147" s="1" t="s">
        <v>50</v>
      </c>
      <c r="N147">
        <v>3204</v>
      </c>
      <c r="O147">
        <v>5</v>
      </c>
      <c r="P147" s="1" t="s">
        <v>39</v>
      </c>
      <c r="Q147">
        <v>14</v>
      </c>
      <c r="R147">
        <v>4</v>
      </c>
      <c r="S147">
        <v>1</v>
      </c>
      <c r="T147">
        <v>8</v>
      </c>
      <c r="U147">
        <v>3</v>
      </c>
      <c r="V147">
        <v>3</v>
      </c>
      <c r="W147">
        <v>3</v>
      </c>
      <c r="X147">
        <v>2</v>
      </c>
      <c r="Y147">
        <v>2</v>
      </c>
      <c r="Z147">
        <v>2</v>
      </c>
      <c r="AA147">
        <v>0</v>
      </c>
      <c r="AB147" s="1" t="s">
        <v>48</v>
      </c>
      <c r="AC147" t="s">
        <v>46</v>
      </c>
      <c r="AD147" t="s">
        <v>53</v>
      </c>
      <c r="AE147" s="2">
        <v>1068</v>
      </c>
    </row>
    <row r="148" spans="1:31" x14ac:dyDescent="0.35">
      <c r="A148">
        <v>30</v>
      </c>
      <c r="B148" s="1" t="s">
        <v>39</v>
      </c>
      <c r="C148" s="1" t="s">
        <v>40</v>
      </c>
      <c r="D148">
        <v>2</v>
      </c>
      <c r="E148">
        <v>1</v>
      </c>
      <c r="F148" s="1" t="s">
        <v>49</v>
      </c>
      <c r="G148">
        <v>2</v>
      </c>
      <c r="H148" s="1" t="s">
        <v>41</v>
      </c>
      <c r="I148">
        <v>2</v>
      </c>
      <c r="J148">
        <v>1</v>
      </c>
      <c r="K148" s="1" t="s">
        <v>45</v>
      </c>
      <c r="L148">
        <v>4</v>
      </c>
      <c r="M148" s="1" t="s">
        <v>35</v>
      </c>
      <c r="N148">
        <v>2720</v>
      </c>
      <c r="O148">
        <v>0</v>
      </c>
      <c r="P148" s="1" t="s">
        <v>39</v>
      </c>
      <c r="Q148">
        <v>13</v>
      </c>
      <c r="R148">
        <v>4</v>
      </c>
      <c r="S148">
        <v>0</v>
      </c>
      <c r="T148">
        <v>6</v>
      </c>
      <c r="U148">
        <v>3</v>
      </c>
      <c r="V148">
        <v>3</v>
      </c>
      <c r="W148">
        <v>5</v>
      </c>
      <c r="X148">
        <v>3</v>
      </c>
      <c r="Y148">
        <v>1</v>
      </c>
      <c r="Z148">
        <v>2</v>
      </c>
      <c r="AA148">
        <v>0</v>
      </c>
      <c r="AB148" s="1" t="s">
        <v>48</v>
      </c>
      <c r="AC148" t="s">
        <v>46</v>
      </c>
      <c r="AD148" t="s">
        <v>53</v>
      </c>
      <c r="AE148" s="2">
        <v>544</v>
      </c>
    </row>
    <row r="149" spans="1:31" x14ac:dyDescent="0.35">
      <c r="A149">
        <v>41</v>
      </c>
      <c r="B149" s="1" t="s">
        <v>39</v>
      </c>
      <c r="C149" s="1" t="s">
        <v>40</v>
      </c>
      <c r="D149">
        <v>10</v>
      </c>
      <c r="E149">
        <v>3</v>
      </c>
      <c r="F149" s="1" t="s">
        <v>32</v>
      </c>
      <c r="G149">
        <v>4</v>
      </c>
      <c r="H149" s="1" t="s">
        <v>41</v>
      </c>
      <c r="I149">
        <v>2</v>
      </c>
      <c r="J149">
        <v>4</v>
      </c>
      <c r="K149" s="1" t="s">
        <v>55</v>
      </c>
      <c r="L149">
        <v>1</v>
      </c>
      <c r="M149" s="1" t="s">
        <v>50</v>
      </c>
      <c r="N149">
        <v>17181</v>
      </c>
      <c r="O149">
        <v>4</v>
      </c>
      <c r="P149" s="1" t="s">
        <v>39</v>
      </c>
      <c r="Q149">
        <v>13</v>
      </c>
      <c r="R149">
        <v>2</v>
      </c>
      <c r="S149">
        <v>1</v>
      </c>
      <c r="T149">
        <v>21</v>
      </c>
      <c r="U149">
        <v>2</v>
      </c>
      <c r="V149">
        <v>2</v>
      </c>
      <c r="W149">
        <v>7</v>
      </c>
      <c r="X149">
        <v>6</v>
      </c>
      <c r="Y149">
        <v>7</v>
      </c>
      <c r="Z149">
        <v>7</v>
      </c>
      <c r="AA149">
        <v>0</v>
      </c>
      <c r="AB149" s="1" t="s">
        <v>36</v>
      </c>
      <c r="AC149" t="s">
        <v>56</v>
      </c>
      <c r="AD149" t="s">
        <v>38</v>
      </c>
      <c r="AE149" s="2">
        <v>2454.4285714285716</v>
      </c>
    </row>
    <row r="150" spans="1:31" x14ac:dyDescent="0.35">
      <c r="A150">
        <v>41</v>
      </c>
      <c r="B150" s="1" t="s">
        <v>39</v>
      </c>
      <c r="C150" s="1" t="s">
        <v>40</v>
      </c>
      <c r="D150">
        <v>9</v>
      </c>
      <c r="E150">
        <v>4</v>
      </c>
      <c r="F150" s="1" t="s">
        <v>32</v>
      </c>
      <c r="G150">
        <v>3</v>
      </c>
      <c r="H150" s="1" t="s">
        <v>41</v>
      </c>
      <c r="I150">
        <v>3</v>
      </c>
      <c r="J150">
        <v>1</v>
      </c>
      <c r="K150" s="1" t="s">
        <v>45</v>
      </c>
      <c r="L150">
        <v>1</v>
      </c>
      <c r="M150" s="1" t="s">
        <v>43</v>
      </c>
      <c r="N150">
        <v>2238</v>
      </c>
      <c r="O150">
        <v>2</v>
      </c>
      <c r="P150" s="1" t="s">
        <v>39</v>
      </c>
      <c r="Q150">
        <v>21</v>
      </c>
      <c r="R150">
        <v>4</v>
      </c>
      <c r="S150">
        <v>1</v>
      </c>
      <c r="T150">
        <v>7</v>
      </c>
      <c r="U150">
        <v>2</v>
      </c>
      <c r="V150">
        <v>3</v>
      </c>
      <c r="W150">
        <v>5</v>
      </c>
      <c r="X150">
        <v>0</v>
      </c>
      <c r="Y150">
        <v>1</v>
      </c>
      <c r="Z150">
        <v>4</v>
      </c>
      <c r="AA150">
        <v>0</v>
      </c>
      <c r="AB150" s="1" t="s">
        <v>36</v>
      </c>
      <c r="AC150" t="s">
        <v>46</v>
      </c>
      <c r="AD150" t="s">
        <v>53</v>
      </c>
      <c r="AE150" s="2">
        <v>447.6</v>
      </c>
    </row>
    <row r="151" spans="1:31" x14ac:dyDescent="0.35">
      <c r="A151">
        <v>19</v>
      </c>
      <c r="B151" s="1" t="s">
        <v>39</v>
      </c>
      <c r="C151" s="1" t="s">
        <v>40</v>
      </c>
      <c r="D151">
        <v>3</v>
      </c>
      <c r="E151">
        <v>1</v>
      </c>
      <c r="F151" s="1" t="s">
        <v>49</v>
      </c>
      <c r="G151">
        <v>2</v>
      </c>
      <c r="H151" s="1" t="s">
        <v>33</v>
      </c>
      <c r="I151">
        <v>3</v>
      </c>
      <c r="J151">
        <v>1</v>
      </c>
      <c r="K151" s="1" t="s">
        <v>45</v>
      </c>
      <c r="L151">
        <v>2</v>
      </c>
      <c r="M151" s="1" t="s">
        <v>35</v>
      </c>
      <c r="N151">
        <v>1483</v>
      </c>
      <c r="O151">
        <v>1</v>
      </c>
      <c r="P151" s="1" t="s">
        <v>39</v>
      </c>
      <c r="Q151">
        <v>14</v>
      </c>
      <c r="R151">
        <v>4</v>
      </c>
      <c r="S151">
        <v>0</v>
      </c>
      <c r="T151">
        <v>1</v>
      </c>
      <c r="U151">
        <v>3</v>
      </c>
      <c r="V151">
        <v>3</v>
      </c>
      <c r="W151">
        <v>1</v>
      </c>
      <c r="X151">
        <v>0</v>
      </c>
      <c r="Y151">
        <v>0</v>
      </c>
      <c r="Z151">
        <v>0</v>
      </c>
      <c r="AA151">
        <v>0</v>
      </c>
      <c r="AB151" s="1" t="s">
        <v>54</v>
      </c>
      <c r="AC151" t="s">
        <v>46</v>
      </c>
      <c r="AD151" t="s">
        <v>47</v>
      </c>
      <c r="AE151" s="2">
        <v>1483</v>
      </c>
    </row>
    <row r="152" spans="1:31" x14ac:dyDescent="0.35">
      <c r="A152">
        <v>40</v>
      </c>
      <c r="B152" s="1" t="s">
        <v>39</v>
      </c>
      <c r="C152" s="1" t="s">
        <v>40</v>
      </c>
      <c r="D152">
        <v>26</v>
      </c>
      <c r="E152">
        <v>3</v>
      </c>
      <c r="F152" s="1" t="s">
        <v>49</v>
      </c>
      <c r="G152">
        <v>2</v>
      </c>
      <c r="H152" s="1" t="s">
        <v>33</v>
      </c>
      <c r="I152">
        <v>3</v>
      </c>
      <c r="J152">
        <v>2</v>
      </c>
      <c r="K152" s="1" t="s">
        <v>42</v>
      </c>
      <c r="L152">
        <v>2</v>
      </c>
      <c r="M152" s="1" t="s">
        <v>50</v>
      </c>
      <c r="N152">
        <v>5605</v>
      </c>
      <c r="O152">
        <v>1</v>
      </c>
      <c r="P152" s="1" t="s">
        <v>39</v>
      </c>
      <c r="Q152">
        <v>11</v>
      </c>
      <c r="R152">
        <v>1</v>
      </c>
      <c r="S152">
        <v>1</v>
      </c>
      <c r="T152">
        <v>20</v>
      </c>
      <c r="U152">
        <v>2</v>
      </c>
      <c r="V152">
        <v>3</v>
      </c>
      <c r="W152">
        <v>20</v>
      </c>
      <c r="X152">
        <v>7</v>
      </c>
      <c r="Y152">
        <v>2</v>
      </c>
      <c r="Z152">
        <v>13</v>
      </c>
      <c r="AA152">
        <v>0</v>
      </c>
      <c r="AB152" s="1" t="s">
        <v>36</v>
      </c>
      <c r="AC152" t="s">
        <v>37</v>
      </c>
      <c r="AD152" t="s">
        <v>57</v>
      </c>
      <c r="AE152" s="2">
        <v>280.25</v>
      </c>
    </row>
    <row r="153" spans="1:31" x14ac:dyDescent="0.35">
      <c r="A153">
        <v>35</v>
      </c>
      <c r="B153" s="1" t="s">
        <v>39</v>
      </c>
      <c r="C153" s="1" t="s">
        <v>31</v>
      </c>
      <c r="D153">
        <v>1</v>
      </c>
      <c r="E153">
        <v>5</v>
      </c>
      <c r="F153" s="1" t="s">
        <v>60</v>
      </c>
      <c r="G153">
        <v>3</v>
      </c>
      <c r="H153" s="1" t="s">
        <v>41</v>
      </c>
      <c r="I153">
        <v>3</v>
      </c>
      <c r="J153">
        <v>3</v>
      </c>
      <c r="K153" s="1" t="s">
        <v>34</v>
      </c>
      <c r="L153">
        <v>2</v>
      </c>
      <c r="M153" s="1" t="s">
        <v>43</v>
      </c>
      <c r="N153">
        <v>7295</v>
      </c>
      <c r="O153">
        <v>1</v>
      </c>
      <c r="P153" s="1" t="s">
        <v>39</v>
      </c>
      <c r="Q153">
        <v>13</v>
      </c>
      <c r="R153">
        <v>1</v>
      </c>
      <c r="S153">
        <v>2</v>
      </c>
      <c r="T153">
        <v>10</v>
      </c>
      <c r="U153">
        <v>3</v>
      </c>
      <c r="V153">
        <v>3</v>
      </c>
      <c r="W153">
        <v>10</v>
      </c>
      <c r="X153">
        <v>8</v>
      </c>
      <c r="Y153">
        <v>0</v>
      </c>
      <c r="Z153">
        <v>6</v>
      </c>
      <c r="AA153">
        <v>0</v>
      </c>
      <c r="AB153" s="1" t="s">
        <v>48</v>
      </c>
      <c r="AC153" t="s">
        <v>37</v>
      </c>
      <c r="AD153" t="s">
        <v>38</v>
      </c>
      <c r="AE153" s="2">
        <v>729.5</v>
      </c>
    </row>
    <row r="154" spans="1:31" x14ac:dyDescent="0.35">
      <c r="A154">
        <v>53</v>
      </c>
      <c r="B154" s="1" t="s">
        <v>39</v>
      </c>
      <c r="C154" s="1" t="s">
        <v>31</v>
      </c>
      <c r="D154">
        <v>6</v>
      </c>
      <c r="E154">
        <v>2</v>
      </c>
      <c r="F154" s="1" t="s">
        <v>60</v>
      </c>
      <c r="G154">
        <v>2</v>
      </c>
      <c r="H154" s="1" t="s">
        <v>41</v>
      </c>
      <c r="I154">
        <v>3</v>
      </c>
      <c r="J154">
        <v>2</v>
      </c>
      <c r="K154" s="1" t="s">
        <v>58</v>
      </c>
      <c r="L154">
        <v>3</v>
      </c>
      <c r="M154" s="1" t="s">
        <v>43</v>
      </c>
      <c r="N154">
        <v>2306</v>
      </c>
      <c r="O154">
        <v>2</v>
      </c>
      <c r="P154" s="1" t="s">
        <v>30</v>
      </c>
      <c r="Q154">
        <v>20</v>
      </c>
      <c r="R154">
        <v>4</v>
      </c>
      <c r="S154">
        <v>1</v>
      </c>
      <c r="T154">
        <v>13</v>
      </c>
      <c r="U154">
        <v>3</v>
      </c>
      <c r="V154">
        <v>1</v>
      </c>
      <c r="W154">
        <v>7</v>
      </c>
      <c r="X154">
        <v>7</v>
      </c>
      <c r="Y154">
        <v>4</v>
      </c>
      <c r="Z154">
        <v>5</v>
      </c>
      <c r="AA154">
        <v>0</v>
      </c>
      <c r="AB154" s="1" t="s">
        <v>82</v>
      </c>
      <c r="AC154" t="s">
        <v>46</v>
      </c>
      <c r="AD154" t="s">
        <v>38</v>
      </c>
      <c r="AE154" s="2">
        <v>329.42857142857144</v>
      </c>
    </row>
    <row r="155" spans="1:31" x14ac:dyDescent="0.35">
      <c r="A155">
        <v>45</v>
      </c>
      <c r="B155" s="1" t="s">
        <v>39</v>
      </c>
      <c r="C155" s="1" t="s">
        <v>40</v>
      </c>
      <c r="D155">
        <v>9</v>
      </c>
      <c r="E155">
        <v>3</v>
      </c>
      <c r="F155" s="1" t="s">
        <v>32</v>
      </c>
      <c r="G155">
        <v>2</v>
      </c>
      <c r="H155" s="1" t="s">
        <v>41</v>
      </c>
      <c r="I155">
        <v>3</v>
      </c>
      <c r="J155">
        <v>2</v>
      </c>
      <c r="K155" s="1" t="s">
        <v>45</v>
      </c>
      <c r="L155">
        <v>2</v>
      </c>
      <c r="M155" s="1" t="s">
        <v>50</v>
      </c>
      <c r="N155">
        <v>2348</v>
      </c>
      <c r="O155">
        <v>8</v>
      </c>
      <c r="P155" s="1" t="s">
        <v>39</v>
      </c>
      <c r="Q155">
        <v>18</v>
      </c>
      <c r="R155">
        <v>3</v>
      </c>
      <c r="S155">
        <v>1</v>
      </c>
      <c r="T155">
        <v>20</v>
      </c>
      <c r="U155">
        <v>2</v>
      </c>
      <c r="V155">
        <v>1</v>
      </c>
      <c r="W155">
        <v>17</v>
      </c>
      <c r="X155">
        <v>9</v>
      </c>
      <c r="Y155">
        <v>0</v>
      </c>
      <c r="Z155">
        <v>15</v>
      </c>
      <c r="AA155">
        <v>0</v>
      </c>
      <c r="AB155" s="1" t="s">
        <v>36</v>
      </c>
      <c r="AC155" t="s">
        <v>46</v>
      </c>
      <c r="AD155" t="s">
        <v>57</v>
      </c>
      <c r="AE155" s="2">
        <v>138.11764705882354</v>
      </c>
    </row>
    <row r="156" spans="1:31" x14ac:dyDescent="0.35">
      <c r="A156">
        <v>32</v>
      </c>
      <c r="B156" s="1" t="s">
        <v>39</v>
      </c>
      <c r="C156" s="1" t="s">
        <v>31</v>
      </c>
      <c r="D156">
        <v>8</v>
      </c>
      <c r="E156">
        <v>3</v>
      </c>
      <c r="F156" s="1" t="s">
        <v>60</v>
      </c>
      <c r="G156">
        <v>2</v>
      </c>
      <c r="H156" s="1" t="s">
        <v>33</v>
      </c>
      <c r="I156">
        <v>3</v>
      </c>
      <c r="J156">
        <v>3</v>
      </c>
      <c r="K156" s="1" t="s">
        <v>34</v>
      </c>
      <c r="L156">
        <v>4</v>
      </c>
      <c r="M156" s="1" t="s">
        <v>35</v>
      </c>
      <c r="N156">
        <v>8998</v>
      </c>
      <c r="O156">
        <v>1</v>
      </c>
      <c r="P156" s="1" t="s">
        <v>39</v>
      </c>
      <c r="Q156">
        <v>14</v>
      </c>
      <c r="R156">
        <v>4</v>
      </c>
      <c r="S156">
        <v>0</v>
      </c>
      <c r="T156">
        <v>9</v>
      </c>
      <c r="U156">
        <v>2</v>
      </c>
      <c r="V156">
        <v>3</v>
      </c>
      <c r="W156">
        <v>9</v>
      </c>
      <c r="X156">
        <v>8</v>
      </c>
      <c r="Y156">
        <v>3</v>
      </c>
      <c r="Z156">
        <v>7</v>
      </c>
      <c r="AA156">
        <v>0</v>
      </c>
      <c r="AB156" s="1" t="s">
        <v>48</v>
      </c>
      <c r="AC156" t="s">
        <v>37</v>
      </c>
      <c r="AD156" t="s">
        <v>38</v>
      </c>
      <c r="AE156" s="2">
        <v>999.77777777777783</v>
      </c>
    </row>
    <row r="157" spans="1:31" x14ac:dyDescent="0.35">
      <c r="A157">
        <v>29</v>
      </c>
      <c r="B157" s="1" t="s">
        <v>39</v>
      </c>
      <c r="C157" s="1" t="s">
        <v>40</v>
      </c>
      <c r="D157">
        <v>1</v>
      </c>
      <c r="E157">
        <v>1</v>
      </c>
      <c r="F157" s="1" t="s">
        <v>61</v>
      </c>
      <c r="G157">
        <v>4</v>
      </c>
      <c r="H157" s="1" t="s">
        <v>41</v>
      </c>
      <c r="I157">
        <v>3</v>
      </c>
      <c r="J157">
        <v>2</v>
      </c>
      <c r="K157" s="1" t="s">
        <v>51</v>
      </c>
      <c r="L157">
        <v>3</v>
      </c>
      <c r="M157" s="1" t="s">
        <v>43</v>
      </c>
      <c r="N157">
        <v>4319</v>
      </c>
      <c r="O157">
        <v>1</v>
      </c>
      <c r="P157" s="1" t="s">
        <v>39</v>
      </c>
      <c r="Q157">
        <v>13</v>
      </c>
      <c r="R157">
        <v>1</v>
      </c>
      <c r="S157">
        <v>1</v>
      </c>
      <c r="T157">
        <v>10</v>
      </c>
      <c r="U157">
        <v>1</v>
      </c>
      <c r="V157">
        <v>3</v>
      </c>
      <c r="W157">
        <v>10</v>
      </c>
      <c r="X157">
        <v>7</v>
      </c>
      <c r="Y157">
        <v>0</v>
      </c>
      <c r="Z157">
        <v>9</v>
      </c>
      <c r="AA157">
        <v>0</v>
      </c>
      <c r="AB157" s="1" t="s">
        <v>48</v>
      </c>
      <c r="AC157" t="s">
        <v>37</v>
      </c>
      <c r="AD157" t="s">
        <v>38</v>
      </c>
      <c r="AE157" s="2">
        <v>431.9</v>
      </c>
    </row>
    <row r="158" spans="1:31" x14ac:dyDescent="0.35">
      <c r="A158">
        <v>51</v>
      </c>
      <c r="B158" s="1" t="s">
        <v>39</v>
      </c>
      <c r="C158" s="1" t="s">
        <v>40</v>
      </c>
      <c r="D158">
        <v>7</v>
      </c>
      <c r="E158">
        <v>4</v>
      </c>
      <c r="F158" s="1" t="s">
        <v>49</v>
      </c>
      <c r="G158">
        <v>2</v>
      </c>
      <c r="H158" s="1" t="s">
        <v>41</v>
      </c>
      <c r="I158">
        <v>2</v>
      </c>
      <c r="J158">
        <v>2</v>
      </c>
      <c r="K158" s="1" t="s">
        <v>51</v>
      </c>
      <c r="L158">
        <v>3</v>
      </c>
      <c r="M158" s="1" t="s">
        <v>43</v>
      </c>
      <c r="N158">
        <v>6132</v>
      </c>
      <c r="O158">
        <v>2</v>
      </c>
      <c r="P158" s="1" t="s">
        <v>39</v>
      </c>
      <c r="Q158">
        <v>17</v>
      </c>
      <c r="R158">
        <v>3</v>
      </c>
      <c r="S158">
        <v>0</v>
      </c>
      <c r="T158">
        <v>10</v>
      </c>
      <c r="U158">
        <v>2</v>
      </c>
      <c r="V158">
        <v>3</v>
      </c>
      <c r="W158">
        <v>1</v>
      </c>
      <c r="X158">
        <v>0</v>
      </c>
      <c r="Y158">
        <v>0</v>
      </c>
      <c r="Z158">
        <v>0</v>
      </c>
      <c r="AA158">
        <v>0</v>
      </c>
      <c r="AB158" s="1" t="s">
        <v>82</v>
      </c>
      <c r="AC158" t="s">
        <v>37</v>
      </c>
      <c r="AD158" t="s">
        <v>47</v>
      </c>
      <c r="AE158" s="2">
        <v>6132</v>
      </c>
    </row>
    <row r="159" spans="1:31" x14ac:dyDescent="0.35">
      <c r="A159">
        <v>58</v>
      </c>
      <c r="B159" s="1" t="s">
        <v>39</v>
      </c>
      <c r="C159" s="1" t="s">
        <v>40</v>
      </c>
      <c r="D159">
        <v>9</v>
      </c>
      <c r="E159">
        <v>3</v>
      </c>
      <c r="F159" s="1" t="s">
        <v>49</v>
      </c>
      <c r="G159">
        <v>2</v>
      </c>
      <c r="H159" s="1" t="s">
        <v>33</v>
      </c>
      <c r="I159">
        <v>2</v>
      </c>
      <c r="J159">
        <v>1</v>
      </c>
      <c r="K159" s="1" t="s">
        <v>42</v>
      </c>
      <c r="L159">
        <v>2</v>
      </c>
      <c r="M159" s="1" t="s">
        <v>43</v>
      </c>
      <c r="N159">
        <v>3346</v>
      </c>
      <c r="O159">
        <v>4</v>
      </c>
      <c r="P159" s="1" t="s">
        <v>30</v>
      </c>
      <c r="Q159">
        <v>20</v>
      </c>
      <c r="R159">
        <v>2</v>
      </c>
      <c r="S159">
        <v>1</v>
      </c>
      <c r="T159">
        <v>9</v>
      </c>
      <c r="U159">
        <v>3</v>
      </c>
      <c r="V159">
        <v>2</v>
      </c>
      <c r="W159">
        <v>1</v>
      </c>
      <c r="X159">
        <v>0</v>
      </c>
      <c r="Y159">
        <v>0</v>
      </c>
      <c r="Z159">
        <v>0</v>
      </c>
      <c r="AA159">
        <v>0</v>
      </c>
      <c r="AB159" s="1" t="s">
        <v>82</v>
      </c>
      <c r="AC159" t="s">
        <v>46</v>
      </c>
      <c r="AD159" t="s">
        <v>47</v>
      </c>
      <c r="AE159" s="2">
        <v>3346</v>
      </c>
    </row>
    <row r="160" spans="1:31" x14ac:dyDescent="0.35">
      <c r="A160">
        <v>40</v>
      </c>
      <c r="B160" s="1" t="s">
        <v>39</v>
      </c>
      <c r="C160" s="1" t="s">
        <v>31</v>
      </c>
      <c r="D160">
        <v>4</v>
      </c>
      <c r="E160">
        <v>4</v>
      </c>
      <c r="F160" s="1" t="s">
        <v>60</v>
      </c>
      <c r="G160">
        <v>3</v>
      </c>
      <c r="H160" s="1" t="s">
        <v>41</v>
      </c>
      <c r="I160">
        <v>2</v>
      </c>
      <c r="J160">
        <v>3</v>
      </c>
      <c r="K160" s="1" t="s">
        <v>34</v>
      </c>
      <c r="L160">
        <v>4</v>
      </c>
      <c r="M160" s="1" t="s">
        <v>43</v>
      </c>
      <c r="N160">
        <v>10855</v>
      </c>
      <c r="O160">
        <v>7</v>
      </c>
      <c r="P160" s="1" t="s">
        <v>39</v>
      </c>
      <c r="Q160">
        <v>11</v>
      </c>
      <c r="R160">
        <v>1</v>
      </c>
      <c r="S160">
        <v>1</v>
      </c>
      <c r="T160">
        <v>15</v>
      </c>
      <c r="U160">
        <v>2</v>
      </c>
      <c r="V160">
        <v>2</v>
      </c>
      <c r="W160">
        <v>12</v>
      </c>
      <c r="X160">
        <v>11</v>
      </c>
      <c r="Y160">
        <v>2</v>
      </c>
      <c r="Z160">
        <v>11</v>
      </c>
      <c r="AA160">
        <v>0</v>
      </c>
      <c r="AB160" s="1" t="s">
        <v>36</v>
      </c>
      <c r="AC160" t="s">
        <v>56</v>
      </c>
      <c r="AD160" t="s">
        <v>57</v>
      </c>
      <c r="AE160" s="2">
        <v>904.58333333333337</v>
      </c>
    </row>
    <row r="161" spans="1:31" x14ac:dyDescent="0.35">
      <c r="A161">
        <v>34</v>
      </c>
      <c r="B161" s="1" t="s">
        <v>39</v>
      </c>
      <c r="C161" s="1" t="s">
        <v>31</v>
      </c>
      <c r="D161">
        <v>2</v>
      </c>
      <c r="E161">
        <v>4</v>
      </c>
      <c r="F161" s="1" t="s">
        <v>60</v>
      </c>
      <c r="G161">
        <v>3</v>
      </c>
      <c r="H161" s="1" t="s">
        <v>33</v>
      </c>
      <c r="I161">
        <v>3</v>
      </c>
      <c r="J161">
        <v>1</v>
      </c>
      <c r="K161" s="1" t="s">
        <v>58</v>
      </c>
      <c r="L161">
        <v>3</v>
      </c>
      <c r="M161" s="1" t="s">
        <v>43</v>
      </c>
      <c r="N161">
        <v>2231</v>
      </c>
      <c r="O161">
        <v>6</v>
      </c>
      <c r="P161" s="1" t="s">
        <v>39</v>
      </c>
      <c r="Q161">
        <v>18</v>
      </c>
      <c r="R161">
        <v>4</v>
      </c>
      <c r="S161">
        <v>1</v>
      </c>
      <c r="T161">
        <v>6</v>
      </c>
      <c r="U161">
        <v>3</v>
      </c>
      <c r="V161">
        <v>3</v>
      </c>
      <c r="W161">
        <v>4</v>
      </c>
      <c r="X161">
        <v>3</v>
      </c>
      <c r="Y161">
        <v>1</v>
      </c>
      <c r="Z161">
        <v>2</v>
      </c>
      <c r="AA161">
        <v>0</v>
      </c>
      <c r="AB161" s="1" t="s">
        <v>48</v>
      </c>
      <c r="AC161" t="s">
        <v>46</v>
      </c>
      <c r="AD161" t="s">
        <v>53</v>
      </c>
      <c r="AE161" s="2">
        <v>557.75</v>
      </c>
    </row>
    <row r="162" spans="1:31" x14ac:dyDescent="0.35">
      <c r="A162">
        <v>22</v>
      </c>
      <c r="B162" s="1" t="s">
        <v>39</v>
      </c>
      <c r="C162" s="1" t="s">
        <v>40</v>
      </c>
      <c r="D162">
        <v>19</v>
      </c>
      <c r="E162">
        <v>1</v>
      </c>
      <c r="F162" s="1" t="s">
        <v>49</v>
      </c>
      <c r="G162">
        <v>3</v>
      </c>
      <c r="H162" s="1" t="s">
        <v>41</v>
      </c>
      <c r="I162">
        <v>3</v>
      </c>
      <c r="J162">
        <v>1</v>
      </c>
      <c r="K162" s="1" t="s">
        <v>42</v>
      </c>
      <c r="L162">
        <v>4</v>
      </c>
      <c r="M162" s="1" t="s">
        <v>43</v>
      </c>
      <c r="N162">
        <v>2323</v>
      </c>
      <c r="O162">
        <v>1</v>
      </c>
      <c r="P162" s="1" t="s">
        <v>39</v>
      </c>
      <c r="Q162">
        <v>24</v>
      </c>
      <c r="R162">
        <v>1</v>
      </c>
      <c r="S162">
        <v>2</v>
      </c>
      <c r="T162">
        <v>2</v>
      </c>
      <c r="U162">
        <v>6</v>
      </c>
      <c r="V162">
        <v>3</v>
      </c>
      <c r="W162">
        <v>2</v>
      </c>
      <c r="X162">
        <v>2</v>
      </c>
      <c r="Y162">
        <v>2</v>
      </c>
      <c r="Z162">
        <v>2</v>
      </c>
      <c r="AA162">
        <v>0</v>
      </c>
      <c r="AB162" s="1" t="s">
        <v>54</v>
      </c>
      <c r="AC162" t="s">
        <v>46</v>
      </c>
      <c r="AD162" t="s">
        <v>47</v>
      </c>
      <c r="AE162" s="2">
        <v>1161.5</v>
      </c>
    </row>
    <row r="163" spans="1:31" x14ac:dyDescent="0.35">
      <c r="A163">
        <v>27</v>
      </c>
      <c r="B163" s="1" t="s">
        <v>39</v>
      </c>
      <c r="C163" s="1" t="s">
        <v>40</v>
      </c>
      <c r="D163">
        <v>9</v>
      </c>
      <c r="E163">
        <v>3</v>
      </c>
      <c r="F163" s="1" t="s">
        <v>49</v>
      </c>
      <c r="G163">
        <v>4</v>
      </c>
      <c r="H163" s="1" t="s">
        <v>41</v>
      </c>
      <c r="I163">
        <v>3</v>
      </c>
      <c r="J163">
        <v>1</v>
      </c>
      <c r="K163" s="1" t="s">
        <v>42</v>
      </c>
      <c r="L163">
        <v>2</v>
      </c>
      <c r="M163" s="1" t="s">
        <v>50</v>
      </c>
      <c r="N163">
        <v>2024</v>
      </c>
      <c r="O163">
        <v>6</v>
      </c>
      <c r="P163" s="1" t="s">
        <v>39</v>
      </c>
      <c r="Q163">
        <v>18</v>
      </c>
      <c r="R163">
        <v>4</v>
      </c>
      <c r="S163">
        <v>1</v>
      </c>
      <c r="T163">
        <v>6</v>
      </c>
      <c r="U163">
        <v>1</v>
      </c>
      <c r="V163">
        <v>1</v>
      </c>
      <c r="W163">
        <v>2</v>
      </c>
      <c r="X163">
        <v>2</v>
      </c>
      <c r="Y163">
        <v>2</v>
      </c>
      <c r="Z163">
        <v>2</v>
      </c>
      <c r="AA163">
        <v>0</v>
      </c>
      <c r="AB163" s="1" t="s">
        <v>48</v>
      </c>
      <c r="AC163" t="s">
        <v>46</v>
      </c>
      <c r="AD163" t="s">
        <v>47</v>
      </c>
      <c r="AE163" s="2">
        <v>1012</v>
      </c>
    </row>
    <row r="164" spans="1:31" x14ac:dyDescent="0.35">
      <c r="A164">
        <v>28</v>
      </c>
      <c r="B164" s="1" t="s">
        <v>39</v>
      </c>
      <c r="C164" s="1" t="s">
        <v>40</v>
      </c>
      <c r="D164">
        <v>21</v>
      </c>
      <c r="E164">
        <v>3</v>
      </c>
      <c r="F164" s="1" t="s">
        <v>49</v>
      </c>
      <c r="G164">
        <v>3</v>
      </c>
      <c r="H164" s="1" t="s">
        <v>41</v>
      </c>
      <c r="I164">
        <v>3</v>
      </c>
      <c r="J164">
        <v>1</v>
      </c>
      <c r="K164" s="1" t="s">
        <v>42</v>
      </c>
      <c r="L164">
        <v>4</v>
      </c>
      <c r="M164" s="1" t="s">
        <v>43</v>
      </c>
      <c r="N164">
        <v>2713</v>
      </c>
      <c r="O164">
        <v>1</v>
      </c>
      <c r="P164" s="1" t="s">
        <v>39</v>
      </c>
      <c r="Q164">
        <v>11</v>
      </c>
      <c r="R164">
        <v>3</v>
      </c>
      <c r="S164">
        <v>1</v>
      </c>
      <c r="T164">
        <v>5</v>
      </c>
      <c r="U164">
        <v>2</v>
      </c>
      <c r="V164">
        <v>1</v>
      </c>
      <c r="W164">
        <v>5</v>
      </c>
      <c r="X164">
        <v>2</v>
      </c>
      <c r="Y164">
        <v>0</v>
      </c>
      <c r="Z164">
        <v>2</v>
      </c>
      <c r="AA164">
        <v>0</v>
      </c>
      <c r="AB164" s="1" t="s">
        <v>48</v>
      </c>
      <c r="AC164" t="s">
        <v>46</v>
      </c>
      <c r="AD164" t="s">
        <v>53</v>
      </c>
      <c r="AE164" s="2">
        <v>542.6</v>
      </c>
    </row>
    <row r="165" spans="1:31" x14ac:dyDescent="0.35">
      <c r="A165">
        <v>57</v>
      </c>
      <c r="B165" s="1" t="s">
        <v>39</v>
      </c>
      <c r="C165" s="1" t="s">
        <v>40</v>
      </c>
      <c r="D165">
        <v>24</v>
      </c>
      <c r="E165">
        <v>2</v>
      </c>
      <c r="F165" s="1" t="s">
        <v>32</v>
      </c>
      <c r="G165">
        <v>3</v>
      </c>
      <c r="H165" s="1" t="s">
        <v>41</v>
      </c>
      <c r="I165">
        <v>4</v>
      </c>
      <c r="J165">
        <v>3</v>
      </c>
      <c r="K165" s="1" t="s">
        <v>52</v>
      </c>
      <c r="L165">
        <v>4</v>
      </c>
      <c r="M165" s="1" t="s">
        <v>50</v>
      </c>
      <c r="N165">
        <v>9439</v>
      </c>
      <c r="O165">
        <v>3</v>
      </c>
      <c r="P165" s="1" t="s">
        <v>30</v>
      </c>
      <c r="Q165">
        <v>16</v>
      </c>
      <c r="R165">
        <v>2</v>
      </c>
      <c r="S165">
        <v>1</v>
      </c>
      <c r="T165">
        <v>12</v>
      </c>
      <c r="U165">
        <v>2</v>
      </c>
      <c r="V165">
        <v>1</v>
      </c>
      <c r="W165">
        <v>5</v>
      </c>
      <c r="X165">
        <v>3</v>
      </c>
      <c r="Y165">
        <v>1</v>
      </c>
      <c r="Z165">
        <v>4</v>
      </c>
      <c r="AA165">
        <v>0</v>
      </c>
      <c r="AB165" s="1" t="s">
        <v>82</v>
      </c>
      <c r="AC165" t="s">
        <v>37</v>
      </c>
      <c r="AD165" t="s">
        <v>53</v>
      </c>
      <c r="AE165" s="2">
        <v>1887.8</v>
      </c>
    </row>
    <row r="166" spans="1:31" x14ac:dyDescent="0.35">
      <c r="A166">
        <v>27</v>
      </c>
      <c r="B166" s="1" t="s">
        <v>39</v>
      </c>
      <c r="C166" s="1" t="s">
        <v>40</v>
      </c>
      <c r="D166">
        <v>3</v>
      </c>
      <c r="E166">
        <v>3</v>
      </c>
      <c r="F166" s="1" t="s">
        <v>49</v>
      </c>
      <c r="G166">
        <v>3</v>
      </c>
      <c r="H166" s="1" t="s">
        <v>41</v>
      </c>
      <c r="I166">
        <v>2</v>
      </c>
      <c r="J166">
        <v>1</v>
      </c>
      <c r="K166" s="1" t="s">
        <v>42</v>
      </c>
      <c r="L166">
        <v>3</v>
      </c>
      <c r="M166" s="1" t="s">
        <v>50</v>
      </c>
      <c r="N166">
        <v>2566</v>
      </c>
      <c r="O166">
        <v>1</v>
      </c>
      <c r="P166" s="1" t="s">
        <v>30</v>
      </c>
      <c r="Q166">
        <v>15</v>
      </c>
      <c r="R166">
        <v>4</v>
      </c>
      <c r="S166">
        <v>1</v>
      </c>
      <c r="T166">
        <v>1</v>
      </c>
      <c r="U166">
        <v>2</v>
      </c>
      <c r="V166">
        <v>2</v>
      </c>
      <c r="W166">
        <v>1</v>
      </c>
      <c r="X166">
        <v>1</v>
      </c>
      <c r="Y166">
        <v>0</v>
      </c>
      <c r="Z166">
        <v>1</v>
      </c>
      <c r="AA166">
        <v>0</v>
      </c>
      <c r="AB166" s="1" t="s">
        <v>48</v>
      </c>
      <c r="AC166" t="s">
        <v>46</v>
      </c>
      <c r="AD166" t="s">
        <v>47</v>
      </c>
      <c r="AE166" s="2">
        <v>2566</v>
      </c>
    </row>
    <row r="167" spans="1:31" x14ac:dyDescent="0.35">
      <c r="A167">
        <v>50</v>
      </c>
      <c r="B167" s="1" t="s">
        <v>39</v>
      </c>
      <c r="C167" s="1" t="s">
        <v>40</v>
      </c>
      <c r="D167">
        <v>11</v>
      </c>
      <c r="E167">
        <v>3</v>
      </c>
      <c r="F167" s="1" t="s">
        <v>32</v>
      </c>
      <c r="G167">
        <v>3</v>
      </c>
      <c r="H167" s="1" t="s">
        <v>33</v>
      </c>
      <c r="I167">
        <v>3</v>
      </c>
      <c r="J167">
        <v>5</v>
      </c>
      <c r="K167" s="1" t="s">
        <v>55</v>
      </c>
      <c r="L167">
        <v>2</v>
      </c>
      <c r="M167" s="1" t="s">
        <v>35</v>
      </c>
      <c r="N167">
        <v>19926</v>
      </c>
      <c r="O167">
        <v>3</v>
      </c>
      <c r="P167" s="1" t="s">
        <v>39</v>
      </c>
      <c r="Q167">
        <v>15</v>
      </c>
      <c r="R167">
        <v>2</v>
      </c>
      <c r="S167">
        <v>0</v>
      </c>
      <c r="T167">
        <v>21</v>
      </c>
      <c r="U167">
        <v>5</v>
      </c>
      <c r="V167">
        <v>3</v>
      </c>
      <c r="W167">
        <v>5</v>
      </c>
      <c r="X167">
        <v>4</v>
      </c>
      <c r="Y167">
        <v>4</v>
      </c>
      <c r="Z167">
        <v>4</v>
      </c>
      <c r="AA167">
        <v>0</v>
      </c>
      <c r="AB167" s="1" t="s">
        <v>82</v>
      </c>
      <c r="AC167" t="s">
        <v>56</v>
      </c>
      <c r="AD167" t="s">
        <v>53</v>
      </c>
      <c r="AE167" s="2">
        <v>3985.2</v>
      </c>
    </row>
    <row r="168" spans="1:31" x14ac:dyDescent="0.35">
      <c r="A168">
        <v>41</v>
      </c>
      <c r="B168" s="1" t="s">
        <v>39</v>
      </c>
      <c r="C168" s="1" t="s">
        <v>40</v>
      </c>
      <c r="D168">
        <v>14</v>
      </c>
      <c r="E168">
        <v>3</v>
      </c>
      <c r="F168" s="1" t="s">
        <v>32</v>
      </c>
      <c r="G168">
        <v>1</v>
      </c>
      <c r="H168" s="1" t="s">
        <v>41</v>
      </c>
      <c r="I168">
        <v>3</v>
      </c>
      <c r="J168">
        <v>1</v>
      </c>
      <c r="K168" s="1" t="s">
        <v>42</v>
      </c>
      <c r="L168">
        <v>3</v>
      </c>
      <c r="M168" s="1" t="s">
        <v>50</v>
      </c>
      <c r="N168">
        <v>2451</v>
      </c>
      <c r="O168">
        <v>4</v>
      </c>
      <c r="P168" s="1" t="s">
        <v>39</v>
      </c>
      <c r="Q168">
        <v>12</v>
      </c>
      <c r="R168">
        <v>1</v>
      </c>
      <c r="S168">
        <v>1</v>
      </c>
      <c r="T168">
        <v>13</v>
      </c>
      <c r="U168">
        <v>2</v>
      </c>
      <c r="V168">
        <v>3</v>
      </c>
      <c r="W168">
        <v>9</v>
      </c>
      <c r="X168">
        <v>8</v>
      </c>
      <c r="Y168">
        <v>1</v>
      </c>
      <c r="Z168">
        <v>8</v>
      </c>
      <c r="AA168">
        <v>0</v>
      </c>
      <c r="AB168" s="1" t="s">
        <v>36</v>
      </c>
      <c r="AC168" t="s">
        <v>46</v>
      </c>
      <c r="AD168" t="s">
        <v>38</v>
      </c>
      <c r="AE168" s="2">
        <v>272.33333333333331</v>
      </c>
    </row>
    <row r="169" spans="1:31" x14ac:dyDescent="0.35">
      <c r="A169">
        <v>30</v>
      </c>
      <c r="B169" s="1" t="s">
        <v>39</v>
      </c>
      <c r="C169" s="1" t="s">
        <v>31</v>
      </c>
      <c r="D169">
        <v>5</v>
      </c>
      <c r="E169">
        <v>3</v>
      </c>
      <c r="F169" s="1" t="s">
        <v>32</v>
      </c>
      <c r="G169">
        <v>2</v>
      </c>
      <c r="H169" s="1" t="s">
        <v>33</v>
      </c>
      <c r="I169">
        <v>3</v>
      </c>
      <c r="J169">
        <v>3</v>
      </c>
      <c r="K169" s="1" t="s">
        <v>34</v>
      </c>
      <c r="L169">
        <v>4</v>
      </c>
      <c r="M169" s="1" t="s">
        <v>43</v>
      </c>
      <c r="N169">
        <v>9419</v>
      </c>
      <c r="O169">
        <v>2</v>
      </c>
      <c r="P169" s="1" t="s">
        <v>39</v>
      </c>
      <c r="Q169">
        <v>12</v>
      </c>
      <c r="R169">
        <v>3</v>
      </c>
      <c r="S169">
        <v>1</v>
      </c>
      <c r="T169">
        <v>12</v>
      </c>
      <c r="U169">
        <v>2</v>
      </c>
      <c r="V169">
        <v>3</v>
      </c>
      <c r="W169">
        <v>10</v>
      </c>
      <c r="X169">
        <v>9</v>
      </c>
      <c r="Y169">
        <v>7</v>
      </c>
      <c r="Z169">
        <v>4</v>
      </c>
      <c r="AA169">
        <v>0</v>
      </c>
      <c r="AB169" s="1" t="s">
        <v>48</v>
      </c>
      <c r="AC169" t="s">
        <v>37</v>
      </c>
      <c r="AD169" t="s">
        <v>38</v>
      </c>
      <c r="AE169" s="2">
        <v>941.9</v>
      </c>
    </row>
    <row r="170" spans="1:31" x14ac:dyDescent="0.35">
      <c r="A170">
        <v>38</v>
      </c>
      <c r="B170" s="1" t="s">
        <v>39</v>
      </c>
      <c r="C170" s="1" t="s">
        <v>31</v>
      </c>
      <c r="D170">
        <v>1</v>
      </c>
      <c r="E170">
        <v>4</v>
      </c>
      <c r="F170" s="1" t="s">
        <v>32</v>
      </c>
      <c r="G170">
        <v>1</v>
      </c>
      <c r="H170" s="1" t="s">
        <v>33</v>
      </c>
      <c r="I170">
        <v>2</v>
      </c>
      <c r="J170">
        <v>2</v>
      </c>
      <c r="K170" s="1" t="s">
        <v>34</v>
      </c>
      <c r="L170">
        <v>4</v>
      </c>
      <c r="M170" s="1" t="s">
        <v>35</v>
      </c>
      <c r="N170">
        <v>8686</v>
      </c>
      <c r="O170">
        <v>4</v>
      </c>
      <c r="P170" s="1" t="s">
        <v>39</v>
      </c>
      <c r="Q170">
        <v>22</v>
      </c>
      <c r="R170">
        <v>3</v>
      </c>
      <c r="S170">
        <v>0</v>
      </c>
      <c r="T170">
        <v>12</v>
      </c>
      <c r="U170">
        <v>2</v>
      </c>
      <c r="V170">
        <v>4</v>
      </c>
      <c r="W170">
        <v>8</v>
      </c>
      <c r="X170">
        <v>3</v>
      </c>
      <c r="Y170">
        <v>0</v>
      </c>
      <c r="Z170">
        <v>7</v>
      </c>
      <c r="AA170">
        <v>0</v>
      </c>
      <c r="AB170" s="1" t="s">
        <v>36</v>
      </c>
      <c r="AC170" t="s">
        <v>37</v>
      </c>
      <c r="AD170" t="s">
        <v>38</v>
      </c>
      <c r="AE170" s="2">
        <v>1085.75</v>
      </c>
    </row>
    <row r="171" spans="1:31" x14ac:dyDescent="0.35">
      <c r="A171">
        <v>32</v>
      </c>
      <c r="B171" s="1" t="s">
        <v>39</v>
      </c>
      <c r="C171" s="1" t="s">
        <v>40</v>
      </c>
      <c r="D171">
        <v>6</v>
      </c>
      <c r="E171">
        <v>5</v>
      </c>
      <c r="F171" s="1" t="s">
        <v>32</v>
      </c>
      <c r="G171">
        <v>3</v>
      </c>
      <c r="H171" s="1" t="s">
        <v>41</v>
      </c>
      <c r="I171">
        <v>3</v>
      </c>
      <c r="J171">
        <v>1</v>
      </c>
      <c r="K171" s="1" t="s">
        <v>42</v>
      </c>
      <c r="L171">
        <v>3</v>
      </c>
      <c r="M171" s="1" t="s">
        <v>35</v>
      </c>
      <c r="N171">
        <v>3038</v>
      </c>
      <c r="O171">
        <v>3</v>
      </c>
      <c r="P171" s="1" t="s">
        <v>39</v>
      </c>
      <c r="Q171">
        <v>20</v>
      </c>
      <c r="R171">
        <v>1</v>
      </c>
      <c r="S171">
        <v>0</v>
      </c>
      <c r="T171">
        <v>8</v>
      </c>
      <c r="U171">
        <v>2</v>
      </c>
      <c r="V171">
        <v>3</v>
      </c>
      <c r="W171">
        <v>5</v>
      </c>
      <c r="X171">
        <v>4</v>
      </c>
      <c r="Y171">
        <v>1</v>
      </c>
      <c r="Z171">
        <v>4</v>
      </c>
      <c r="AA171">
        <v>0</v>
      </c>
      <c r="AB171" s="1" t="s">
        <v>48</v>
      </c>
      <c r="AC171" t="s">
        <v>46</v>
      </c>
      <c r="AD171" t="s">
        <v>53</v>
      </c>
      <c r="AE171" s="2">
        <v>607.6</v>
      </c>
    </row>
    <row r="172" spans="1:31" x14ac:dyDescent="0.35">
      <c r="A172">
        <v>27</v>
      </c>
      <c r="B172" s="1" t="s">
        <v>39</v>
      </c>
      <c r="C172" s="1" t="s">
        <v>40</v>
      </c>
      <c r="D172">
        <v>17</v>
      </c>
      <c r="E172">
        <v>3</v>
      </c>
      <c r="F172" s="1" t="s">
        <v>61</v>
      </c>
      <c r="G172">
        <v>3</v>
      </c>
      <c r="H172" s="1" t="s">
        <v>41</v>
      </c>
      <c r="I172">
        <v>3</v>
      </c>
      <c r="J172">
        <v>1</v>
      </c>
      <c r="K172" s="1" t="s">
        <v>42</v>
      </c>
      <c r="L172">
        <v>2</v>
      </c>
      <c r="M172" s="1" t="s">
        <v>43</v>
      </c>
      <c r="N172">
        <v>3058</v>
      </c>
      <c r="O172">
        <v>0</v>
      </c>
      <c r="P172" s="1" t="s">
        <v>30</v>
      </c>
      <c r="Q172">
        <v>16</v>
      </c>
      <c r="R172">
        <v>4</v>
      </c>
      <c r="S172">
        <v>1</v>
      </c>
      <c r="T172">
        <v>6</v>
      </c>
      <c r="U172">
        <v>3</v>
      </c>
      <c r="V172">
        <v>2</v>
      </c>
      <c r="W172">
        <v>5</v>
      </c>
      <c r="X172">
        <v>2</v>
      </c>
      <c r="Y172">
        <v>1</v>
      </c>
      <c r="Z172">
        <v>1</v>
      </c>
      <c r="AA172">
        <v>0</v>
      </c>
      <c r="AB172" s="1" t="s">
        <v>48</v>
      </c>
      <c r="AC172" t="s">
        <v>46</v>
      </c>
      <c r="AD172" t="s">
        <v>53</v>
      </c>
      <c r="AE172" s="2">
        <v>611.6</v>
      </c>
    </row>
    <row r="173" spans="1:31" x14ac:dyDescent="0.35">
      <c r="A173">
        <v>19</v>
      </c>
      <c r="B173" s="1" t="s">
        <v>30</v>
      </c>
      <c r="C173" s="1" t="s">
        <v>31</v>
      </c>
      <c r="D173">
        <v>1</v>
      </c>
      <c r="E173">
        <v>1</v>
      </c>
      <c r="F173" s="1" t="s">
        <v>61</v>
      </c>
      <c r="G173">
        <v>3</v>
      </c>
      <c r="H173" s="1" t="s">
        <v>33</v>
      </c>
      <c r="I173">
        <v>1</v>
      </c>
      <c r="J173">
        <v>1</v>
      </c>
      <c r="K173" s="1" t="s">
        <v>58</v>
      </c>
      <c r="L173">
        <v>1</v>
      </c>
      <c r="M173" s="1" t="s">
        <v>35</v>
      </c>
      <c r="N173">
        <v>2325</v>
      </c>
      <c r="O173">
        <v>0</v>
      </c>
      <c r="P173" s="1" t="s">
        <v>39</v>
      </c>
      <c r="Q173">
        <v>21</v>
      </c>
      <c r="R173">
        <v>1</v>
      </c>
      <c r="S173">
        <v>0</v>
      </c>
      <c r="T173">
        <v>1</v>
      </c>
      <c r="U173">
        <v>5</v>
      </c>
      <c r="V173">
        <v>4</v>
      </c>
      <c r="W173">
        <v>0</v>
      </c>
      <c r="X173">
        <v>0</v>
      </c>
      <c r="Y173">
        <v>0</v>
      </c>
      <c r="Z173">
        <v>0</v>
      </c>
      <c r="AA173">
        <v>1</v>
      </c>
      <c r="AB173" s="1" t="s">
        <v>54</v>
      </c>
      <c r="AC173" t="s">
        <v>46</v>
      </c>
      <c r="AD173" t="s">
        <v>47</v>
      </c>
      <c r="AE173" s="2">
        <v>2325</v>
      </c>
    </row>
    <row r="174" spans="1:31" x14ac:dyDescent="0.35">
      <c r="A174">
        <v>36</v>
      </c>
      <c r="B174" s="1" t="s">
        <v>39</v>
      </c>
      <c r="C174" s="1" t="s">
        <v>40</v>
      </c>
      <c r="D174">
        <v>3</v>
      </c>
      <c r="E174">
        <v>2</v>
      </c>
      <c r="F174" s="1" t="s">
        <v>49</v>
      </c>
      <c r="G174">
        <v>4</v>
      </c>
      <c r="H174" s="1" t="s">
        <v>41</v>
      </c>
      <c r="I174">
        <v>3</v>
      </c>
      <c r="J174">
        <v>1</v>
      </c>
      <c r="K174" s="1" t="s">
        <v>45</v>
      </c>
      <c r="L174">
        <v>2</v>
      </c>
      <c r="M174" s="1" t="s">
        <v>35</v>
      </c>
      <c r="N174">
        <v>2088</v>
      </c>
      <c r="O174">
        <v>4</v>
      </c>
      <c r="P174" s="1" t="s">
        <v>39</v>
      </c>
      <c r="Q174">
        <v>12</v>
      </c>
      <c r="R174">
        <v>3</v>
      </c>
      <c r="S174">
        <v>0</v>
      </c>
      <c r="T174">
        <v>13</v>
      </c>
      <c r="U174">
        <v>3</v>
      </c>
      <c r="V174">
        <v>2</v>
      </c>
      <c r="W174">
        <v>8</v>
      </c>
      <c r="X174">
        <v>7</v>
      </c>
      <c r="Y174">
        <v>7</v>
      </c>
      <c r="Z174">
        <v>2</v>
      </c>
      <c r="AA174">
        <v>0</v>
      </c>
      <c r="AB174" s="1" t="s">
        <v>36</v>
      </c>
      <c r="AC174" t="s">
        <v>46</v>
      </c>
      <c r="AD174" t="s">
        <v>38</v>
      </c>
      <c r="AE174" s="2">
        <v>261</v>
      </c>
    </row>
    <row r="175" spans="1:31" x14ac:dyDescent="0.35">
      <c r="A175">
        <v>30</v>
      </c>
      <c r="B175" s="1" t="s">
        <v>39</v>
      </c>
      <c r="C175" s="1" t="s">
        <v>40</v>
      </c>
      <c r="D175">
        <v>9</v>
      </c>
      <c r="E175">
        <v>3</v>
      </c>
      <c r="F175" s="1" t="s">
        <v>49</v>
      </c>
      <c r="G175">
        <v>3</v>
      </c>
      <c r="H175" s="1" t="s">
        <v>41</v>
      </c>
      <c r="I175">
        <v>3</v>
      </c>
      <c r="J175">
        <v>2</v>
      </c>
      <c r="K175" s="1" t="s">
        <v>45</v>
      </c>
      <c r="L175">
        <v>1</v>
      </c>
      <c r="M175" s="1" t="s">
        <v>50</v>
      </c>
      <c r="N175">
        <v>3072</v>
      </c>
      <c r="O175">
        <v>1</v>
      </c>
      <c r="P175" s="1" t="s">
        <v>39</v>
      </c>
      <c r="Q175">
        <v>11</v>
      </c>
      <c r="R175">
        <v>3</v>
      </c>
      <c r="S175">
        <v>2</v>
      </c>
      <c r="T175">
        <v>12</v>
      </c>
      <c r="U175">
        <v>4</v>
      </c>
      <c r="V175">
        <v>3</v>
      </c>
      <c r="W175">
        <v>12</v>
      </c>
      <c r="X175">
        <v>9</v>
      </c>
      <c r="Y175">
        <v>6</v>
      </c>
      <c r="Z175">
        <v>10</v>
      </c>
      <c r="AA175">
        <v>0</v>
      </c>
      <c r="AB175" s="1" t="s">
        <v>48</v>
      </c>
      <c r="AC175" t="s">
        <v>46</v>
      </c>
      <c r="AD175" t="s">
        <v>57</v>
      </c>
      <c r="AE175" s="2">
        <v>256</v>
      </c>
    </row>
    <row r="176" spans="1:31" x14ac:dyDescent="0.35">
      <c r="A176">
        <v>45</v>
      </c>
      <c r="B176" s="1" t="s">
        <v>39</v>
      </c>
      <c r="C176" s="1" t="s">
        <v>31</v>
      </c>
      <c r="D176">
        <v>4</v>
      </c>
      <c r="E176">
        <v>2</v>
      </c>
      <c r="F176" s="1" t="s">
        <v>32</v>
      </c>
      <c r="G176">
        <v>3</v>
      </c>
      <c r="H176" s="1" t="s">
        <v>33</v>
      </c>
      <c r="I176">
        <v>3</v>
      </c>
      <c r="J176">
        <v>2</v>
      </c>
      <c r="K176" s="1" t="s">
        <v>34</v>
      </c>
      <c r="L176">
        <v>1</v>
      </c>
      <c r="M176" s="1" t="s">
        <v>50</v>
      </c>
      <c r="N176">
        <v>5006</v>
      </c>
      <c r="O176">
        <v>4</v>
      </c>
      <c r="P176" s="1" t="s">
        <v>30</v>
      </c>
      <c r="Q176">
        <v>11</v>
      </c>
      <c r="R176">
        <v>1</v>
      </c>
      <c r="S176">
        <v>1</v>
      </c>
      <c r="T176">
        <v>9</v>
      </c>
      <c r="U176">
        <v>3</v>
      </c>
      <c r="V176">
        <v>4</v>
      </c>
      <c r="W176">
        <v>5</v>
      </c>
      <c r="X176">
        <v>4</v>
      </c>
      <c r="Y176">
        <v>0</v>
      </c>
      <c r="Z176">
        <v>3</v>
      </c>
      <c r="AA176">
        <v>0</v>
      </c>
      <c r="AB176" s="1" t="s">
        <v>36</v>
      </c>
      <c r="AC176" t="s">
        <v>37</v>
      </c>
      <c r="AD176" t="s">
        <v>53</v>
      </c>
      <c r="AE176" s="2">
        <v>1001.2</v>
      </c>
    </row>
    <row r="177" spans="1:31" x14ac:dyDescent="0.35">
      <c r="A177">
        <v>56</v>
      </c>
      <c r="B177" s="1" t="s">
        <v>39</v>
      </c>
      <c r="C177" s="1" t="s">
        <v>40</v>
      </c>
      <c r="D177">
        <v>8</v>
      </c>
      <c r="E177">
        <v>3</v>
      </c>
      <c r="F177" s="1" t="s">
        <v>32</v>
      </c>
      <c r="G177">
        <v>3</v>
      </c>
      <c r="H177" s="1" t="s">
        <v>33</v>
      </c>
      <c r="I177">
        <v>3</v>
      </c>
      <c r="J177">
        <v>1</v>
      </c>
      <c r="K177" s="1" t="s">
        <v>42</v>
      </c>
      <c r="L177">
        <v>1</v>
      </c>
      <c r="M177" s="1" t="s">
        <v>50</v>
      </c>
      <c r="N177">
        <v>4257</v>
      </c>
      <c r="O177">
        <v>4</v>
      </c>
      <c r="P177" s="1" t="s">
        <v>30</v>
      </c>
      <c r="Q177">
        <v>18</v>
      </c>
      <c r="R177">
        <v>3</v>
      </c>
      <c r="S177">
        <v>1</v>
      </c>
      <c r="T177">
        <v>19</v>
      </c>
      <c r="U177">
        <v>3</v>
      </c>
      <c r="V177">
        <v>3</v>
      </c>
      <c r="W177">
        <v>2</v>
      </c>
      <c r="X177">
        <v>2</v>
      </c>
      <c r="Y177">
        <v>2</v>
      </c>
      <c r="Z177">
        <v>2</v>
      </c>
      <c r="AA177">
        <v>0</v>
      </c>
      <c r="AB177" s="1" t="s">
        <v>82</v>
      </c>
      <c r="AC177" t="s">
        <v>37</v>
      </c>
      <c r="AD177" t="s">
        <v>47</v>
      </c>
      <c r="AE177" s="2">
        <v>2128.5</v>
      </c>
    </row>
    <row r="178" spans="1:31" x14ac:dyDescent="0.35">
      <c r="A178">
        <v>33</v>
      </c>
      <c r="B178" s="1" t="s">
        <v>39</v>
      </c>
      <c r="C178" s="1" t="s">
        <v>40</v>
      </c>
      <c r="D178">
        <v>2</v>
      </c>
      <c r="E178">
        <v>3</v>
      </c>
      <c r="F178" s="1" t="s">
        <v>32</v>
      </c>
      <c r="G178">
        <v>3</v>
      </c>
      <c r="H178" s="1" t="s">
        <v>41</v>
      </c>
      <c r="I178">
        <v>3</v>
      </c>
      <c r="J178">
        <v>1</v>
      </c>
      <c r="K178" s="1" t="s">
        <v>42</v>
      </c>
      <c r="L178">
        <v>4</v>
      </c>
      <c r="M178" s="1" t="s">
        <v>35</v>
      </c>
      <c r="N178">
        <v>2500</v>
      </c>
      <c r="O178">
        <v>0</v>
      </c>
      <c r="P178" s="1" t="s">
        <v>39</v>
      </c>
      <c r="Q178">
        <v>14</v>
      </c>
      <c r="R178">
        <v>1</v>
      </c>
      <c r="S178">
        <v>0</v>
      </c>
      <c r="T178">
        <v>4</v>
      </c>
      <c r="U178">
        <v>2</v>
      </c>
      <c r="V178">
        <v>4</v>
      </c>
      <c r="W178">
        <v>3</v>
      </c>
      <c r="X178">
        <v>1</v>
      </c>
      <c r="Y178">
        <v>0</v>
      </c>
      <c r="Z178">
        <v>2</v>
      </c>
      <c r="AA178">
        <v>0</v>
      </c>
      <c r="AB178" s="1" t="s">
        <v>48</v>
      </c>
      <c r="AC178" t="s">
        <v>46</v>
      </c>
      <c r="AD178" t="s">
        <v>53</v>
      </c>
      <c r="AE178" s="2">
        <v>833.33333333333337</v>
      </c>
    </row>
    <row r="179" spans="1:31" x14ac:dyDescent="0.35">
      <c r="A179">
        <v>19</v>
      </c>
      <c r="B179" s="1" t="s">
        <v>30</v>
      </c>
      <c r="C179" s="1" t="s">
        <v>40</v>
      </c>
      <c r="D179">
        <v>2</v>
      </c>
      <c r="E179">
        <v>3</v>
      </c>
      <c r="F179" s="1" t="s">
        <v>32</v>
      </c>
      <c r="G179">
        <v>2</v>
      </c>
      <c r="H179" s="1" t="s">
        <v>41</v>
      </c>
      <c r="I179">
        <v>2</v>
      </c>
      <c r="J179">
        <v>1</v>
      </c>
      <c r="K179" s="1" t="s">
        <v>45</v>
      </c>
      <c r="L179">
        <v>4</v>
      </c>
      <c r="M179" s="1" t="s">
        <v>35</v>
      </c>
      <c r="N179">
        <v>1102</v>
      </c>
      <c r="O179">
        <v>1</v>
      </c>
      <c r="P179" s="1" t="s">
        <v>39</v>
      </c>
      <c r="Q179">
        <v>22</v>
      </c>
      <c r="R179">
        <v>3</v>
      </c>
      <c r="S179">
        <v>0</v>
      </c>
      <c r="T179">
        <v>1</v>
      </c>
      <c r="U179">
        <v>3</v>
      </c>
      <c r="V179">
        <v>2</v>
      </c>
      <c r="W179">
        <v>1</v>
      </c>
      <c r="X179">
        <v>0</v>
      </c>
      <c r="Y179">
        <v>1</v>
      </c>
      <c r="Z179">
        <v>0</v>
      </c>
      <c r="AA179">
        <v>1</v>
      </c>
      <c r="AB179" s="1" t="s">
        <v>54</v>
      </c>
      <c r="AC179" t="s">
        <v>46</v>
      </c>
      <c r="AD179" t="s">
        <v>47</v>
      </c>
      <c r="AE179" s="2">
        <v>1102</v>
      </c>
    </row>
    <row r="180" spans="1:31" x14ac:dyDescent="0.35">
      <c r="A180">
        <v>46</v>
      </c>
      <c r="B180" s="1" t="s">
        <v>39</v>
      </c>
      <c r="C180" s="1" t="s">
        <v>31</v>
      </c>
      <c r="D180">
        <v>1</v>
      </c>
      <c r="E180">
        <v>2</v>
      </c>
      <c r="F180" s="1" t="s">
        <v>60</v>
      </c>
      <c r="G180">
        <v>2</v>
      </c>
      <c r="H180" s="1" t="s">
        <v>33</v>
      </c>
      <c r="I180">
        <v>3</v>
      </c>
      <c r="J180">
        <v>3</v>
      </c>
      <c r="K180" s="1" t="s">
        <v>34</v>
      </c>
      <c r="L180">
        <v>1</v>
      </c>
      <c r="M180" s="1" t="s">
        <v>50</v>
      </c>
      <c r="N180">
        <v>10453</v>
      </c>
      <c r="O180">
        <v>1</v>
      </c>
      <c r="P180" s="1" t="s">
        <v>39</v>
      </c>
      <c r="Q180">
        <v>25</v>
      </c>
      <c r="R180">
        <v>3</v>
      </c>
      <c r="S180">
        <v>3</v>
      </c>
      <c r="T180">
        <v>24</v>
      </c>
      <c r="U180">
        <v>2</v>
      </c>
      <c r="V180">
        <v>3</v>
      </c>
      <c r="W180">
        <v>24</v>
      </c>
      <c r="X180">
        <v>13</v>
      </c>
      <c r="Y180">
        <v>15</v>
      </c>
      <c r="Z180">
        <v>7</v>
      </c>
      <c r="AA180">
        <v>0</v>
      </c>
      <c r="AB180" s="1" t="s">
        <v>82</v>
      </c>
      <c r="AC180" t="s">
        <v>56</v>
      </c>
      <c r="AD180" t="s">
        <v>57</v>
      </c>
      <c r="AE180" s="2">
        <v>435.54166666666669</v>
      </c>
    </row>
    <row r="181" spans="1:31" x14ac:dyDescent="0.35">
      <c r="A181">
        <v>38</v>
      </c>
      <c r="B181" s="1" t="s">
        <v>39</v>
      </c>
      <c r="C181" s="1" t="s">
        <v>40</v>
      </c>
      <c r="D181">
        <v>9</v>
      </c>
      <c r="E181">
        <v>2</v>
      </c>
      <c r="F181" s="1" t="s">
        <v>32</v>
      </c>
      <c r="G181">
        <v>3</v>
      </c>
      <c r="H181" s="1" t="s">
        <v>33</v>
      </c>
      <c r="I181">
        <v>3</v>
      </c>
      <c r="J181">
        <v>1</v>
      </c>
      <c r="K181" s="1" t="s">
        <v>45</v>
      </c>
      <c r="L181">
        <v>4</v>
      </c>
      <c r="M181" s="1" t="s">
        <v>35</v>
      </c>
      <c r="N181">
        <v>2288</v>
      </c>
      <c r="O181">
        <v>1</v>
      </c>
      <c r="P181" s="1" t="s">
        <v>39</v>
      </c>
      <c r="Q181">
        <v>12</v>
      </c>
      <c r="R181">
        <v>3</v>
      </c>
      <c r="S181">
        <v>0</v>
      </c>
      <c r="T181">
        <v>2</v>
      </c>
      <c r="U181">
        <v>3</v>
      </c>
      <c r="V181">
        <v>3</v>
      </c>
      <c r="W181">
        <v>2</v>
      </c>
      <c r="X181">
        <v>2</v>
      </c>
      <c r="Y181">
        <v>2</v>
      </c>
      <c r="Z181">
        <v>1</v>
      </c>
      <c r="AA181">
        <v>0</v>
      </c>
      <c r="AB181" s="1" t="s">
        <v>36</v>
      </c>
      <c r="AC181" t="s">
        <v>46</v>
      </c>
      <c r="AD181" t="s">
        <v>47</v>
      </c>
      <c r="AE181" s="2">
        <v>1144</v>
      </c>
    </row>
    <row r="182" spans="1:31" x14ac:dyDescent="0.35">
      <c r="A182">
        <v>31</v>
      </c>
      <c r="B182" s="1" t="s">
        <v>39</v>
      </c>
      <c r="C182" s="1" t="s">
        <v>40</v>
      </c>
      <c r="D182">
        <v>12</v>
      </c>
      <c r="E182">
        <v>1</v>
      </c>
      <c r="F182" s="1" t="s">
        <v>49</v>
      </c>
      <c r="G182">
        <v>3</v>
      </c>
      <c r="H182" s="1" t="s">
        <v>33</v>
      </c>
      <c r="I182">
        <v>3</v>
      </c>
      <c r="J182">
        <v>1</v>
      </c>
      <c r="K182" s="1" t="s">
        <v>42</v>
      </c>
      <c r="L182">
        <v>4</v>
      </c>
      <c r="M182" s="1" t="s">
        <v>43</v>
      </c>
      <c r="N182">
        <v>3929</v>
      </c>
      <c r="O182">
        <v>8</v>
      </c>
      <c r="P182" s="1" t="s">
        <v>30</v>
      </c>
      <c r="Q182">
        <v>23</v>
      </c>
      <c r="R182">
        <v>3</v>
      </c>
      <c r="S182">
        <v>1</v>
      </c>
      <c r="T182">
        <v>7</v>
      </c>
      <c r="U182">
        <v>0</v>
      </c>
      <c r="V182">
        <v>3</v>
      </c>
      <c r="W182">
        <v>4</v>
      </c>
      <c r="X182">
        <v>2</v>
      </c>
      <c r="Y182">
        <v>0</v>
      </c>
      <c r="Z182">
        <v>2</v>
      </c>
      <c r="AA182">
        <v>0</v>
      </c>
      <c r="AB182" s="1" t="s">
        <v>48</v>
      </c>
      <c r="AC182" t="s">
        <v>46</v>
      </c>
      <c r="AD182" t="s">
        <v>53</v>
      </c>
      <c r="AE182" s="2">
        <v>982.25</v>
      </c>
    </row>
    <row r="183" spans="1:31" x14ac:dyDescent="0.35">
      <c r="A183">
        <v>34</v>
      </c>
      <c r="B183" s="1" t="s">
        <v>39</v>
      </c>
      <c r="C183" s="1" t="s">
        <v>40</v>
      </c>
      <c r="D183">
        <v>27</v>
      </c>
      <c r="E183">
        <v>2</v>
      </c>
      <c r="F183" s="1" t="s">
        <v>49</v>
      </c>
      <c r="G183">
        <v>4</v>
      </c>
      <c r="H183" s="1" t="s">
        <v>33</v>
      </c>
      <c r="I183">
        <v>3</v>
      </c>
      <c r="J183">
        <v>1</v>
      </c>
      <c r="K183" s="1" t="s">
        <v>42</v>
      </c>
      <c r="L183">
        <v>2</v>
      </c>
      <c r="M183" s="1" t="s">
        <v>35</v>
      </c>
      <c r="N183">
        <v>2311</v>
      </c>
      <c r="O183">
        <v>2</v>
      </c>
      <c r="P183" s="1" t="s">
        <v>39</v>
      </c>
      <c r="Q183">
        <v>15</v>
      </c>
      <c r="R183">
        <v>4</v>
      </c>
      <c r="S183">
        <v>0</v>
      </c>
      <c r="T183">
        <v>9</v>
      </c>
      <c r="U183">
        <v>3</v>
      </c>
      <c r="V183">
        <v>3</v>
      </c>
      <c r="W183">
        <v>3</v>
      </c>
      <c r="X183">
        <v>2</v>
      </c>
      <c r="Y183">
        <v>1</v>
      </c>
      <c r="Z183">
        <v>2</v>
      </c>
      <c r="AA183">
        <v>0</v>
      </c>
      <c r="AB183" s="1" t="s">
        <v>48</v>
      </c>
      <c r="AC183" t="s">
        <v>46</v>
      </c>
      <c r="AD183" t="s">
        <v>53</v>
      </c>
      <c r="AE183" s="2">
        <v>770.33333333333337</v>
      </c>
    </row>
    <row r="184" spans="1:31" x14ac:dyDescent="0.35">
      <c r="A184">
        <v>41</v>
      </c>
      <c r="B184" s="1" t="s">
        <v>30</v>
      </c>
      <c r="C184" s="1" t="s">
        <v>31</v>
      </c>
      <c r="D184">
        <v>20</v>
      </c>
      <c r="E184">
        <v>2</v>
      </c>
      <c r="F184" s="1" t="s">
        <v>60</v>
      </c>
      <c r="G184">
        <v>2</v>
      </c>
      <c r="H184" s="1" t="s">
        <v>33</v>
      </c>
      <c r="I184">
        <v>3</v>
      </c>
      <c r="J184">
        <v>1</v>
      </c>
      <c r="K184" s="1" t="s">
        <v>58</v>
      </c>
      <c r="L184">
        <v>2</v>
      </c>
      <c r="M184" s="1" t="s">
        <v>35</v>
      </c>
      <c r="N184">
        <v>3140</v>
      </c>
      <c r="O184">
        <v>1</v>
      </c>
      <c r="P184" s="1" t="s">
        <v>30</v>
      </c>
      <c r="Q184">
        <v>22</v>
      </c>
      <c r="R184">
        <v>4</v>
      </c>
      <c r="S184">
        <v>0</v>
      </c>
      <c r="T184">
        <v>4</v>
      </c>
      <c r="U184">
        <v>5</v>
      </c>
      <c r="V184">
        <v>2</v>
      </c>
      <c r="W184">
        <v>4</v>
      </c>
      <c r="X184">
        <v>3</v>
      </c>
      <c r="Y184">
        <v>0</v>
      </c>
      <c r="Z184">
        <v>2</v>
      </c>
      <c r="AA184">
        <v>1</v>
      </c>
      <c r="AB184" s="1" t="s">
        <v>36</v>
      </c>
      <c r="AC184" t="s">
        <v>46</v>
      </c>
      <c r="AD184" t="s">
        <v>53</v>
      </c>
      <c r="AE184" s="2">
        <v>785</v>
      </c>
    </row>
    <row r="185" spans="1:31" x14ac:dyDescent="0.35">
      <c r="A185">
        <v>50</v>
      </c>
      <c r="B185" s="1" t="s">
        <v>39</v>
      </c>
      <c r="C185" s="1" t="s">
        <v>40</v>
      </c>
      <c r="D185">
        <v>1</v>
      </c>
      <c r="E185">
        <v>3</v>
      </c>
      <c r="F185" s="1" t="s">
        <v>49</v>
      </c>
      <c r="G185">
        <v>3</v>
      </c>
      <c r="H185" s="1" t="s">
        <v>41</v>
      </c>
      <c r="I185">
        <v>2</v>
      </c>
      <c r="J185">
        <v>1</v>
      </c>
      <c r="K185" s="1" t="s">
        <v>45</v>
      </c>
      <c r="L185">
        <v>3</v>
      </c>
      <c r="M185" s="1" t="s">
        <v>43</v>
      </c>
      <c r="N185">
        <v>3690</v>
      </c>
      <c r="O185">
        <v>2</v>
      </c>
      <c r="P185" s="1" t="s">
        <v>39</v>
      </c>
      <c r="Q185">
        <v>15</v>
      </c>
      <c r="R185">
        <v>4</v>
      </c>
      <c r="S185">
        <v>1</v>
      </c>
      <c r="T185">
        <v>5</v>
      </c>
      <c r="U185">
        <v>2</v>
      </c>
      <c r="V185">
        <v>2</v>
      </c>
      <c r="W185">
        <v>3</v>
      </c>
      <c r="X185">
        <v>2</v>
      </c>
      <c r="Y185">
        <v>0</v>
      </c>
      <c r="Z185">
        <v>2</v>
      </c>
      <c r="AA185">
        <v>0</v>
      </c>
      <c r="AB185" s="1" t="s">
        <v>82</v>
      </c>
      <c r="AC185" t="s">
        <v>46</v>
      </c>
      <c r="AD185" t="s">
        <v>53</v>
      </c>
      <c r="AE185" s="2">
        <v>1230</v>
      </c>
    </row>
    <row r="186" spans="1:31" x14ac:dyDescent="0.35">
      <c r="A186">
        <v>53</v>
      </c>
      <c r="B186" s="1" t="s">
        <v>39</v>
      </c>
      <c r="C186" s="1" t="s">
        <v>40</v>
      </c>
      <c r="D186">
        <v>13</v>
      </c>
      <c r="E186">
        <v>2</v>
      </c>
      <c r="F186" s="1" t="s">
        <v>49</v>
      </c>
      <c r="G186">
        <v>4</v>
      </c>
      <c r="H186" s="1" t="s">
        <v>33</v>
      </c>
      <c r="I186">
        <v>4</v>
      </c>
      <c r="J186">
        <v>2</v>
      </c>
      <c r="K186" s="1" t="s">
        <v>51</v>
      </c>
      <c r="L186">
        <v>1</v>
      </c>
      <c r="M186" s="1" t="s">
        <v>50</v>
      </c>
      <c r="N186">
        <v>4450</v>
      </c>
      <c r="O186">
        <v>1</v>
      </c>
      <c r="P186" s="1" t="s">
        <v>39</v>
      </c>
      <c r="Q186">
        <v>11</v>
      </c>
      <c r="R186">
        <v>3</v>
      </c>
      <c r="S186">
        <v>2</v>
      </c>
      <c r="T186">
        <v>5</v>
      </c>
      <c r="U186">
        <v>3</v>
      </c>
      <c r="V186">
        <v>3</v>
      </c>
      <c r="W186">
        <v>4</v>
      </c>
      <c r="X186">
        <v>2</v>
      </c>
      <c r="Y186">
        <v>1</v>
      </c>
      <c r="Z186">
        <v>3</v>
      </c>
      <c r="AA186">
        <v>0</v>
      </c>
      <c r="AB186" s="1" t="s">
        <v>82</v>
      </c>
      <c r="AC186" t="s">
        <v>37</v>
      </c>
      <c r="AD186" t="s">
        <v>53</v>
      </c>
      <c r="AE186" s="2">
        <v>1112.5</v>
      </c>
    </row>
    <row r="187" spans="1:31" x14ac:dyDescent="0.35">
      <c r="A187">
        <v>33</v>
      </c>
      <c r="B187" s="1" t="s">
        <v>39</v>
      </c>
      <c r="C187" s="1" t="s">
        <v>40</v>
      </c>
      <c r="D187">
        <v>14</v>
      </c>
      <c r="E187">
        <v>3</v>
      </c>
      <c r="F187" s="1" t="s">
        <v>49</v>
      </c>
      <c r="G187">
        <v>4</v>
      </c>
      <c r="H187" s="1" t="s">
        <v>33</v>
      </c>
      <c r="I187">
        <v>3</v>
      </c>
      <c r="J187">
        <v>1</v>
      </c>
      <c r="K187" s="1" t="s">
        <v>42</v>
      </c>
      <c r="L187">
        <v>2</v>
      </c>
      <c r="M187" s="1" t="s">
        <v>43</v>
      </c>
      <c r="N187">
        <v>2756</v>
      </c>
      <c r="O187">
        <v>1</v>
      </c>
      <c r="P187" s="1" t="s">
        <v>39</v>
      </c>
      <c r="Q187">
        <v>13</v>
      </c>
      <c r="R187">
        <v>4</v>
      </c>
      <c r="S187">
        <v>1</v>
      </c>
      <c r="T187">
        <v>8</v>
      </c>
      <c r="U187">
        <v>5</v>
      </c>
      <c r="V187">
        <v>3</v>
      </c>
      <c r="W187">
        <v>8</v>
      </c>
      <c r="X187">
        <v>7</v>
      </c>
      <c r="Y187">
        <v>1</v>
      </c>
      <c r="Z187">
        <v>6</v>
      </c>
      <c r="AA187">
        <v>0</v>
      </c>
      <c r="AB187" s="1" t="s">
        <v>48</v>
      </c>
      <c r="AC187" t="s">
        <v>46</v>
      </c>
      <c r="AD187" t="s">
        <v>38</v>
      </c>
      <c r="AE187" s="2">
        <v>344.5</v>
      </c>
    </row>
    <row r="188" spans="1:31" x14ac:dyDescent="0.35">
      <c r="A188">
        <v>40</v>
      </c>
      <c r="B188" s="1" t="s">
        <v>39</v>
      </c>
      <c r="C188" s="1" t="s">
        <v>40</v>
      </c>
      <c r="D188">
        <v>4</v>
      </c>
      <c r="E188">
        <v>1</v>
      </c>
      <c r="F188" s="1" t="s">
        <v>49</v>
      </c>
      <c r="G188">
        <v>4</v>
      </c>
      <c r="H188" s="1" t="s">
        <v>33</v>
      </c>
      <c r="I188">
        <v>3</v>
      </c>
      <c r="J188">
        <v>5</v>
      </c>
      <c r="K188" s="1" t="s">
        <v>55</v>
      </c>
      <c r="L188">
        <v>3</v>
      </c>
      <c r="M188" s="1" t="s">
        <v>43</v>
      </c>
      <c r="N188">
        <v>19033</v>
      </c>
      <c r="O188">
        <v>1</v>
      </c>
      <c r="P188" s="1" t="s">
        <v>39</v>
      </c>
      <c r="Q188">
        <v>14</v>
      </c>
      <c r="R188">
        <v>2</v>
      </c>
      <c r="S188">
        <v>1</v>
      </c>
      <c r="T188">
        <v>21</v>
      </c>
      <c r="U188">
        <v>2</v>
      </c>
      <c r="V188">
        <v>3</v>
      </c>
      <c r="W188">
        <v>20</v>
      </c>
      <c r="X188">
        <v>8</v>
      </c>
      <c r="Y188">
        <v>9</v>
      </c>
      <c r="Z188">
        <v>9</v>
      </c>
      <c r="AA188">
        <v>0</v>
      </c>
      <c r="AB188" s="1" t="s">
        <v>36</v>
      </c>
      <c r="AC188" t="s">
        <v>56</v>
      </c>
      <c r="AD188" t="s">
        <v>57</v>
      </c>
      <c r="AE188" s="2">
        <v>951.65</v>
      </c>
    </row>
    <row r="189" spans="1:31" x14ac:dyDescent="0.35">
      <c r="A189">
        <v>55</v>
      </c>
      <c r="B189" s="1" t="s">
        <v>39</v>
      </c>
      <c r="C189" s="1" t="s">
        <v>40</v>
      </c>
      <c r="D189">
        <v>14</v>
      </c>
      <c r="E189">
        <v>4</v>
      </c>
      <c r="F189" s="1" t="s">
        <v>49</v>
      </c>
      <c r="G189">
        <v>3</v>
      </c>
      <c r="H189" s="1" t="s">
        <v>41</v>
      </c>
      <c r="I189">
        <v>4</v>
      </c>
      <c r="J189">
        <v>5</v>
      </c>
      <c r="K189" s="1" t="s">
        <v>59</v>
      </c>
      <c r="L189">
        <v>2</v>
      </c>
      <c r="M189" s="1" t="s">
        <v>35</v>
      </c>
      <c r="N189">
        <v>18722</v>
      </c>
      <c r="O189">
        <v>8</v>
      </c>
      <c r="P189" s="1" t="s">
        <v>39</v>
      </c>
      <c r="Q189">
        <v>11</v>
      </c>
      <c r="R189">
        <v>4</v>
      </c>
      <c r="S189">
        <v>0</v>
      </c>
      <c r="T189">
        <v>36</v>
      </c>
      <c r="U189">
        <v>3</v>
      </c>
      <c r="V189">
        <v>3</v>
      </c>
      <c r="W189">
        <v>24</v>
      </c>
      <c r="X189">
        <v>15</v>
      </c>
      <c r="Y189">
        <v>2</v>
      </c>
      <c r="Z189">
        <v>15</v>
      </c>
      <c r="AA189">
        <v>0</v>
      </c>
      <c r="AB189" s="1" t="s">
        <v>82</v>
      </c>
      <c r="AC189" t="s">
        <v>56</v>
      </c>
      <c r="AD189" t="s">
        <v>57</v>
      </c>
      <c r="AE189" s="2">
        <v>780.08333333333337</v>
      </c>
    </row>
    <row r="190" spans="1:31" x14ac:dyDescent="0.35">
      <c r="A190">
        <v>34</v>
      </c>
      <c r="B190" s="1" t="s">
        <v>39</v>
      </c>
      <c r="C190" s="1" t="s">
        <v>40</v>
      </c>
      <c r="D190">
        <v>2</v>
      </c>
      <c r="E190">
        <v>1</v>
      </c>
      <c r="F190" s="1" t="s">
        <v>32</v>
      </c>
      <c r="G190">
        <v>4</v>
      </c>
      <c r="H190" s="1" t="s">
        <v>41</v>
      </c>
      <c r="I190">
        <v>2</v>
      </c>
      <c r="J190">
        <v>2</v>
      </c>
      <c r="K190" s="1" t="s">
        <v>51</v>
      </c>
      <c r="L190">
        <v>3</v>
      </c>
      <c r="M190" s="1" t="s">
        <v>43</v>
      </c>
      <c r="N190">
        <v>9547</v>
      </c>
      <c r="O190">
        <v>1</v>
      </c>
      <c r="P190" s="1" t="s">
        <v>39</v>
      </c>
      <c r="Q190">
        <v>17</v>
      </c>
      <c r="R190">
        <v>3</v>
      </c>
      <c r="S190">
        <v>0</v>
      </c>
      <c r="T190">
        <v>10</v>
      </c>
      <c r="U190">
        <v>2</v>
      </c>
      <c r="V190">
        <v>2</v>
      </c>
      <c r="W190">
        <v>10</v>
      </c>
      <c r="X190">
        <v>9</v>
      </c>
      <c r="Y190">
        <v>1</v>
      </c>
      <c r="Z190">
        <v>9</v>
      </c>
      <c r="AA190">
        <v>0</v>
      </c>
      <c r="AB190" s="1" t="s">
        <v>48</v>
      </c>
      <c r="AC190" t="s">
        <v>37</v>
      </c>
      <c r="AD190" t="s">
        <v>38</v>
      </c>
      <c r="AE190" s="2">
        <v>954.7</v>
      </c>
    </row>
    <row r="191" spans="1:31" x14ac:dyDescent="0.35">
      <c r="A191">
        <v>51</v>
      </c>
      <c r="B191" s="1" t="s">
        <v>39</v>
      </c>
      <c r="C191" s="1" t="s">
        <v>40</v>
      </c>
      <c r="D191">
        <v>3</v>
      </c>
      <c r="E191">
        <v>3</v>
      </c>
      <c r="F191" s="1" t="s">
        <v>49</v>
      </c>
      <c r="G191">
        <v>4</v>
      </c>
      <c r="H191" s="1" t="s">
        <v>33</v>
      </c>
      <c r="I191">
        <v>3</v>
      </c>
      <c r="J191">
        <v>4</v>
      </c>
      <c r="K191" s="1" t="s">
        <v>52</v>
      </c>
      <c r="L191">
        <v>2</v>
      </c>
      <c r="M191" s="1" t="s">
        <v>35</v>
      </c>
      <c r="N191">
        <v>13734</v>
      </c>
      <c r="O191">
        <v>3</v>
      </c>
      <c r="P191" s="1" t="s">
        <v>39</v>
      </c>
      <c r="Q191">
        <v>18</v>
      </c>
      <c r="R191">
        <v>3</v>
      </c>
      <c r="S191">
        <v>0</v>
      </c>
      <c r="T191">
        <v>21</v>
      </c>
      <c r="U191">
        <v>6</v>
      </c>
      <c r="V191">
        <v>3</v>
      </c>
      <c r="W191">
        <v>7</v>
      </c>
      <c r="X191">
        <v>7</v>
      </c>
      <c r="Y191">
        <v>1</v>
      </c>
      <c r="Z191">
        <v>0</v>
      </c>
      <c r="AA191">
        <v>0</v>
      </c>
      <c r="AB191" s="1" t="s">
        <v>82</v>
      </c>
      <c r="AC191" t="s">
        <v>56</v>
      </c>
      <c r="AD191" t="s">
        <v>38</v>
      </c>
      <c r="AE191" s="2">
        <v>1962</v>
      </c>
    </row>
    <row r="192" spans="1:31" x14ac:dyDescent="0.35">
      <c r="A192">
        <v>52</v>
      </c>
      <c r="B192" s="1" t="s">
        <v>39</v>
      </c>
      <c r="C192" s="1" t="s">
        <v>40</v>
      </c>
      <c r="D192">
        <v>1</v>
      </c>
      <c r="E192">
        <v>4</v>
      </c>
      <c r="F192" s="1" t="s">
        <v>32</v>
      </c>
      <c r="G192">
        <v>3</v>
      </c>
      <c r="H192" s="1" t="s">
        <v>41</v>
      </c>
      <c r="I192">
        <v>2</v>
      </c>
      <c r="J192">
        <v>5</v>
      </c>
      <c r="K192" s="1" t="s">
        <v>55</v>
      </c>
      <c r="L192">
        <v>3</v>
      </c>
      <c r="M192" s="1" t="s">
        <v>43</v>
      </c>
      <c r="N192">
        <v>19999</v>
      </c>
      <c r="O192">
        <v>0</v>
      </c>
      <c r="P192" s="1" t="s">
        <v>39</v>
      </c>
      <c r="Q192">
        <v>14</v>
      </c>
      <c r="R192">
        <v>1</v>
      </c>
      <c r="S192">
        <v>1</v>
      </c>
      <c r="T192">
        <v>34</v>
      </c>
      <c r="U192">
        <v>5</v>
      </c>
      <c r="V192">
        <v>3</v>
      </c>
      <c r="W192">
        <v>33</v>
      </c>
      <c r="X192">
        <v>18</v>
      </c>
      <c r="Y192">
        <v>11</v>
      </c>
      <c r="Z192">
        <v>9</v>
      </c>
      <c r="AA192">
        <v>0</v>
      </c>
      <c r="AB192" s="1" t="s">
        <v>82</v>
      </c>
      <c r="AC192" t="s">
        <v>56</v>
      </c>
      <c r="AD192" t="s">
        <v>57</v>
      </c>
      <c r="AE192" s="2">
        <v>606.030303030303</v>
      </c>
    </row>
    <row r="193" spans="1:31" x14ac:dyDescent="0.35">
      <c r="A193">
        <v>27</v>
      </c>
      <c r="B193" s="1" t="s">
        <v>39</v>
      </c>
      <c r="C193" s="1" t="s">
        <v>40</v>
      </c>
      <c r="D193">
        <v>9</v>
      </c>
      <c r="E193">
        <v>3</v>
      </c>
      <c r="F193" s="1" t="s">
        <v>49</v>
      </c>
      <c r="G193">
        <v>4</v>
      </c>
      <c r="H193" s="1" t="s">
        <v>33</v>
      </c>
      <c r="I193">
        <v>3</v>
      </c>
      <c r="J193">
        <v>1</v>
      </c>
      <c r="K193" s="1" t="s">
        <v>42</v>
      </c>
      <c r="L193">
        <v>2</v>
      </c>
      <c r="M193" s="1" t="s">
        <v>35</v>
      </c>
      <c r="N193">
        <v>2279</v>
      </c>
      <c r="O193">
        <v>1</v>
      </c>
      <c r="P193" s="1" t="s">
        <v>39</v>
      </c>
      <c r="Q193">
        <v>16</v>
      </c>
      <c r="R193">
        <v>4</v>
      </c>
      <c r="S193">
        <v>0</v>
      </c>
      <c r="T193">
        <v>7</v>
      </c>
      <c r="U193">
        <v>2</v>
      </c>
      <c r="V193">
        <v>2</v>
      </c>
      <c r="W193">
        <v>7</v>
      </c>
      <c r="X193">
        <v>7</v>
      </c>
      <c r="Y193">
        <v>0</v>
      </c>
      <c r="Z193">
        <v>3</v>
      </c>
      <c r="AA193">
        <v>0</v>
      </c>
      <c r="AB193" s="1" t="s">
        <v>48</v>
      </c>
      <c r="AC193" t="s">
        <v>46</v>
      </c>
      <c r="AD193" t="s">
        <v>38</v>
      </c>
      <c r="AE193" s="2">
        <v>325.57142857142856</v>
      </c>
    </row>
    <row r="194" spans="1:31" x14ac:dyDescent="0.35">
      <c r="A194">
        <v>35</v>
      </c>
      <c r="B194" s="1" t="s">
        <v>30</v>
      </c>
      <c r="C194" s="1" t="s">
        <v>40</v>
      </c>
      <c r="D194">
        <v>23</v>
      </c>
      <c r="E194">
        <v>2</v>
      </c>
      <c r="F194" s="1" t="s">
        <v>32</v>
      </c>
      <c r="G194">
        <v>2</v>
      </c>
      <c r="H194" s="1" t="s">
        <v>41</v>
      </c>
      <c r="I194">
        <v>2</v>
      </c>
      <c r="J194">
        <v>2</v>
      </c>
      <c r="K194" s="1" t="s">
        <v>51</v>
      </c>
      <c r="L194">
        <v>3</v>
      </c>
      <c r="M194" s="1" t="s">
        <v>43</v>
      </c>
      <c r="N194">
        <v>5916</v>
      </c>
      <c r="O194">
        <v>3</v>
      </c>
      <c r="P194" s="1" t="s">
        <v>30</v>
      </c>
      <c r="Q194">
        <v>13</v>
      </c>
      <c r="R194">
        <v>1</v>
      </c>
      <c r="S194">
        <v>0</v>
      </c>
      <c r="T194">
        <v>8</v>
      </c>
      <c r="U194">
        <v>1</v>
      </c>
      <c r="V194">
        <v>3</v>
      </c>
      <c r="W194">
        <v>1</v>
      </c>
      <c r="X194">
        <v>0</v>
      </c>
      <c r="Y194">
        <v>0</v>
      </c>
      <c r="Z194">
        <v>1</v>
      </c>
      <c r="AA194">
        <v>1</v>
      </c>
      <c r="AB194" s="1" t="s">
        <v>48</v>
      </c>
      <c r="AC194" t="s">
        <v>37</v>
      </c>
      <c r="AD194" t="s">
        <v>47</v>
      </c>
      <c r="AE194" s="2">
        <v>5916</v>
      </c>
    </row>
    <row r="195" spans="1:31" x14ac:dyDescent="0.35">
      <c r="A195">
        <v>43</v>
      </c>
      <c r="B195" s="1" t="s">
        <v>39</v>
      </c>
      <c r="C195" s="1" t="s">
        <v>40</v>
      </c>
      <c r="D195">
        <v>7</v>
      </c>
      <c r="E195">
        <v>3</v>
      </c>
      <c r="F195" s="1" t="s">
        <v>49</v>
      </c>
      <c r="G195">
        <v>4</v>
      </c>
      <c r="H195" s="1" t="s">
        <v>41</v>
      </c>
      <c r="I195">
        <v>4</v>
      </c>
      <c r="J195">
        <v>1</v>
      </c>
      <c r="K195" s="1" t="s">
        <v>42</v>
      </c>
      <c r="L195">
        <v>4</v>
      </c>
      <c r="M195" s="1" t="s">
        <v>50</v>
      </c>
      <c r="N195">
        <v>2089</v>
      </c>
      <c r="O195">
        <v>4</v>
      </c>
      <c r="P195" s="1" t="s">
        <v>39</v>
      </c>
      <c r="Q195">
        <v>14</v>
      </c>
      <c r="R195">
        <v>4</v>
      </c>
      <c r="S195">
        <v>3</v>
      </c>
      <c r="T195">
        <v>7</v>
      </c>
      <c r="U195">
        <v>3</v>
      </c>
      <c r="V195">
        <v>4</v>
      </c>
      <c r="W195">
        <v>5</v>
      </c>
      <c r="X195">
        <v>4</v>
      </c>
      <c r="Y195">
        <v>2</v>
      </c>
      <c r="Z195">
        <v>2</v>
      </c>
      <c r="AA195">
        <v>0</v>
      </c>
      <c r="AB195" s="1" t="s">
        <v>36</v>
      </c>
      <c r="AC195" t="s">
        <v>46</v>
      </c>
      <c r="AD195" t="s">
        <v>53</v>
      </c>
      <c r="AE195" s="2">
        <v>417.8</v>
      </c>
    </row>
    <row r="196" spans="1:31" x14ac:dyDescent="0.35">
      <c r="A196">
        <v>45</v>
      </c>
      <c r="B196" s="1" t="s">
        <v>39</v>
      </c>
      <c r="C196" s="1" t="s">
        <v>40</v>
      </c>
      <c r="D196">
        <v>2</v>
      </c>
      <c r="E196">
        <v>2</v>
      </c>
      <c r="F196" s="1" t="s">
        <v>49</v>
      </c>
      <c r="G196">
        <v>1</v>
      </c>
      <c r="H196" s="1" t="s">
        <v>41</v>
      </c>
      <c r="I196">
        <v>2</v>
      </c>
      <c r="J196">
        <v>4</v>
      </c>
      <c r="K196" s="1" t="s">
        <v>55</v>
      </c>
      <c r="L196">
        <v>4</v>
      </c>
      <c r="M196" s="1" t="s">
        <v>43</v>
      </c>
      <c r="N196">
        <v>16792</v>
      </c>
      <c r="O196">
        <v>9</v>
      </c>
      <c r="P196" s="1" t="s">
        <v>39</v>
      </c>
      <c r="Q196">
        <v>23</v>
      </c>
      <c r="R196">
        <v>4</v>
      </c>
      <c r="S196">
        <v>1</v>
      </c>
      <c r="T196">
        <v>22</v>
      </c>
      <c r="U196">
        <v>1</v>
      </c>
      <c r="V196">
        <v>3</v>
      </c>
      <c r="W196">
        <v>20</v>
      </c>
      <c r="X196">
        <v>8</v>
      </c>
      <c r="Y196">
        <v>11</v>
      </c>
      <c r="Z196">
        <v>8</v>
      </c>
      <c r="AA196">
        <v>0</v>
      </c>
      <c r="AB196" s="1" t="s">
        <v>36</v>
      </c>
      <c r="AC196" t="s">
        <v>56</v>
      </c>
      <c r="AD196" t="s">
        <v>57</v>
      </c>
      <c r="AE196" s="2">
        <v>839.6</v>
      </c>
    </row>
    <row r="197" spans="1:31" x14ac:dyDescent="0.35">
      <c r="A197">
        <v>37</v>
      </c>
      <c r="B197" s="1" t="s">
        <v>39</v>
      </c>
      <c r="C197" s="1" t="s">
        <v>40</v>
      </c>
      <c r="D197">
        <v>21</v>
      </c>
      <c r="E197">
        <v>3</v>
      </c>
      <c r="F197" s="1" t="s">
        <v>32</v>
      </c>
      <c r="G197">
        <v>2</v>
      </c>
      <c r="H197" s="1" t="s">
        <v>41</v>
      </c>
      <c r="I197">
        <v>4</v>
      </c>
      <c r="J197">
        <v>1</v>
      </c>
      <c r="K197" s="1" t="s">
        <v>42</v>
      </c>
      <c r="L197">
        <v>1</v>
      </c>
      <c r="M197" s="1" t="s">
        <v>43</v>
      </c>
      <c r="N197">
        <v>3564</v>
      </c>
      <c r="O197">
        <v>1</v>
      </c>
      <c r="P197" s="1" t="s">
        <v>30</v>
      </c>
      <c r="Q197">
        <v>12</v>
      </c>
      <c r="R197">
        <v>1</v>
      </c>
      <c r="S197">
        <v>1</v>
      </c>
      <c r="T197">
        <v>8</v>
      </c>
      <c r="U197">
        <v>3</v>
      </c>
      <c r="V197">
        <v>2</v>
      </c>
      <c r="W197">
        <v>8</v>
      </c>
      <c r="X197">
        <v>7</v>
      </c>
      <c r="Y197">
        <v>1</v>
      </c>
      <c r="Z197">
        <v>7</v>
      </c>
      <c r="AA197">
        <v>0</v>
      </c>
      <c r="AB197" s="1" t="s">
        <v>36</v>
      </c>
      <c r="AC197" t="s">
        <v>46</v>
      </c>
      <c r="AD197" t="s">
        <v>38</v>
      </c>
      <c r="AE197" s="2">
        <v>445.5</v>
      </c>
    </row>
    <row r="198" spans="1:31" x14ac:dyDescent="0.35">
      <c r="A198">
        <v>35</v>
      </c>
      <c r="B198" s="1" t="s">
        <v>39</v>
      </c>
      <c r="C198" s="1" t="s">
        <v>40</v>
      </c>
      <c r="D198">
        <v>2</v>
      </c>
      <c r="E198">
        <v>3</v>
      </c>
      <c r="F198" s="1" t="s">
        <v>49</v>
      </c>
      <c r="G198">
        <v>2</v>
      </c>
      <c r="H198" s="1" t="s">
        <v>33</v>
      </c>
      <c r="I198">
        <v>3</v>
      </c>
      <c r="J198">
        <v>2</v>
      </c>
      <c r="K198" s="1" t="s">
        <v>45</v>
      </c>
      <c r="L198">
        <v>2</v>
      </c>
      <c r="M198" s="1" t="s">
        <v>35</v>
      </c>
      <c r="N198">
        <v>4425</v>
      </c>
      <c r="O198">
        <v>5</v>
      </c>
      <c r="P198" s="1" t="s">
        <v>39</v>
      </c>
      <c r="Q198">
        <v>11</v>
      </c>
      <c r="R198">
        <v>4</v>
      </c>
      <c r="S198">
        <v>0</v>
      </c>
      <c r="T198">
        <v>10</v>
      </c>
      <c r="U198">
        <v>5</v>
      </c>
      <c r="V198">
        <v>3</v>
      </c>
      <c r="W198">
        <v>6</v>
      </c>
      <c r="X198">
        <v>2</v>
      </c>
      <c r="Y198">
        <v>1</v>
      </c>
      <c r="Z198">
        <v>2</v>
      </c>
      <c r="AA198">
        <v>0</v>
      </c>
      <c r="AB198" s="1" t="s">
        <v>48</v>
      </c>
      <c r="AC198" t="s">
        <v>37</v>
      </c>
      <c r="AD198" t="s">
        <v>38</v>
      </c>
      <c r="AE198" s="2">
        <v>737.5</v>
      </c>
    </row>
    <row r="199" spans="1:31" x14ac:dyDescent="0.35">
      <c r="A199">
        <v>42</v>
      </c>
      <c r="B199" s="1" t="s">
        <v>39</v>
      </c>
      <c r="C199" s="1" t="s">
        <v>40</v>
      </c>
      <c r="D199">
        <v>21</v>
      </c>
      <c r="E199">
        <v>2</v>
      </c>
      <c r="F199" s="1" t="s">
        <v>49</v>
      </c>
      <c r="G199">
        <v>3</v>
      </c>
      <c r="H199" s="1" t="s">
        <v>33</v>
      </c>
      <c r="I199">
        <v>3</v>
      </c>
      <c r="J199">
        <v>2</v>
      </c>
      <c r="K199" s="1" t="s">
        <v>51</v>
      </c>
      <c r="L199">
        <v>3</v>
      </c>
      <c r="M199" s="1" t="s">
        <v>50</v>
      </c>
      <c r="N199">
        <v>5265</v>
      </c>
      <c r="O199">
        <v>2</v>
      </c>
      <c r="P199" s="1" t="s">
        <v>39</v>
      </c>
      <c r="Q199">
        <v>16</v>
      </c>
      <c r="R199">
        <v>2</v>
      </c>
      <c r="S199">
        <v>1</v>
      </c>
      <c r="T199">
        <v>11</v>
      </c>
      <c r="U199">
        <v>5</v>
      </c>
      <c r="V199">
        <v>3</v>
      </c>
      <c r="W199">
        <v>5</v>
      </c>
      <c r="X199">
        <v>3</v>
      </c>
      <c r="Y199">
        <v>0</v>
      </c>
      <c r="Z199">
        <v>2</v>
      </c>
      <c r="AA199">
        <v>0</v>
      </c>
      <c r="AB199" s="1" t="s">
        <v>36</v>
      </c>
      <c r="AC199" t="s">
        <v>37</v>
      </c>
      <c r="AD199" t="s">
        <v>53</v>
      </c>
      <c r="AE199" s="2">
        <v>1053</v>
      </c>
    </row>
    <row r="200" spans="1:31" x14ac:dyDescent="0.35">
      <c r="A200">
        <v>38</v>
      </c>
      <c r="B200" s="1" t="s">
        <v>39</v>
      </c>
      <c r="C200" s="1" t="s">
        <v>40</v>
      </c>
      <c r="D200">
        <v>2</v>
      </c>
      <c r="E200">
        <v>4</v>
      </c>
      <c r="F200" s="1" t="s">
        <v>32</v>
      </c>
      <c r="G200">
        <v>4</v>
      </c>
      <c r="H200" s="1" t="s">
        <v>41</v>
      </c>
      <c r="I200">
        <v>3</v>
      </c>
      <c r="J200">
        <v>2</v>
      </c>
      <c r="K200" s="1" t="s">
        <v>51</v>
      </c>
      <c r="L200">
        <v>3</v>
      </c>
      <c r="M200" s="1" t="s">
        <v>43</v>
      </c>
      <c r="N200">
        <v>6553</v>
      </c>
      <c r="O200">
        <v>9</v>
      </c>
      <c r="P200" s="1" t="s">
        <v>39</v>
      </c>
      <c r="Q200">
        <v>14</v>
      </c>
      <c r="R200">
        <v>2</v>
      </c>
      <c r="S200">
        <v>0</v>
      </c>
      <c r="T200">
        <v>14</v>
      </c>
      <c r="U200">
        <v>3</v>
      </c>
      <c r="V200">
        <v>3</v>
      </c>
      <c r="W200">
        <v>1</v>
      </c>
      <c r="X200">
        <v>0</v>
      </c>
      <c r="Y200">
        <v>0</v>
      </c>
      <c r="Z200">
        <v>0</v>
      </c>
      <c r="AA200">
        <v>0</v>
      </c>
      <c r="AB200" s="1" t="s">
        <v>36</v>
      </c>
      <c r="AC200" t="s">
        <v>37</v>
      </c>
      <c r="AD200" t="s">
        <v>47</v>
      </c>
      <c r="AE200" s="2">
        <v>6553</v>
      </c>
    </row>
    <row r="201" spans="1:31" x14ac:dyDescent="0.35">
      <c r="A201">
        <v>38</v>
      </c>
      <c r="B201" s="1" t="s">
        <v>39</v>
      </c>
      <c r="C201" s="1" t="s">
        <v>40</v>
      </c>
      <c r="D201">
        <v>29</v>
      </c>
      <c r="E201">
        <v>3</v>
      </c>
      <c r="F201" s="1" t="s">
        <v>61</v>
      </c>
      <c r="G201">
        <v>4</v>
      </c>
      <c r="H201" s="1" t="s">
        <v>41</v>
      </c>
      <c r="I201">
        <v>3</v>
      </c>
      <c r="J201">
        <v>2</v>
      </c>
      <c r="K201" s="1" t="s">
        <v>51</v>
      </c>
      <c r="L201">
        <v>4</v>
      </c>
      <c r="M201" s="1" t="s">
        <v>43</v>
      </c>
      <c r="N201">
        <v>6261</v>
      </c>
      <c r="O201">
        <v>3</v>
      </c>
      <c r="P201" s="1" t="s">
        <v>39</v>
      </c>
      <c r="Q201">
        <v>18</v>
      </c>
      <c r="R201">
        <v>1</v>
      </c>
      <c r="S201">
        <v>1</v>
      </c>
      <c r="T201">
        <v>9</v>
      </c>
      <c r="U201">
        <v>3</v>
      </c>
      <c r="V201">
        <v>1</v>
      </c>
      <c r="W201">
        <v>7</v>
      </c>
      <c r="X201">
        <v>7</v>
      </c>
      <c r="Y201">
        <v>1</v>
      </c>
      <c r="Z201">
        <v>7</v>
      </c>
      <c r="AA201">
        <v>0</v>
      </c>
      <c r="AB201" s="1" t="s">
        <v>36</v>
      </c>
      <c r="AC201" t="s">
        <v>37</v>
      </c>
      <c r="AD201" t="s">
        <v>38</v>
      </c>
      <c r="AE201" s="2">
        <v>894.42857142857144</v>
      </c>
    </row>
    <row r="202" spans="1:31" x14ac:dyDescent="0.35">
      <c r="A202">
        <v>27</v>
      </c>
      <c r="B202" s="1" t="s">
        <v>39</v>
      </c>
      <c r="C202" s="1" t="s">
        <v>40</v>
      </c>
      <c r="D202">
        <v>1</v>
      </c>
      <c r="E202">
        <v>1</v>
      </c>
      <c r="F202" s="1" t="s">
        <v>61</v>
      </c>
      <c r="G202">
        <v>3</v>
      </c>
      <c r="H202" s="1" t="s">
        <v>41</v>
      </c>
      <c r="I202">
        <v>2</v>
      </c>
      <c r="J202">
        <v>2</v>
      </c>
      <c r="K202" s="1" t="s">
        <v>51</v>
      </c>
      <c r="L202">
        <v>1</v>
      </c>
      <c r="M202" s="1" t="s">
        <v>43</v>
      </c>
      <c r="N202">
        <v>4298</v>
      </c>
      <c r="O202">
        <v>5</v>
      </c>
      <c r="P202" s="1" t="s">
        <v>39</v>
      </c>
      <c r="Q202">
        <v>19</v>
      </c>
      <c r="R202">
        <v>3</v>
      </c>
      <c r="S202">
        <v>1</v>
      </c>
      <c r="T202">
        <v>6</v>
      </c>
      <c r="U202">
        <v>1</v>
      </c>
      <c r="V202">
        <v>3</v>
      </c>
      <c r="W202">
        <v>2</v>
      </c>
      <c r="X202">
        <v>2</v>
      </c>
      <c r="Y202">
        <v>2</v>
      </c>
      <c r="Z202">
        <v>0</v>
      </c>
      <c r="AA202">
        <v>0</v>
      </c>
      <c r="AB202" s="1" t="s">
        <v>48</v>
      </c>
      <c r="AC202" t="s">
        <v>37</v>
      </c>
      <c r="AD202" t="s">
        <v>47</v>
      </c>
      <c r="AE202" s="2">
        <v>2149</v>
      </c>
    </row>
    <row r="203" spans="1:31" x14ac:dyDescent="0.35">
      <c r="A203">
        <v>49</v>
      </c>
      <c r="B203" s="1" t="s">
        <v>39</v>
      </c>
      <c r="C203" s="1" t="s">
        <v>40</v>
      </c>
      <c r="D203">
        <v>18</v>
      </c>
      <c r="E203">
        <v>4</v>
      </c>
      <c r="F203" s="1" t="s">
        <v>32</v>
      </c>
      <c r="G203">
        <v>4</v>
      </c>
      <c r="H203" s="1" t="s">
        <v>41</v>
      </c>
      <c r="I203">
        <v>3</v>
      </c>
      <c r="J203">
        <v>2</v>
      </c>
      <c r="K203" s="1" t="s">
        <v>51</v>
      </c>
      <c r="L203">
        <v>4</v>
      </c>
      <c r="M203" s="1" t="s">
        <v>50</v>
      </c>
      <c r="N203">
        <v>6804</v>
      </c>
      <c r="O203">
        <v>1</v>
      </c>
      <c r="P203" s="1" t="s">
        <v>30</v>
      </c>
      <c r="Q203">
        <v>15</v>
      </c>
      <c r="R203">
        <v>1</v>
      </c>
      <c r="S203">
        <v>2</v>
      </c>
      <c r="T203">
        <v>7</v>
      </c>
      <c r="U203">
        <v>0</v>
      </c>
      <c r="V203">
        <v>3</v>
      </c>
      <c r="W203">
        <v>7</v>
      </c>
      <c r="X203">
        <v>7</v>
      </c>
      <c r="Y203">
        <v>1</v>
      </c>
      <c r="Z203">
        <v>7</v>
      </c>
      <c r="AA203">
        <v>0</v>
      </c>
      <c r="AB203" s="1" t="s">
        <v>82</v>
      </c>
      <c r="AC203" t="s">
        <v>37</v>
      </c>
      <c r="AD203" t="s">
        <v>38</v>
      </c>
      <c r="AE203" s="2">
        <v>972</v>
      </c>
    </row>
    <row r="204" spans="1:31" x14ac:dyDescent="0.35">
      <c r="A204">
        <v>34</v>
      </c>
      <c r="B204" s="1" t="s">
        <v>39</v>
      </c>
      <c r="C204" s="1" t="s">
        <v>40</v>
      </c>
      <c r="D204">
        <v>10</v>
      </c>
      <c r="E204">
        <v>4</v>
      </c>
      <c r="F204" s="1" t="s">
        <v>49</v>
      </c>
      <c r="G204">
        <v>4</v>
      </c>
      <c r="H204" s="1" t="s">
        <v>41</v>
      </c>
      <c r="I204">
        <v>3</v>
      </c>
      <c r="J204">
        <v>1</v>
      </c>
      <c r="K204" s="1" t="s">
        <v>42</v>
      </c>
      <c r="L204">
        <v>3</v>
      </c>
      <c r="M204" s="1" t="s">
        <v>50</v>
      </c>
      <c r="N204">
        <v>3815</v>
      </c>
      <c r="O204">
        <v>1</v>
      </c>
      <c r="P204" s="1" t="s">
        <v>30</v>
      </c>
      <c r="Q204">
        <v>17</v>
      </c>
      <c r="R204">
        <v>4</v>
      </c>
      <c r="S204">
        <v>1</v>
      </c>
      <c r="T204">
        <v>5</v>
      </c>
      <c r="U204">
        <v>4</v>
      </c>
      <c r="V204">
        <v>4</v>
      </c>
      <c r="W204">
        <v>5</v>
      </c>
      <c r="X204">
        <v>3</v>
      </c>
      <c r="Y204">
        <v>2</v>
      </c>
      <c r="Z204">
        <v>0</v>
      </c>
      <c r="AA204">
        <v>0</v>
      </c>
      <c r="AB204" s="1" t="s">
        <v>48</v>
      </c>
      <c r="AC204" t="s">
        <v>46</v>
      </c>
      <c r="AD204" t="s">
        <v>53</v>
      </c>
      <c r="AE204" s="2">
        <v>763</v>
      </c>
    </row>
    <row r="205" spans="1:31" x14ac:dyDescent="0.35">
      <c r="A205">
        <v>40</v>
      </c>
      <c r="B205" s="1" t="s">
        <v>39</v>
      </c>
      <c r="C205" s="1" t="s">
        <v>40</v>
      </c>
      <c r="D205">
        <v>19</v>
      </c>
      <c r="E205">
        <v>2</v>
      </c>
      <c r="F205" s="1" t="s">
        <v>49</v>
      </c>
      <c r="G205">
        <v>3</v>
      </c>
      <c r="H205" s="1" t="s">
        <v>41</v>
      </c>
      <c r="I205">
        <v>3</v>
      </c>
      <c r="J205">
        <v>2</v>
      </c>
      <c r="K205" s="1" t="s">
        <v>45</v>
      </c>
      <c r="L205">
        <v>4</v>
      </c>
      <c r="M205" s="1" t="s">
        <v>43</v>
      </c>
      <c r="N205">
        <v>2741</v>
      </c>
      <c r="O205">
        <v>8</v>
      </c>
      <c r="P205" s="1" t="s">
        <v>30</v>
      </c>
      <c r="Q205">
        <v>15</v>
      </c>
      <c r="R205">
        <v>3</v>
      </c>
      <c r="S205">
        <v>1</v>
      </c>
      <c r="T205">
        <v>15</v>
      </c>
      <c r="U205">
        <v>2</v>
      </c>
      <c r="V205">
        <v>4</v>
      </c>
      <c r="W205">
        <v>7</v>
      </c>
      <c r="X205">
        <v>2</v>
      </c>
      <c r="Y205">
        <v>3</v>
      </c>
      <c r="Z205">
        <v>7</v>
      </c>
      <c r="AA205">
        <v>0</v>
      </c>
      <c r="AB205" s="1" t="s">
        <v>36</v>
      </c>
      <c r="AC205" t="s">
        <v>46</v>
      </c>
      <c r="AD205" t="s">
        <v>38</v>
      </c>
      <c r="AE205" s="2">
        <v>391.57142857142856</v>
      </c>
    </row>
    <row r="206" spans="1:31" x14ac:dyDescent="0.35">
      <c r="A206">
        <v>38</v>
      </c>
      <c r="B206" s="1" t="s">
        <v>30</v>
      </c>
      <c r="C206" s="1" t="s">
        <v>40</v>
      </c>
      <c r="D206">
        <v>29</v>
      </c>
      <c r="E206">
        <v>1</v>
      </c>
      <c r="F206" s="1" t="s">
        <v>49</v>
      </c>
      <c r="G206">
        <v>2</v>
      </c>
      <c r="H206" s="1" t="s">
        <v>41</v>
      </c>
      <c r="I206">
        <v>3</v>
      </c>
      <c r="J206">
        <v>2</v>
      </c>
      <c r="K206" s="1" t="s">
        <v>52</v>
      </c>
      <c r="L206">
        <v>1</v>
      </c>
      <c r="M206" s="1" t="s">
        <v>43</v>
      </c>
      <c r="N206">
        <v>6673</v>
      </c>
      <c r="O206">
        <v>7</v>
      </c>
      <c r="P206" s="1" t="s">
        <v>30</v>
      </c>
      <c r="Q206">
        <v>19</v>
      </c>
      <c r="R206">
        <v>2</v>
      </c>
      <c r="S206">
        <v>0</v>
      </c>
      <c r="T206">
        <v>17</v>
      </c>
      <c r="U206">
        <v>2</v>
      </c>
      <c r="V206">
        <v>3</v>
      </c>
      <c r="W206">
        <v>1</v>
      </c>
      <c r="X206">
        <v>0</v>
      </c>
      <c r="Y206">
        <v>0</v>
      </c>
      <c r="Z206">
        <v>0</v>
      </c>
      <c r="AA206">
        <v>1</v>
      </c>
      <c r="AB206" s="1" t="s">
        <v>36</v>
      </c>
      <c r="AC206" t="s">
        <v>37</v>
      </c>
      <c r="AD206" t="s">
        <v>47</v>
      </c>
      <c r="AE206" s="2">
        <v>6673</v>
      </c>
    </row>
    <row r="207" spans="1:31" x14ac:dyDescent="0.35">
      <c r="A207">
        <v>29</v>
      </c>
      <c r="B207" s="1" t="s">
        <v>30</v>
      </c>
      <c r="C207" s="1" t="s">
        <v>31</v>
      </c>
      <c r="D207">
        <v>27</v>
      </c>
      <c r="E207">
        <v>3</v>
      </c>
      <c r="F207" s="1" t="s">
        <v>60</v>
      </c>
      <c r="G207">
        <v>2</v>
      </c>
      <c r="H207" s="1" t="s">
        <v>33</v>
      </c>
      <c r="I207">
        <v>3</v>
      </c>
      <c r="J207">
        <v>3</v>
      </c>
      <c r="K207" s="1" t="s">
        <v>34</v>
      </c>
      <c r="L207">
        <v>4</v>
      </c>
      <c r="M207" s="1" t="s">
        <v>43</v>
      </c>
      <c r="N207">
        <v>7639</v>
      </c>
      <c r="O207">
        <v>1</v>
      </c>
      <c r="P207" s="1" t="s">
        <v>39</v>
      </c>
      <c r="Q207">
        <v>22</v>
      </c>
      <c r="R207">
        <v>4</v>
      </c>
      <c r="S207">
        <v>3</v>
      </c>
      <c r="T207">
        <v>10</v>
      </c>
      <c r="U207">
        <v>3</v>
      </c>
      <c r="V207">
        <v>2</v>
      </c>
      <c r="W207">
        <v>10</v>
      </c>
      <c r="X207">
        <v>4</v>
      </c>
      <c r="Y207">
        <v>1</v>
      </c>
      <c r="Z207">
        <v>9</v>
      </c>
      <c r="AA207">
        <v>1</v>
      </c>
      <c r="AB207" s="1" t="s">
        <v>48</v>
      </c>
      <c r="AC207" t="s">
        <v>37</v>
      </c>
      <c r="AD207" t="s">
        <v>38</v>
      </c>
      <c r="AE207" s="2">
        <v>763.9</v>
      </c>
    </row>
    <row r="208" spans="1:31" x14ac:dyDescent="0.35">
      <c r="A208">
        <v>22</v>
      </c>
      <c r="B208" s="1" t="s">
        <v>39</v>
      </c>
      <c r="C208" s="1" t="s">
        <v>40</v>
      </c>
      <c r="D208">
        <v>5</v>
      </c>
      <c r="E208">
        <v>3</v>
      </c>
      <c r="F208" s="1" t="s">
        <v>32</v>
      </c>
      <c r="G208">
        <v>4</v>
      </c>
      <c r="H208" s="1" t="s">
        <v>41</v>
      </c>
      <c r="I208">
        <v>4</v>
      </c>
      <c r="J208">
        <v>1</v>
      </c>
      <c r="K208" s="1" t="s">
        <v>42</v>
      </c>
      <c r="L208">
        <v>2</v>
      </c>
      <c r="M208" s="1" t="s">
        <v>50</v>
      </c>
      <c r="N208">
        <v>2328</v>
      </c>
      <c r="O208">
        <v>1</v>
      </c>
      <c r="P208" s="1" t="s">
        <v>30</v>
      </c>
      <c r="Q208">
        <v>16</v>
      </c>
      <c r="R208">
        <v>1</v>
      </c>
      <c r="S208">
        <v>1</v>
      </c>
      <c r="T208">
        <v>4</v>
      </c>
      <c r="U208">
        <v>2</v>
      </c>
      <c r="V208">
        <v>2</v>
      </c>
      <c r="W208">
        <v>4</v>
      </c>
      <c r="X208">
        <v>2</v>
      </c>
      <c r="Y208">
        <v>2</v>
      </c>
      <c r="Z208">
        <v>2</v>
      </c>
      <c r="AA208">
        <v>0</v>
      </c>
      <c r="AB208" s="1" t="s">
        <v>54</v>
      </c>
      <c r="AC208" t="s">
        <v>46</v>
      </c>
      <c r="AD208" t="s">
        <v>53</v>
      </c>
      <c r="AE208" s="2">
        <v>582</v>
      </c>
    </row>
    <row r="209" spans="1:31" x14ac:dyDescent="0.35">
      <c r="A209">
        <v>36</v>
      </c>
      <c r="B209" s="1" t="s">
        <v>39</v>
      </c>
      <c r="C209" s="1" t="s">
        <v>40</v>
      </c>
      <c r="D209">
        <v>18</v>
      </c>
      <c r="E209">
        <v>1</v>
      </c>
      <c r="F209" s="1" t="s">
        <v>49</v>
      </c>
      <c r="G209">
        <v>2</v>
      </c>
      <c r="H209" s="1" t="s">
        <v>33</v>
      </c>
      <c r="I209">
        <v>3</v>
      </c>
      <c r="J209">
        <v>1</v>
      </c>
      <c r="K209" s="1" t="s">
        <v>45</v>
      </c>
      <c r="L209">
        <v>4</v>
      </c>
      <c r="M209" s="1" t="s">
        <v>35</v>
      </c>
      <c r="N209">
        <v>2153</v>
      </c>
      <c r="O209">
        <v>1</v>
      </c>
      <c r="P209" s="1" t="s">
        <v>39</v>
      </c>
      <c r="Q209">
        <v>13</v>
      </c>
      <c r="R209">
        <v>1</v>
      </c>
      <c r="S209">
        <v>0</v>
      </c>
      <c r="T209">
        <v>8</v>
      </c>
      <c r="U209">
        <v>2</v>
      </c>
      <c r="V209">
        <v>3</v>
      </c>
      <c r="W209">
        <v>8</v>
      </c>
      <c r="X209">
        <v>1</v>
      </c>
      <c r="Y209">
        <v>1</v>
      </c>
      <c r="Z209">
        <v>7</v>
      </c>
      <c r="AA209">
        <v>0</v>
      </c>
      <c r="AB209" s="1" t="s">
        <v>36</v>
      </c>
      <c r="AC209" t="s">
        <v>46</v>
      </c>
      <c r="AD209" t="s">
        <v>38</v>
      </c>
      <c r="AE209" s="2">
        <v>269.125</v>
      </c>
    </row>
    <row r="210" spans="1:31" x14ac:dyDescent="0.35">
      <c r="A210">
        <v>40</v>
      </c>
      <c r="B210" s="1" t="s">
        <v>39</v>
      </c>
      <c r="C210" s="1" t="s">
        <v>40</v>
      </c>
      <c r="D210">
        <v>9</v>
      </c>
      <c r="E210">
        <v>5</v>
      </c>
      <c r="F210" s="1" t="s">
        <v>32</v>
      </c>
      <c r="G210">
        <v>4</v>
      </c>
      <c r="H210" s="1" t="s">
        <v>41</v>
      </c>
      <c r="I210">
        <v>2</v>
      </c>
      <c r="J210">
        <v>2</v>
      </c>
      <c r="K210" s="1" t="s">
        <v>52</v>
      </c>
      <c r="L210">
        <v>4</v>
      </c>
      <c r="M210" s="1" t="s">
        <v>43</v>
      </c>
      <c r="N210">
        <v>4876</v>
      </c>
      <c r="O210">
        <v>9</v>
      </c>
      <c r="P210" s="1" t="s">
        <v>39</v>
      </c>
      <c r="Q210">
        <v>14</v>
      </c>
      <c r="R210">
        <v>4</v>
      </c>
      <c r="S210">
        <v>1</v>
      </c>
      <c r="T210">
        <v>5</v>
      </c>
      <c r="U210">
        <v>5</v>
      </c>
      <c r="V210">
        <v>1</v>
      </c>
      <c r="W210">
        <v>3</v>
      </c>
      <c r="X210">
        <v>2</v>
      </c>
      <c r="Y210">
        <v>0</v>
      </c>
      <c r="Z210">
        <v>2</v>
      </c>
      <c r="AA210">
        <v>0</v>
      </c>
      <c r="AB210" s="1" t="s">
        <v>36</v>
      </c>
      <c r="AC210" t="s">
        <v>37</v>
      </c>
      <c r="AD210" t="s">
        <v>53</v>
      </c>
      <c r="AE210" s="2">
        <v>1625.3333333333333</v>
      </c>
    </row>
    <row r="211" spans="1:31" x14ac:dyDescent="0.35">
      <c r="A211">
        <v>46</v>
      </c>
      <c r="B211" s="1" t="s">
        <v>39</v>
      </c>
      <c r="C211" s="1" t="s">
        <v>40</v>
      </c>
      <c r="D211">
        <v>1</v>
      </c>
      <c r="E211">
        <v>4</v>
      </c>
      <c r="F211" s="1" t="s">
        <v>49</v>
      </c>
      <c r="G211">
        <v>4</v>
      </c>
      <c r="H211" s="1" t="s">
        <v>41</v>
      </c>
      <c r="I211">
        <v>3</v>
      </c>
      <c r="J211">
        <v>3</v>
      </c>
      <c r="K211" s="1" t="s">
        <v>52</v>
      </c>
      <c r="L211">
        <v>1</v>
      </c>
      <c r="M211" s="1" t="s">
        <v>50</v>
      </c>
      <c r="N211">
        <v>9396</v>
      </c>
      <c r="O211">
        <v>7</v>
      </c>
      <c r="P211" s="1" t="s">
        <v>39</v>
      </c>
      <c r="Q211">
        <v>16</v>
      </c>
      <c r="R211">
        <v>3</v>
      </c>
      <c r="S211">
        <v>1</v>
      </c>
      <c r="T211">
        <v>17</v>
      </c>
      <c r="U211">
        <v>3</v>
      </c>
      <c r="V211">
        <v>3</v>
      </c>
      <c r="W211">
        <v>4</v>
      </c>
      <c r="X211">
        <v>2</v>
      </c>
      <c r="Y211">
        <v>0</v>
      </c>
      <c r="Z211">
        <v>3</v>
      </c>
      <c r="AA211">
        <v>0</v>
      </c>
      <c r="AB211" s="1" t="s">
        <v>82</v>
      </c>
      <c r="AC211" t="s">
        <v>37</v>
      </c>
      <c r="AD211" t="s">
        <v>53</v>
      </c>
      <c r="AE211" s="2">
        <v>2349</v>
      </c>
    </row>
    <row r="212" spans="1:31" x14ac:dyDescent="0.35">
      <c r="A212">
        <v>32</v>
      </c>
      <c r="B212" s="1" t="s">
        <v>30</v>
      </c>
      <c r="C212" s="1" t="s">
        <v>31</v>
      </c>
      <c r="D212">
        <v>4</v>
      </c>
      <c r="E212">
        <v>4</v>
      </c>
      <c r="F212" s="1" t="s">
        <v>49</v>
      </c>
      <c r="G212">
        <v>4</v>
      </c>
      <c r="H212" s="1" t="s">
        <v>41</v>
      </c>
      <c r="I212">
        <v>1</v>
      </c>
      <c r="J212">
        <v>3</v>
      </c>
      <c r="K212" s="1" t="s">
        <v>34</v>
      </c>
      <c r="L212">
        <v>4</v>
      </c>
      <c r="M212" s="1" t="s">
        <v>43</v>
      </c>
      <c r="N212">
        <v>10400</v>
      </c>
      <c r="O212">
        <v>1</v>
      </c>
      <c r="P212" s="1" t="s">
        <v>39</v>
      </c>
      <c r="Q212">
        <v>11</v>
      </c>
      <c r="R212">
        <v>3</v>
      </c>
      <c r="S212">
        <v>0</v>
      </c>
      <c r="T212">
        <v>14</v>
      </c>
      <c r="U212">
        <v>2</v>
      </c>
      <c r="V212">
        <v>2</v>
      </c>
      <c r="W212">
        <v>14</v>
      </c>
      <c r="X212">
        <v>8</v>
      </c>
      <c r="Y212">
        <v>9</v>
      </c>
      <c r="Z212">
        <v>8</v>
      </c>
      <c r="AA212">
        <v>1</v>
      </c>
      <c r="AB212" s="1" t="s">
        <v>48</v>
      </c>
      <c r="AC212" t="s">
        <v>56</v>
      </c>
      <c r="AD212" t="s">
        <v>57</v>
      </c>
      <c r="AE212" s="2">
        <v>742.85714285714289</v>
      </c>
    </row>
    <row r="213" spans="1:31" x14ac:dyDescent="0.35">
      <c r="A213">
        <v>30</v>
      </c>
      <c r="B213" s="1" t="s">
        <v>39</v>
      </c>
      <c r="C213" s="1" t="s">
        <v>40</v>
      </c>
      <c r="D213">
        <v>1</v>
      </c>
      <c r="E213">
        <v>1</v>
      </c>
      <c r="F213" s="1" t="s">
        <v>32</v>
      </c>
      <c r="G213">
        <v>3</v>
      </c>
      <c r="H213" s="1" t="s">
        <v>41</v>
      </c>
      <c r="I213">
        <v>2</v>
      </c>
      <c r="J213">
        <v>3</v>
      </c>
      <c r="K213" s="1" t="s">
        <v>51</v>
      </c>
      <c r="L213">
        <v>3</v>
      </c>
      <c r="M213" s="1" t="s">
        <v>35</v>
      </c>
      <c r="N213">
        <v>8474</v>
      </c>
      <c r="O213">
        <v>1</v>
      </c>
      <c r="P213" s="1" t="s">
        <v>39</v>
      </c>
      <c r="Q213">
        <v>22</v>
      </c>
      <c r="R213">
        <v>3</v>
      </c>
      <c r="S213">
        <v>0</v>
      </c>
      <c r="T213">
        <v>12</v>
      </c>
      <c r="U213">
        <v>2</v>
      </c>
      <c r="V213">
        <v>3</v>
      </c>
      <c r="W213">
        <v>11</v>
      </c>
      <c r="X213">
        <v>8</v>
      </c>
      <c r="Y213">
        <v>5</v>
      </c>
      <c r="Z213">
        <v>8</v>
      </c>
      <c r="AA213">
        <v>0</v>
      </c>
      <c r="AB213" s="1" t="s">
        <v>48</v>
      </c>
      <c r="AC213" t="s">
        <v>37</v>
      </c>
      <c r="AD213" t="s">
        <v>57</v>
      </c>
      <c r="AE213" s="2">
        <v>770.36363636363637</v>
      </c>
    </row>
    <row r="214" spans="1:31" x14ac:dyDescent="0.35">
      <c r="A214">
        <v>27</v>
      </c>
      <c r="B214" s="1" t="s">
        <v>39</v>
      </c>
      <c r="C214" s="1" t="s">
        <v>31</v>
      </c>
      <c r="D214">
        <v>20</v>
      </c>
      <c r="E214">
        <v>3</v>
      </c>
      <c r="F214" s="1" t="s">
        <v>32</v>
      </c>
      <c r="G214">
        <v>4</v>
      </c>
      <c r="H214" s="1" t="s">
        <v>33</v>
      </c>
      <c r="I214">
        <v>3</v>
      </c>
      <c r="J214">
        <v>2</v>
      </c>
      <c r="K214" s="1" t="s">
        <v>34</v>
      </c>
      <c r="L214">
        <v>3</v>
      </c>
      <c r="M214" s="1" t="s">
        <v>35</v>
      </c>
      <c r="N214">
        <v>9981</v>
      </c>
      <c r="O214">
        <v>1</v>
      </c>
      <c r="P214" s="1" t="s">
        <v>39</v>
      </c>
      <c r="Q214">
        <v>14</v>
      </c>
      <c r="R214">
        <v>4</v>
      </c>
      <c r="S214">
        <v>0</v>
      </c>
      <c r="T214">
        <v>7</v>
      </c>
      <c r="U214">
        <v>2</v>
      </c>
      <c r="V214">
        <v>3</v>
      </c>
      <c r="W214">
        <v>7</v>
      </c>
      <c r="X214">
        <v>7</v>
      </c>
      <c r="Y214">
        <v>0</v>
      </c>
      <c r="Z214">
        <v>7</v>
      </c>
      <c r="AA214">
        <v>0</v>
      </c>
      <c r="AB214" s="1" t="s">
        <v>48</v>
      </c>
      <c r="AC214" t="s">
        <v>37</v>
      </c>
      <c r="AD214" t="s">
        <v>38</v>
      </c>
      <c r="AE214" s="2">
        <v>1425.8571428571429</v>
      </c>
    </row>
    <row r="215" spans="1:31" x14ac:dyDescent="0.35">
      <c r="A215">
        <v>51</v>
      </c>
      <c r="B215" s="1" t="s">
        <v>39</v>
      </c>
      <c r="C215" s="1" t="s">
        <v>40</v>
      </c>
      <c r="D215">
        <v>8</v>
      </c>
      <c r="E215">
        <v>4</v>
      </c>
      <c r="F215" s="1" t="s">
        <v>32</v>
      </c>
      <c r="G215">
        <v>2</v>
      </c>
      <c r="H215" s="1" t="s">
        <v>41</v>
      </c>
      <c r="I215">
        <v>2</v>
      </c>
      <c r="J215">
        <v>3</v>
      </c>
      <c r="K215" s="1" t="s">
        <v>59</v>
      </c>
      <c r="L215">
        <v>2</v>
      </c>
      <c r="M215" s="1" t="s">
        <v>43</v>
      </c>
      <c r="N215">
        <v>12490</v>
      </c>
      <c r="O215">
        <v>5</v>
      </c>
      <c r="P215" s="1" t="s">
        <v>39</v>
      </c>
      <c r="Q215">
        <v>16</v>
      </c>
      <c r="R215">
        <v>4</v>
      </c>
      <c r="S215">
        <v>2</v>
      </c>
      <c r="T215">
        <v>16</v>
      </c>
      <c r="U215">
        <v>5</v>
      </c>
      <c r="V215">
        <v>1</v>
      </c>
      <c r="W215">
        <v>10</v>
      </c>
      <c r="X215">
        <v>9</v>
      </c>
      <c r="Y215">
        <v>4</v>
      </c>
      <c r="Z215">
        <v>7</v>
      </c>
      <c r="AA215">
        <v>0</v>
      </c>
      <c r="AB215" s="1" t="s">
        <v>82</v>
      </c>
      <c r="AC215" t="s">
        <v>56</v>
      </c>
      <c r="AD215" t="s">
        <v>38</v>
      </c>
      <c r="AE215" s="2">
        <v>1249</v>
      </c>
    </row>
    <row r="216" spans="1:31" x14ac:dyDescent="0.35">
      <c r="A216">
        <v>30</v>
      </c>
      <c r="B216" s="1" t="s">
        <v>30</v>
      </c>
      <c r="C216" s="1" t="s">
        <v>40</v>
      </c>
      <c r="D216">
        <v>3</v>
      </c>
      <c r="E216">
        <v>3</v>
      </c>
      <c r="F216" s="1" t="s">
        <v>61</v>
      </c>
      <c r="G216">
        <v>4</v>
      </c>
      <c r="H216" s="1" t="s">
        <v>33</v>
      </c>
      <c r="I216">
        <v>3</v>
      </c>
      <c r="J216">
        <v>1</v>
      </c>
      <c r="K216" s="1" t="s">
        <v>42</v>
      </c>
      <c r="L216">
        <v>1</v>
      </c>
      <c r="M216" s="1" t="s">
        <v>35</v>
      </c>
      <c r="N216">
        <v>2657</v>
      </c>
      <c r="O216">
        <v>5</v>
      </c>
      <c r="P216" s="1" t="s">
        <v>30</v>
      </c>
      <c r="Q216">
        <v>11</v>
      </c>
      <c r="R216">
        <v>3</v>
      </c>
      <c r="S216">
        <v>0</v>
      </c>
      <c r="T216">
        <v>8</v>
      </c>
      <c r="U216">
        <v>5</v>
      </c>
      <c r="V216">
        <v>3</v>
      </c>
      <c r="W216">
        <v>5</v>
      </c>
      <c r="X216">
        <v>2</v>
      </c>
      <c r="Y216">
        <v>0</v>
      </c>
      <c r="Z216">
        <v>4</v>
      </c>
      <c r="AA216">
        <v>1</v>
      </c>
      <c r="AB216" s="1" t="s">
        <v>48</v>
      </c>
      <c r="AC216" t="s">
        <v>46</v>
      </c>
      <c r="AD216" t="s">
        <v>53</v>
      </c>
      <c r="AE216" s="2">
        <v>531.4</v>
      </c>
    </row>
    <row r="217" spans="1:31" x14ac:dyDescent="0.35">
      <c r="A217">
        <v>41</v>
      </c>
      <c r="B217" s="1" t="s">
        <v>39</v>
      </c>
      <c r="C217" s="1" t="s">
        <v>31</v>
      </c>
      <c r="D217">
        <v>6</v>
      </c>
      <c r="E217">
        <v>3</v>
      </c>
      <c r="F217" s="1" t="s">
        <v>32</v>
      </c>
      <c r="G217">
        <v>4</v>
      </c>
      <c r="H217" s="1" t="s">
        <v>33</v>
      </c>
      <c r="I217">
        <v>3</v>
      </c>
      <c r="J217">
        <v>3</v>
      </c>
      <c r="K217" s="1" t="s">
        <v>55</v>
      </c>
      <c r="L217">
        <v>4</v>
      </c>
      <c r="M217" s="1" t="s">
        <v>35</v>
      </c>
      <c r="N217">
        <v>13591</v>
      </c>
      <c r="O217">
        <v>3</v>
      </c>
      <c r="P217" s="1" t="s">
        <v>30</v>
      </c>
      <c r="Q217">
        <v>18</v>
      </c>
      <c r="R217">
        <v>3</v>
      </c>
      <c r="S217">
        <v>0</v>
      </c>
      <c r="T217">
        <v>16</v>
      </c>
      <c r="U217">
        <v>3</v>
      </c>
      <c r="V217">
        <v>3</v>
      </c>
      <c r="W217">
        <v>1</v>
      </c>
      <c r="X217">
        <v>0</v>
      </c>
      <c r="Y217">
        <v>0</v>
      </c>
      <c r="Z217">
        <v>0</v>
      </c>
      <c r="AA217">
        <v>0</v>
      </c>
      <c r="AB217" s="1" t="s">
        <v>36</v>
      </c>
      <c r="AC217" t="s">
        <v>56</v>
      </c>
      <c r="AD217" t="s">
        <v>47</v>
      </c>
      <c r="AE217" s="2">
        <v>13591</v>
      </c>
    </row>
    <row r="218" spans="1:31" x14ac:dyDescent="0.35">
      <c r="A218">
        <v>30</v>
      </c>
      <c r="B218" s="1" t="s">
        <v>30</v>
      </c>
      <c r="C218" s="1" t="s">
        <v>31</v>
      </c>
      <c r="D218">
        <v>26</v>
      </c>
      <c r="E218">
        <v>4</v>
      </c>
      <c r="F218" s="1" t="s">
        <v>60</v>
      </c>
      <c r="G218">
        <v>3</v>
      </c>
      <c r="H218" s="1" t="s">
        <v>33</v>
      </c>
      <c r="I218">
        <v>2</v>
      </c>
      <c r="J218">
        <v>2</v>
      </c>
      <c r="K218" s="1" t="s">
        <v>34</v>
      </c>
      <c r="L218">
        <v>1</v>
      </c>
      <c r="M218" s="1" t="s">
        <v>35</v>
      </c>
      <c r="N218">
        <v>6696</v>
      </c>
      <c r="O218">
        <v>5</v>
      </c>
      <c r="P218" s="1" t="s">
        <v>39</v>
      </c>
      <c r="Q218">
        <v>15</v>
      </c>
      <c r="R218">
        <v>3</v>
      </c>
      <c r="S218">
        <v>0</v>
      </c>
      <c r="T218">
        <v>9</v>
      </c>
      <c r="U218">
        <v>5</v>
      </c>
      <c r="V218">
        <v>2</v>
      </c>
      <c r="W218">
        <v>6</v>
      </c>
      <c r="X218">
        <v>3</v>
      </c>
      <c r="Y218">
        <v>0</v>
      </c>
      <c r="Z218">
        <v>1</v>
      </c>
      <c r="AA218">
        <v>1</v>
      </c>
      <c r="AB218" s="1" t="s">
        <v>48</v>
      </c>
      <c r="AC218" t="s">
        <v>37</v>
      </c>
      <c r="AD218" t="s">
        <v>38</v>
      </c>
      <c r="AE218" s="2">
        <v>1116</v>
      </c>
    </row>
    <row r="219" spans="1:31" x14ac:dyDescent="0.35">
      <c r="A219">
        <v>29</v>
      </c>
      <c r="B219" s="1" t="s">
        <v>30</v>
      </c>
      <c r="C219" s="1" t="s">
        <v>40</v>
      </c>
      <c r="D219">
        <v>1</v>
      </c>
      <c r="E219">
        <v>3</v>
      </c>
      <c r="F219" s="1" t="s">
        <v>61</v>
      </c>
      <c r="G219">
        <v>3</v>
      </c>
      <c r="H219" s="1" t="s">
        <v>41</v>
      </c>
      <c r="I219">
        <v>3</v>
      </c>
      <c r="J219">
        <v>1</v>
      </c>
      <c r="K219" s="1" t="s">
        <v>42</v>
      </c>
      <c r="L219">
        <v>3</v>
      </c>
      <c r="M219" s="1" t="s">
        <v>35</v>
      </c>
      <c r="N219">
        <v>2058</v>
      </c>
      <c r="O219">
        <v>0</v>
      </c>
      <c r="P219" s="1" t="s">
        <v>39</v>
      </c>
      <c r="Q219">
        <v>14</v>
      </c>
      <c r="R219">
        <v>4</v>
      </c>
      <c r="S219">
        <v>0</v>
      </c>
      <c r="T219">
        <v>7</v>
      </c>
      <c r="U219">
        <v>1</v>
      </c>
      <c r="V219">
        <v>2</v>
      </c>
      <c r="W219">
        <v>6</v>
      </c>
      <c r="X219">
        <v>2</v>
      </c>
      <c r="Y219">
        <v>1</v>
      </c>
      <c r="Z219">
        <v>5</v>
      </c>
      <c r="AA219">
        <v>1</v>
      </c>
      <c r="AB219" s="1" t="s">
        <v>48</v>
      </c>
      <c r="AC219" t="s">
        <v>46</v>
      </c>
      <c r="AD219" t="s">
        <v>38</v>
      </c>
      <c r="AE219" s="2">
        <v>343</v>
      </c>
    </row>
    <row r="220" spans="1:31" x14ac:dyDescent="0.35">
      <c r="A220">
        <v>45</v>
      </c>
      <c r="B220" s="1" t="s">
        <v>39</v>
      </c>
      <c r="C220" s="1" t="s">
        <v>31</v>
      </c>
      <c r="D220">
        <v>6</v>
      </c>
      <c r="E220">
        <v>3</v>
      </c>
      <c r="F220" s="1" t="s">
        <v>49</v>
      </c>
      <c r="G220">
        <v>4</v>
      </c>
      <c r="H220" s="1" t="s">
        <v>33</v>
      </c>
      <c r="I220">
        <v>2</v>
      </c>
      <c r="J220">
        <v>3</v>
      </c>
      <c r="K220" s="1" t="s">
        <v>34</v>
      </c>
      <c r="L220">
        <v>4</v>
      </c>
      <c r="M220" s="1" t="s">
        <v>35</v>
      </c>
      <c r="N220">
        <v>8865</v>
      </c>
      <c r="O220">
        <v>6</v>
      </c>
      <c r="P220" s="1" t="s">
        <v>39</v>
      </c>
      <c r="Q220">
        <v>12</v>
      </c>
      <c r="R220">
        <v>4</v>
      </c>
      <c r="S220">
        <v>0</v>
      </c>
      <c r="T220">
        <v>23</v>
      </c>
      <c r="U220">
        <v>2</v>
      </c>
      <c r="V220">
        <v>3</v>
      </c>
      <c r="W220">
        <v>19</v>
      </c>
      <c r="X220">
        <v>7</v>
      </c>
      <c r="Y220">
        <v>12</v>
      </c>
      <c r="Z220">
        <v>8</v>
      </c>
      <c r="AA220">
        <v>0</v>
      </c>
      <c r="AB220" s="1" t="s">
        <v>36</v>
      </c>
      <c r="AC220" t="s">
        <v>37</v>
      </c>
      <c r="AD220" t="s">
        <v>57</v>
      </c>
      <c r="AE220" s="2">
        <v>466.57894736842104</v>
      </c>
    </row>
    <row r="221" spans="1:31" x14ac:dyDescent="0.35">
      <c r="A221">
        <v>54</v>
      </c>
      <c r="B221" s="1" t="s">
        <v>39</v>
      </c>
      <c r="C221" s="1" t="s">
        <v>31</v>
      </c>
      <c r="D221">
        <v>3</v>
      </c>
      <c r="E221">
        <v>3</v>
      </c>
      <c r="F221" s="1" t="s">
        <v>60</v>
      </c>
      <c r="G221">
        <v>4</v>
      </c>
      <c r="H221" s="1" t="s">
        <v>33</v>
      </c>
      <c r="I221">
        <v>3</v>
      </c>
      <c r="J221">
        <v>2</v>
      </c>
      <c r="K221" s="1" t="s">
        <v>34</v>
      </c>
      <c r="L221">
        <v>1</v>
      </c>
      <c r="M221" s="1" t="s">
        <v>43</v>
      </c>
      <c r="N221">
        <v>5940</v>
      </c>
      <c r="O221">
        <v>2</v>
      </c>
      <c r="P221" s="1" t="s">
        <v>39</v>
      </c>
      <c r="Q221">
        <v>14</v>
      </c>
      <c r="R221">
        <v>4</v>
      </c>
      <c r="S221">
        <v>1</v>
      </c>
      <c r="T221">
        <v>16</v>
      </c>
      <c r="U221">
        <v>4</v>
      </c>
      <c r="V221">
        <v>3</v>
      </c>
      <c r="W221">
        <v>6</v>
      </c>
      <c r="X221">
        <v>2</v>
      </c>
      <c r="Y221">
        <v>0</v>
      </c>
      <c r="Z221">
        <v>5</v>
      </c>
      <c r="AA221">
        <v>0</v>
      </c>
      <c r="AB221" s="1" t="s">
        <v>82</v>
      </c>
      <c r="AC221" t="s">
        <v>37</v>
      </c>
      <c r="AD221" t="s">
        <v>38</v>
      </c>
      <c r="AE221" s="2">
        <v>990</v>
      </c>
    </row>
    <row r="222" spans="1:31" x14ac:dyDescent="0.35">
      <c r="A222">
        <v>36</v>
      </c>
      <c r="B222" s="1" t="s">
        <v>39</v>
      </c>
      <c r="C222" s="1" t="s">
        <v>40</v>
      </c>
      <c r="D222">
        <v>5</v>
      </c>
      <c r="E222">
        <v>2</v>
      </c>
      <c r="F222" s="1" t="s">
        <v>32</v>
      </c>
      <c r="G222">
        <v>4</v>
      </c>
      <c r="H222" s="1" t="s">
        <v>41</v>
      </c>
      <c r="I222">
        <v>3</v>
      </c>
      <c r="J222">
        <v>2</v>
      </c>
      <c r="K222" s="1" t="s">
        <v>45</v>
      </c>
      <c r="L222">
        <v>2</v>
      </c>
      <c r="M222" s="1" t="s">
        <v>35</v>
      </c>
      <c r="N222">
        <v>5914</v>
      </c>
      <c r="O222">
        <v>8</v>
      </c>
      <c r="P222" s="1" t="s">
        <v>39</v>
      </c>
      <c r="Q222">
        <v>16</v>
      </c>
      <c r="R222">
        <v>4</v>
      </c>
      <c r="S222">
        <v>0</v>
      </c>
      <c r="T222">
        <v>16</v>
      </c>
      <c r="U222">
        <v>3</v>
      </c>
      <c r="V222">
        <v>4</v>
      </c>
      <c r="W222">
        <v>13</v>
      </c>
      <c r="X222">
        <v>11</v>
      </c>
      <c r="Y222">
        <v>3</v>
      </c>
      <c r="Z222">
        <v>7</v>
      </c>
      <c r="AA222">
        <v>0</v>
      </c>
      <c r="AB222" s="1" t="s">
        <v>36</v>
      </c>
      <c r="AC222" t="s">
        <v>37</v>
      </c>
      <c r="AD222" t="s">
        <v>57</v>
      </c>
      <c r="AE222" s="2">
        <v>454.92307692307691</v>
      </c>
    </row>
    <row r="223" spans="1:31" x14ac:dyDescent="0.35">
      <c r="A223">
        <v>33</v>
      </c>
      <c r="B223" s="1" t="s">
        <v>39</v>
      </c>
      <c r="C223" s="1" t="s">
        <v>40</v>
      </c>
      <c r="D223">
        <v>4</v>
      </c>
      <c r="E223">
        <v>4</v>
      </c>
      <c r="F223" s="1" t="s">
        <v>49</v>
      </c>
      <c r="G223">
        <v>3</v>
      </c>
      <c r="H223" s="1" t="s">
        <v>33</v>
      </c>
      <c r="I223">
        <v>2</v>
      </c>
      <c r="J223">
        <v>1</v>
      </c>
      <c r="K223" s="1" t="s">
        <v>42</v>
      </c>
      <c r="L223">
        <v>2</v>
      </c>
      <c r="M223" s="1" t="s">
        <v>43</v>
      </c>
      <c r="N223">
        <v>2622</v>
      </c>
      <c r="O223">
        <v>6</v>
      </c>
      <c r="P223" s="1" t="s">
        <v>39</v>
      </c>
      <c r="Q223">
        <v>21</v>
      </c>
      <c r="R223">
        <v>4</v>
      </c>
      <c r="S223">
        <v>0</v>
      </c>
      <c r="T223">
        <v>7</v>
      </c>
      <c r="U223">
        <v>3</v>
      </c>
      <c r="V223">
        <v>3</v>
      </c>
      <c r="W223">
        <v>3</v>
      </c>
      <c r="X223">
        <v>2</v>
      </c>
      <c r="Y223">
        <v>1</v>
      </c>
      <c r="Z223">
        <v>1</v>
      </c>
      <c r="AA223">
        <v>0</v>
      </c>
      <c r="AB223" s="1" t="s">
        <v>48</v>
      </c>
      <c r="AC223" t="s">
        <v>46</v>
      </c>
      <c r="AD223" t="s">
        <v>53</v>
      </c>
      <c r="AE223" s="2">
        <v>874</v>
      </c>
    </row>
    <row r="224" spans="1:31" x14ac:dyDescent="0.35">
      <c r="A224">
        <v>37</v>
      </c>
      <c r="B224" s="1" t="s">
        <v>39</v>
      </c>
      <c r="C224" s="1" t="s">
        <v>40</v>
      </c>
      <c r="D224">
        <v>11</v>
      </c>
      <c r="E224">
        <v>3</v>
      </c>
      <c r="F224" s="1" t="s">
        <v>44</v>
      </c>
      <c r="G224">
        <v>2</v>
      </c>
      <c r="H224" s="1" t="s">
        <v>41</v>
      </c>
      <c r="I224">
        <v>3</v>
      </c>
      <c r="J224">
        <v>3</v>
      </c>
      <c r="K224" s="1" t="s">
        <v>59</v>
      </c>
      <c r="L224">
        <v>4</v>
      </c>
      <c r="M224" s="1" t="s">
        <v>50</v>
      </c>
      <c r="N224">
        <v>12185</v>
      </c>
      <c r="O224">
        <v>1</v>
      </c>
      <c r="P224" s="1" t="s">
        <v>30</v>
      </c>
      <c r="Q224">
        <v>14</v>
      </c>
      <c r="R224">
        <v>3</v>
      </c>
      <c r="S224">
        <v>3</v>
      </c>
      <c r="T224">
        <v>10</v>
      </c>
      <c r="U224">
        <v>1</v>
      </c>
      <c r="V224">
        <v>3</v>
      </c>
      <c r="W224">
        <v>10</v>
      </c>
      <c r="X224">
        <v>8</v>
      </c>
      <c r="Y224">
        <v>0</v>
      </c>
      <c r="Z224">
        <v>7</v>
      </c>
      <c r="AA224">
        <v>0</v>
      </c>
      <c r="AB224" s="1" t="s">
        <v>36</v>
      </c>
      <c r="AC224" t="s">
        <v>56</v>
      </c>
      <c r="AD224" t="s">
        <v>38</v>
      </c>
      <c r="AE224" s="2">
        <v>1218.5</v>
      </c>
    </row>
    <row r="225" spans="1:31" x14ac:dyDescent="0.35">
      <c r="A225">
        <v>38</v>
      </c>
      <c r="B225" s="1" t="s">
        <v>39</v>
      </c>
      <c r="C225" s="1" t="s">
        <v>31</v>
      </c>
      <c r="D225">
        <v>3</v>
      </c>
      <c r="E225">
        <v>3</v>
      </c>
      <c r="F225" s="1" t="s">
        <v>32</v>
      </c>
      <c r="G225">
        <v>1</v>
      </c>
      <c r="H225" s="1" t="s">
        <v>41</v>
      </c>
      <c r="I225">
        <v>3</v>
      </c>
      <c r="J225">
        <v>3</v>
      </c>
      <c r="K225" s="1" t="s">
        <v>34</v>
      </c>
      <c r="L225">
        <v>3</v>
      </c>
      <c r="M225" s="1" t="s">
        <v>50</v>
      </c>
      <c r="N225">
        <v>10609</v>
      </c>
      <c r="O225">
        <v>0</v>
      </c>
      <c r="P225" s="1" t="s">
        <v>39</v>
      </c>
      <c r="Q225">
        <v>12</v>
      </c>
      <c r="R225">
        <v>3</v>
      </c>
      <c r="S225">
        <v>2</v>
      </c>
      <c r="T225">
        <v>17</v>
      </c>
      <c r="U225">
        <v>6</v>
      </c>
      <c r="V225">
        <v>2</v>
      </c>
      <c r="W225">
        <v>16</v>
      </c>
      <c r="X225">
        <v>10</v>
      </c>
      <c r="Y225">
        <v>5</v>
      </c>
      <c r="Z225">
        <v>13</v>
      </c>
      <c r="AA225">
        <v>0</v>
      </c>
      <c r="AB225" s="1" t="s">
        <v>36</v>
      </c>
      <c r="AC225" t="s">
        <v>56</v>
      </c>
      <c r="AD225" t="s">
        <v>57</v>
      </c>
      <c r="AE225" s="2">
        <v>663.0625</v>
      </c>
    </row>
    <row r="226" spans="1:31" x14ac:dyDescent="0.35">
      <c r="A226">
        <v>31</v>
      </c>
      <c r="B226" s="1" t="s">
        <v>39</v>
      </c>
      <c r="C226" s="1" t="s">
        <v>40</v>
      </c>
      <c r="D226">
        <v>1</v>
      </c>
      <c r="E226">
        <v>4</v>
      </c>
      <c r="F226" s="1" t="s">
        <v>49</v>
      </c>
      <c r="G226">
        <v>3</v>
      </c>
      <c r="H226" s="1" t="s">
        <v>41</v>
      </c>
      <c r="I226">
        <v>1</v>
      </c>
      <c r="J226">
        <v>2</v>
      </c>
      <c r="K226" s="1" t="s">
        <v>51</v>
      </c>
      <c r="L226">
        <v>3</v>
      </c>
      <c r="M226" s="1" t="s">
        <v>43</v>
      </c>
      <c r="N226">
        <v>4345</v>
      </c>
      <c r="O226">
        <v>0</v>
      </c>
      <c r="P226" s="1" t="s">
        <v>39</v>
      </c>
      <c r="Q226">
        <v>12</v>
      </c>
      <c r="R226">
        <v>4</v>
      </c>
      <c r="S226">
        <v>1</v>
      </c>
      <c r="T226">
        <v>6</v>
      </c>
      <c r="U226">
        <v>2</v>
      </c>
      <c r="V226">
        <v>3</v>
      </c>
      <c r="W226">
        <v>5</v>
      </c>
      <c r="X226">
        <v>4</v>
      </c>
      <c r="Y226">
        <v>1</v>
      </c>
      <c r="Z226">
        <v>4</v>
      </c>
      <c r="AA226">
        <v>0</v>
      </c>
      <c r="AB226" s="1" t="s">
        <v>48</v>
      </c>
      <c r="AC226" t="s">
        <v>37</v>
      </c>
      <c r="AD226" t="s">
        <v>53</v>
      </c>
      <c r="AE226" s="2">
        <v>869</v>
      </c>
    </row>
    <row r="227" spans="1:31" x14ac:dyDescent="0.35">
      <c r="A227">
        <v>59</v>
      </c>
      <c r="B227" s="1" t="s">
        <v>39</v>
      </c>
      <c r="C227" s="1" t="s">
        <v>40</v>
      </c>
      <c r="D227">
        <v>3</v>
      </c>
      <c r="E227">
        <v>3</v>
      </c>
      <c r="F227" s="1" t="s">
        <v>32</v>
      </c>
      <c r="G227">
        <v>3</v>
      </c>
      <c r="H227" s="1" t="s">
        <v>41</v>
      </c>
      <c r="I227">
        <v>2</v>
      </c>
      <c r="J227">
        <v>1</v>
      </c>
      <c r="K227" s="1" t="s">
        <v>42</v>
      </c>
      <c r="L227">
        <v>4</v>
      </c>
      <c r="M227" s="1" t="s">
        <v>43</v>
      </c>
      <c r="N227">
        <v>2177</v>
      </c>
      <c r="O227">
        <v>3</v>
      </c>
      <c r="P227" s="1" t="s">
        <v>39</v>
      </c>
      <c r="Q227">
        <v>17</v>
      </c>
      <c r="R227">
        <v>1</v>
      </c>
      <c r="S227">
        <v>1</v>
      </c>
      <c r="T227">
        <v>7</v>
      </c>
      <c r="U227">
        <v>6</v>
      </c>
      <c r="V227">
        <v>3</v>
      </c>
      <c r="W227">
        <v>1</v>
      </c>
      <c r="X227">
        <v>0</v>
      </c>
      <c r="Y227">
        <v>0</v>
      </c>
      <c r="Z227">
        <v>0</v>
      </c>
      <c r="AA227">
        <v>0</v>
      </c>
      <c r="AB227" s="1" t="s">
        <v>82</v>
      </c>
      <c r="AC227" t="s">
        <v>46</v>
      </c>
      <c r="AD227" t="s">
        <v>47</v>
      </c>
      <c r="AE227" s="2">
        <v>2177</v>
      </c>
    </row>
    <row r="228" spans="1:31" x14ac:dyDescent="0.35">
      <c r="A228">
        <v>37</v>
      </c>
      <c r="B228" s="1" t="s">
        <v>39</v>
      </c>
      <c r="C228" s="1" t="s">
        <v>31</v>
      </c>
      <c r="D228">
        <v>4</v>
      </c>
      <c r="E228">
        <v>4</v>
      </c>
      <c r="F228" s="1" t="s">
        <v>60</v>
      </c>
      <c r="G228">
        <v>1</v>
      </c>
      <c r="H228" s="1" t="s">
        <v>41</v>
      </c>
      <c r="I228">
        <v>3</v>
      </c>
      <c r="J228">
        <v>1</v>
      </c>
      <c r="K228" s="1" t="s">
        <v>58</v>
      </c>
      <c r="L228">
        <v>4</v>
      </c>
      <c r="M228" s="1" t="s">
        <v>50</v>
      </c>
      <c r="N228">
        <v>2793</v>
      </c>
      <c r="O228">
        <v>4</v>
      </c>
      <c r="P228" s="1" t="s">
        <v>39</v>
      </c>
      <c r="Q228">
        <v>17</v>
      </c>
      <c r="R228">
        <v>3</v>
      </c>
      <c r="S228">
        <v>1</v>
      </c>
      <c r="T228">
        <v>13</v>
      </c>
      <c r="U228">
        <v>2</v>
      </c>
      <c r="V228">
        <v>3</v>
      </c>
      <c r="W228">
        <v>9</v>
      </c>
      <c r="X228">
        <v>8</v>
      </c>
      <c r="Y228">
        <v>5</v>
      </c>
      <c r="Z228">
        <v>8</v>
      </c>
      <c r="AA228">
        <v>0</v>
      </c>
      <c r="AB228" s="1" t="s">
        <v>36</v>
      </c>
      <c r="AC228" t="s">
        <v>46</v>
      </c>
      <c r="AD228" t="s">
        <v>38</v>
      </c>
      <c r="AE228" s="2">
        <v>310.33333333333331</v>
      </c>
    </row>
    <row r="229" spans="1:31" x14ac:dyDescent="0.35">
      <c r="A229">
        <v>29</v>
      </c>
      <c r="B229" s="1" t="s">
        <v>39</v>
      </c>
      <c r="C229" s="1" t="s">
        <v>31</v>
      </c>
      <c r="D229">
        <v>1</v>
      </c>
      <c r="E229">
        <v>1</v>
      </c>
      <c r="F229" s="1" t="s">
        <v>49</v>
      </c>
      <c r="G229">
        <v>2</v>
      </c>
      <c r="H229" s="1" t="s">
        <v>33</v>
      </c>
      <c r="I229">
        <v>3</v>
      </c>
      <c r="J229">
        <v>3</v>
      </c>
      <c r="K229" s="1" t="s">
        <v>34</v>
      </c>
      <c r="L229">
        <v>4</v>
      </c>
      <c r="M229" s="1" t="s">
        <v>43</v>
      </c>
      <c r="N229">
        <v>7918</v>
      </c>
      <c r="O229">
        <v>1</v>
      </c>
      <c r="P229" s="1" t="s">
        <v>39</v>
      </c>
      <c r="Q229">
        <v>14</v>
      </c>
      <c r="R229">
        <v>4</v>
      </c>
      <c r="S229">
        <v>1</v>
      </c>
      <c r="T229">
        <v>11</v>
      </c>
      <c r="U229">
        <v>5</v>
      </c>
      <c r="V229">
        <v>3</v>
      </c>
      <c r="W229">
        <v>11</v>
      </c>
      <c r="X229">
        <v>10</v>
      </c>
      <c r="Y229">
        <v>4</v>
      </c>
      <c r="Z229">
        <v>1</v>
      </c>
      <c r="AA229">
        <v>0</v>
      </c>
      <c r="AB229" s="1" t="s">
        <v>48</v>
      </c>
      <c r="AC229" t="s">
        <v>37</v>
      </c>
      <c r="AD229" t="s">
        <v>57</v>
      </c>
      <c r="AE229" s="2">
        <v>719.81818181818187</v>
      </c>
    </row>
    <row r="230" spans="1:31" x14ac:dyDescent="0.35">
      <c r="A230">
        <v>35</v>
      </c>
      <c r="B230" s="1" t="s">
        <v>39</v>
      </c>
      <c r="C230" s="1" t="s">
        <v>31</v>
      </c>
      <c r="D230">
        <v>1</v>
      </c>
      <c r="E230">
        <v>3</v>
      </c>
      <c r="F230" s="1" t="s">
        <v>60</v>
      </c>
      <c r="G230">
        <v>3</v>
      </c>
      <c r="H230" s="1" t="s">
        <v>33</v>
      </c>
      <c r="I230">
        <v>3</v>
      </c>
      <c r="J230">
        <v>3</v>
      </c>
      <c r="K230" s="1" t="s">
        <v>34</v>
      </c>
      <c r="L230">
        <v>3</v>
      </c>
      <c r="M230" s="1" t="s">
        <v>35</v>
      </c>
      <c r="N230">
        <v>8789</v>
      </c>
      <c r="O230">
        <v>1</v>
      </c>
      <c r="P230" s="1" t="s">
        <v>39</v>
      </c>
      <c r="Q230">
        <v>14</v>
      </c>
      <c r="R230">
        <v>1</v>
      </c>
      <c r="S230">
        <v>0</v>
      </c>
      <c r="T230">
        <v>10</v>
      </c>
      <c r="U230">
        <v>3</v>
      </c>
      <c r="V230">
        <v>4</v>
      </c>
      <c r="W230">
        <v>10</v>
      </c>
      <c r="X230">
        <v>7</v>
      </c>
      <c r="Y230">
        <v>0</v>
      </c>
      <c r="Z230">
        <v>8</v>
      </c>
      <c r="AA230">
        <v>0</v>
      </c>
      <c r="AB230" s="1" t="s">
        <v>48</v>
      </c>
      <c r="AC230" t="s">
        <v>37</v>
      </c>
      <c r="AD230" t="s">
        <v>38</v>
      </c>
      <c r="AE230" s="2">
        <v>878.9</v>
      </c>
    </row>
    <row r="231" spans="1:31" x14ac:dyDescent="0.35">
      <c r="A231">
        <v>29</v>
      </c>
      <c r="B231" s="1" t="s">
        <v>30</v>
      </c>
      <c r="C231" s="1" t="s">
        <v>40</v>
      </c>
      <c r="D231">
        <v>18</v>
      </c>
      <c r="E231">
        <v>1</v>
      </c>
      <c r="F231" s="1" t="s">
        <v>49</v>
      </c>
      <c r="G231">
        <v>3</v>
      </c>
      <c r="H231" s="1" t="s">
        <v>41</v>
      </c>
      <c r="I231">
        <v>2</v>
      </c>
      <c r="J231">
        <v>1</v>
      </c>
      <c r="K231" s="1" t="s">
        <v>42</v>
      </c>
      <c r="L231">
        <v>4</v>
      </c>
      <c r="M231" s="1" t="s">
        <v>35</v>
      </c>
      <c r="N231">
        <v>2389</v>
      </c>
      <c r="O231">
        <v>1</v>
      </c>
      <c r="P231" s="1" t="s">
        <v>30</v>
      </c>
      <c r="Q231">
        <v>13</v>
      </c>
      <c r="R231">
        <v>3</v>
      </c>
      <c r="S231">
        <v>0</v>
      </c>
      <c r="T231">
        <v>4</v>
      </c>
      <c r="U231">
        <v>3</v>
      </c>
      <c r="V231">
        <v>2</v>
      </c>
      <c r="W231">
        <v>4</v>
      </c>
      <c r="X231">
        <v>3</v>
      </c>
      <c r="Y231">
        <v>0</v>
      </c>
      <c r="Z231">
        <v>1</v>
      </c>
      <c r="AA231">
        <v>1</v>
      </c>
      <c r="AB231" s="1" t="s">
        <v>48</v>
      </c>
      <c r="AC231" t="s">
        <v>46</v>
      </c>
      <c r="AD231" t="s">
        <v>53</v>
      </c>
      <c r="AE231" s="2">
        <v>597.25</v>
      </c>
    </row>
    <row r="232" spans="1:31" x14ac:dyDescent="0.35">
      <c r="A232">
        <v>52</v>
      </c>
      <c r="B232" s="1" t="s">
        <v>39</v>
      </c>
      <c r="C232" s="1" t="s">
        <v>40</v>
      </c>
      <c r="D232">
        <v>2</v>
      </c>
      <c r="E232">
        <v>3</v>
      </c>
      <c r="F232" s="1" t="s">
        <v>32</v>
      </c>
      <c r="G232">
        <v>3</v>
      </c>
      <c r="H232" s="1" t="s">
        <v>33</v>
      </c>
      <c r="I232">
        <v>2</v>
      </c>
      <c r="J232">
        <v>1</v>
      </c>
      <c r="K232" s="1" t="s">
        <v>45</v>
      </c>
      <c r="L232">
        <v>4</v>
      </c>
      <c r="M232" s="1" t="s">
        <v>35</v>
      </c>
      <c r="N232">
        <v>3212</v>
      </c>
      <c r="O232">
        <v>7</v>
      </c>
      <c r="P232" s="1" t="s">
        <v>39</v>
      </c>
      <c r="Q232">
        <v>15</v>
      </c>
      <c r="R232">
        <v>2</v>
      </c>
      <c r="S232">
        <v>0</v>
      </c>
      <c r="T232">
        <v>6</v>
      </c>
      <c r="U232">
        <v>3</v>
      </c>
      <c r="V232">
        <v>2</v>
      </c>
      <c r="W232">
        <v>2</v>
      </c>
      <c r="X232">
        <v>2</v>
      </c>
      <c r="Y232">
        <v>2</v>
      </c>
      <c r="Z232">
        <v>2</v>
      </c>
      <c r="AA232">
        <v>0</v>
      </c>
      <c r="AB232" s="1" t="s">
        <v>82</v>
      </c>
      <c r="AC232" t="s">
        <v>46</v>
      </c>
      <c r="AD232" t="s">
        <v>47</v>
      </c>
      <c r="AE232" s="2">
        <v>1606</v>
      </c>
    </row>
    <row r="233" spans="1:31" x14ac:dyDescent="0.35">
      <c r="A233">
        <v>42</v>
      </c>
      <c r="B233" s="1" t="s">
        <v>39</v>
      </c>
      <c r="C233" s="1" t="s">
        <v>40</v>
      </c>
      <c r="D233">
        <v>4</v>
      </c>
      <c r="E233">
        <v>2</v>
      </c>
      <c r="F233" s="1" t="s">
        <v>61</v>
      </c>
      <c r="G233">
        <v>3</v>
      </c>
      <c r="H233" s="1" t="s">
        <v>41</v>
      </c>
      <c r="I233">
        <v>3</v>
      </c>
      <c r="J233">
        <v>5</v>
      </c>
      <c r="K233" s="1" t="s">
        <v>55</v>
      </c>
      <c r="L233">
        <v>4</v>
      </c>
      <c r="M233" s="1" t="s">
        <v>43</v>
      </c>
      <c r="N233">
        <v>19232</v>
      </c>
      <c r="O233">
        <v>1</v>
      </c>
      <c r="P233" s="1" t="s">
        <v>39</v>
      </c>
      <c r="Q233">
        <v>11</v>
      </c>
      <c r="R233">
        <v>4</v>
      </c>
      <c r="S233">
        <v>0</v>
      </c>
      <c r="T233">
        <v>22</v>
      </c>
      <c r="U233">
        <v>3</v>
      </c>
      <c r="V233">
        <v>3</v>
      </c>
      <c r="W233">
        <v>22</v>
      </c>
      <c r="X233">
        <v>17</v>
      </c>
      <c r="Y233">
        <v>11</v>
      </c>
      <c r="Z233">
        <v>15</v>
      </c>
      <c r="AA233">
        <v>0</v>
      </c>
      <c r="AB233" s="1" t="s">
        <v>36</v>
      </c>
      <c r="AC233" t="s">
        <v>56</v>
      </c>
      <c r="AD233" t="s">
        <v>57</v>
      </c>
      <c r="AE233" s="2">
        <v>874.18181818181813</v>
      </c>
    </row>
    <row r="234" spans="1:31" x14ac:dyDescent="0.35">
      <c r="A234">
        <v>59</v>
      </c>
      <c r="B234" s="1" t="s">
        <v>39</v>
      </c>
      <c r="C234" s="1" t="s">
        <v>62</v>
      </c>
      <c r="D234">
        <v>6</v>
      </c>
      <c r="E234">
        <v>2</v>
      </c>
      <c r="F234" s="1" t="s">
        <v>49</v>
      </c>
      <c r="G234">
        <v>2</v>
      </c>
      <c r="H234" s="1" t="s">
        <v>41</v>
      </c>
      <c r="I234">
        <v>3</v>
      </c>
      <c r="J234">
        <v>1</v>
      </c>
      <c r="K234" s="1" t="s">
        <v>62</v>
      </c>
      <c r="L234">
        <v>3</v>
      </c>
      <c r="M234" s="1" t="s">
        <v>43</v>
      </c>
      <c r="N234">
        <v>2267</v>
      </c>
      <c r="O234">
        <v>8</v>
      </c>
      <c r="P234" s="1" t="s">
        <v>39</v>
      </c>
      <c r="Q234">
        <v>17</v>
      </c>
      <c r="R234">
        <v>4</v>
      </c>
      <c r="S234">
        <v>0</v>
      </c>
      <c r="T234">
        <v>7</v>
      </c>
      <c r="U234">
        <v>2</v>
      </c>
      <c r="V234">
        <v>2</v>
      </c>
      <c r="W234">
        <v>2</v>
      </c>
      <c r="X234">
        <v>2</v>
      </c>
      <c r="Y234">
        <v>2</v>
      </c>
      <c r="Z234">
        <v>2</v>
      </c>
      <c r="AA234">
        <v>0</v>
      </c>
      <c r="AB234" s="1" t="s">
        <v>82</v>
      </c>
      <c r="AC234" t="s">
        <v>46</v>
      </c>
      <c r="AD234" t="s">
        <v>47</v>
      </c>
      <c r="AE234" s="2">
        <v>1133.5</v>
      </c>
    </row>
    <row r="235" spans="1:31" x14ac:dyDescent="0.35">
      <c r="A235">
        <v>50</v>
      </c>
      <c r="B235" s="1" t="s">
        <v>39</v>
      </c>
      <c r="C235" s="1" t="s">
        <v>31</v>
      </c>
      <c r="D235">
        <v>1</v>
      </c>
      <c r="E235">
        <v>4</v>
      </c>
      <c r="F235" s="1" t="s">
        <v>49</v>
      </c>
      <c r="G235">
        <v>4</v>
      </c>
      <c r="H235" s="1" t="s">
        <v>33</v>
      </c>
      <c r="I235">
        <v>3</v>
      </c>
      <c r="J235">
        <v>5</v>
      </c>
      <c r="K235" s="1" t="s">
        <v>55</v>
      </c>
      <c r="L235">
        <v>4</v>
      </c>
      <c r="M235" s="1" t="s">
        <v>50</v>
      </c>
      <c r="N235">
        <v>19517</v>
      </c>
      <c r="O235">
        <v>3</v>
      </c>
      <c r="P235" s="1" t="s">
        <v>39</v>
      </c>
      <c r="Q235">
        <v>11</v>
      </c>
      <c r="R235">
        <v>3</v>
      </c>
      <c r="S235">
        <v>1</v>
      </c>
      <c r="T235">
        <v>32</v>
      </c>
      <c r="U235">
        <v>3</v>
      </c>
      <c r="V235">
        <v>2</v>
      </c>
      <c r="W235">
        <v>7</v>
      </c>
      <c r="X235">
        <v>0</v>
      </c>
      <c r="Y235">
        <v>0</v>
      </c>
      <c r="Z235">
        <v>6</v>
      </c>
      <c r="AA235">
        <v>0</v>
      </c>
      <c r="AB235" s="1" t="s">
        <v>82</v>
      </c>
      <c r="AC235" t="s">
        <v>56</v>
      </c>
      <c r="AD235" t="s">
        <v>38</v>
      </c>
      <c r="AE235" s="2">
        <v>2788.1428571428573</v>
      </c>
    </row>
    <row r="236" spans="1:31" x14ac:dyDescent="0.35">
      <c r="A236">
        <v>33</v>
      </c>
      <c r="B236" s="1" t="s">
        <v>30</v>
      </c>
      <c r="C236" s="1" t="s">
        <v>40</v>
      </c>
      <c r="D236">
        <v>14</v>
      </c>
      <c r="E236">
        <v>3</v>
      </c>
      <c r="F236" s="1" t="s">
        <v>49</v>
      </c>
      <c r="G236">
        <v>3</v>
      </c>
      <c r="H236" s="1" t="s">
        <v>41</v>
      </c>
      <c r="I236">
        <v>3</v>
      </c>
      <c r="J236">
        <v>1</v>
      </c>
      <c r="K236" s="1" t="s">
        <v>45</v>
      </c>
      <c r="L236">
        <v>4</v>
      </c>
      <c r="M236" s="1" t="s">
        <v>43</v>
      </c>
      <c r="N236">
        <v>2436</v>
      </c>
      <c r="O236">
        <v>5</v>
      </c>
      <c r="P236" s="1" t="s">
        <v>30</v>
      </c>
      <c r="Q236">
        <v>13</v>
      </c>
      <c r="R236">
        <v>3</v>
      </c>
      <c r="S236">
        <v>1</v>
      </c>
      <c r="T236">
        <v>8</v>
      </c>
      <c r="U236">
        <v>2</v>
      </c>
      <c r="V236">
        <v>1</v>
      </c>
      <c r="W236">
        <v>5</v>
      </c>
      <c r="X236">
        <v>4</v>
      </c>
      <c r="Y236">
        <v>0</v>
      </c>
      <c r="Z236">
        <v>4</v>
      </c>
      <c r="AA236">
        <v>1</v>
      </c>
      <c r="AB236" s="1" t="s">
        <v>48</v>
      </c>
      <c r="AC236" t="s">
        <v>46</v>
      </c>
      <c r="AD236" t="s">
        <v>53</v>
      </c>
      <c r="AE236" s="2">
        <v>487.2</v>
      </c>
    </row>
    <row r="237" spans="1:31" x14ac:dyDescent="0.35">
      <c r="A237">
        <v>43</v>
      </c>
      <c r="B237" s="1" t="s">
        <v>39</v>
      </c>
      <c r="C237" s="1" t="s">
        <v>31</v>
      </c>
      <c r="D237">
        <v>16</v>
      </c>
      <c r="E237">
        <v>3</v>
      </c>
      <c r="F237" s="1" t="s">
        <v>60</v>
      </c>
      <c r="G237">
        <v>4</v>
      </c>
      <c r="H237" s="1" t="s">
        <v>33</v>
      </c>
      <c r="I237">
        <v>3</v>
      </c>
      <c r="J237">
        <v>4</v>
      </c>
      <c r="K237" s="1" t="s">
        <v>55</v>
      </c>
      <c r="L237">
        <v>4</v>
      </c>
      <c r="M237" s="1" t="s">
        <v>43</v>
      </c>
      <c r="N237">
        <v>16064</v>
      </c>
      <c r="O237">
        <v>5</v>
      </c>
      <c r="P237" s="1" t="s">
        <v>30</v>
      </c>
      <c r="Q237">
        <v>22</v>
      </c>
      <c r="R237">
        <v>3</v>
      </c>
      <c r="S237">
        <v>1</v>
      </c>
      <c r="T237">
        <v>22</v>
      </c>
      <c r="U237">
        <v>3</v>
      </c>
      <c r="V237">
        <v>3</v>
      </c>
      <c r="W237">
        <v>17</v>
      </c>
      <c r="X237">
        <v>13</v>
      </c>
      <c r="Y237">
        <v>1</v>
      </c>
      <c r="Z237">
        <v>9</v>
      </c>
      <c r="AA237">
        <v>0</v>
      </c>
      <c r="AB237" s="1" t="s">
        <v>36</v>
      </c>
      <c r="AC237" t="s">
        <v>56</v>
      </c>
      <c r="AD237" t="s">
        <v>57</v>
      </c>
      <c r="AE237" s="2">
        <v>944.94117647058829</v>
      </c>
    </row>
    <row r="238" spans="1:31" x14ac:dyDescent="0.35">
      <c r="A238">
        <v>33</v>
      </c>
      <c r="B238" s="1" t="s">
        <v>30</v>
      </c>
      <c r="C238" s="1" t="s">
        <v>40</v>
      </c>
      <c r="D238">
        <v>2</v>
      </c>
      <c r="E238">
        <v>2</v>
      </c>
      <c r="F238" s="1" t="s">
        <v>32</v>
      </c>
      <c r="G238">
        <v>1</v>
      </c>
      <c r="H238" s="1" t="s">
        <v>33</v>
      </c>
      <c r="I238">
        <v>3</v>
      </c>
      <c r="J238">
        <v>1</v>
      </c>
      <c r="K238" s="1" t="s">
        <v>45</v>
      </c>
      <c r="L238">
        <v>1</v>
      </c>
      <c r="M238" s="1" t="s">
        <v>43</v>
      </c>
      <c r="N238">
        <v>2707</v>
      </c>
      <c r="O238">
        <v>7</v>
      </c>
      <c r="P238" s="1" t="s">
        <v>39</v>
      </c>
      <c r="Q238">
        <v>20</v>
      </c>
      <c r="R238">
        <v>1</v>
      </c>
      <c r="S238">
        <v>0</v>
      </c>
      <c r="T238">
        <v>13</v>
      </c>
      <c r="U238">
        <v>3</v>
      </c>
      <c r="V238">
        <v>4</v>
      </c>
      <c r="W238">
        <v>9</v>
      </c>
      <c r="X238">
        <v>7</v>
      </c>
      <c r="Y238">
        <v>1</v>
      </c>
      <c r="Z238">
        <v>7</v>
      </c>
      <c r="AA238">
        <v>1</v>
      </c>
      <c r="AB238" s="1" t="s">
        <v>48</v>
      </c>
      <c r="AC238" t="s">
        <v>46</v>
      </c>
      <c r="AD238" t="s">
        <v>38</v>
      </c>
      <c r="AE238" s="2">
        <v>300.77777777777777</v>
      </c>
    </row>
    <row r="239" spans="1:31" x14ac:dyDescent="0.35">
      <c r="A239">
        <v>52</v>
      </c>
      <c r="B239" s="1" t="s">
        <v>39</v>
      </c>
      <c r="C239" s="1" t="s">
        <v>31</v>
      </c>
      <c r="D239">
        <v>2</v>
      </c>
      <c r="E239">
        <v>4</v>
      </c>
      <c r="F239" s="1" t="s">
        <v>32</v>
      </c>
      <c r="G239">
        <v>1</v>
      </c>
      <c r="H239" s="1" t="s">
        <v>41</v>
      </c>
      <c r="I239">
        <v>2</v>
      </c>
      <c r="J239">
        <v>5</v>
      </c>
      <c r="K239" s="1" t="s">
        <v>55</v>
      </c>
      <c r="L239">
        <v>3</v>
      </c>
      <c r="M239" s="1" t="s">
        <v>35</v>
      </c>
      <c r="N239">
        <v>19068</v>
      </c>
      <c r="O239">
        <v>1</v>
      </c>
      <c r="P239" s="1" t="s">
        <v>30</v>
      </c>
      <c r="Q239">
        <v>18</v>
      </c>
      <c r="R239">
        <v>4</v>
      </c>
      <c r="S239">
        <v>0</v>
      </c>
      <c r="T239">
        <v>33</v>
      </c>
      <c r="U239">
        <v>2</v>
      </c>
      <c r="V239">
        <v>4</v>
      </c>
      <c r="W239">
        <v>33</v>
      </c>
      <c r="X239">
        <v>7</v>
      </c>
      <c r="Y239">
        <v>15</v>
      </c>
      <c r="Z239">
        <v>12</v>
      </c>
      <c r="AA239">
        <v>0</v>
      </c>
      <c r="AB239" s="1" t="s">
        <v>82</v>
      </c>
      <c r="AC239" t="s">
        <v>56</v>
      </c>
      <c r="AD239" t="s">
        <v>57</v>
      </c>
      <c r="AE239" s="2">
        <v>577.81818181818187</v>
      </c>
    </row>
    <row r="240" spans="1:31" x14ac:dyDescent="0.35">
      <c r="A240">
        <v>32</v>
      </c>
      <c r="B240" s="1" t="s">
        <v>39</v>
      </c>
      <c r="C240" s="1" t="s">
        <v>31</v>
      </c>
      <c r="D240">
        <v>4</v>
      </c>
      <c r="E240">
        <v>2</v>
      </c>
      <c r="F240" s="1" t="s">
        <v>32</v>
      </c>
      <c r="G240">
        <v>3</v>
      </c>
      <c r="H240" s="1" t="s">
        <v>33</v>
      </c>
      <c r="I240">
        <v>3</v>
      </c>
      <c r="J240">
        <v>1</v>
      </c>
      <c r="K240" s="1" t="s">
        <v>58</v>
      </c>
      <c r="L240">
        <v>2</v>
      </c>
      <c r="M240" s="1" t="s">
        <v>43</v>
      </c>
      <c r="N240">
        <v>3931</v>
      </c>
      <c r="O240">
        <v>2</v>
      </c>
      <c r="P240" s="1" t="s">
        <v>39</v>
      </c>
      <c r="Q240">
        <v>11</v>
      </c>
      <c r="R240">
        <v>1</v>
      </c>
      <c r="S240">
        <v>1</v>
      </c>
      <c r="T240">
        <v>6</v>
      </c>
      <c r="U240">
        <v>5</v>
      </c>
      <c r="V240">
        <v>3</v>
      </c>
      <c r="W240">
        <v>4</v>
      </c>
      <c r="X240">
        <v>3</v>
      </c>
      <c r="Y240">
        <v>1</v>
      </c>
      <c r="Z240">
        <v>2</v>
      </c>
      <c r="AA240">
        <v>0</v>
      </c>
      <c r="AB240" s="1" t="s">
        <v>48</v>
      </c>
      <c r="AC240" t="s">
        <v>46</v>
      </c>
      <c r="AD240" t="s">
        <v>53</v>
      </c>
      <c r="AE240" s="2">
        <v>982.75</v>
      </c>
    </row>
    <row r="241" spans="1:31" x14ac:dyDescent="0.35">
      <c r="A241">
        <v>32</v>
      </c>
      <c r="B241" s="1" t="s">
        <v>30</v>
      </c>
      <c r="C241" s="1" t="s">
        <v>40</v>
      </c>
      <c r="D241">
        <v>1</v>
      </c>
      <c r="E241">
        <v>3</v>
      </c>
      <c r="F241" s="1" t="s">
        <v>32</v>
      </c>
      <c r="G241">
        <v>4</v>
      </c>
      <c r="H241" s="1" t="s">
        <v>41</v>
      </c>
      <c r="I241">
        <v>2</v>
      </c>
      <c r="J241">
        <v>1</v>
      </c>
      <c r="K241" s="1" t="s">
        <v>45</v>
      </c>
      <c r="L241">
        <v>3</v>
      </c>
      <c r="M241" s="1" t="s">
        <v>35</v>
      </c>
      <c r="N241">
        <v>3730</v>
      </c>
      <c r="O241">
        <v>0</v>
      </c>
      <c r="P241" s="1" t="s">
        <v>30</v>
      </c>
      <c r="Q241">
        <v>14</v>
      </c>
      <c r="R241">
        <v>4</v>
      </c>
      <c r="S241">
        <v>0</v>
      </c>
      <c r="T241">
        <v>4</v>
      </c>
      <c r="U241">
        <v>2</v>
      </c>
      <c r="V241">
        <v>1</v>
      </c>
      <c r="W241">
        <v>3</v>
      </c>
      <c r="X241">
        <v>2</v>
      </c>
      <c r="Y241">
        <v>1</v>
      </c>
      <c r="Z241">
        <v>2</v>
      </c>
      <c r="AA241">
        <v>1</v>
      </c>
      <c r="AB241" s="1" t="s">
        <v>48</v>
      </c>
      <c r="AC241" t="s">
        <v>46</v>
      </c>
      <c r="AD241" t="s">
        <v>53</v>
      </c>
      <c r="AE241" s="2">
        <v>1243.3333333333333</v>
      </c>
    </row>
    <row r="242" spans="1:31" x14ac:dyDescent="0.35">
      <c r="A242">
        <v>39</v>
      </c>
      <c r="B242" s="1" t="s">
        <v>39</v>
      </c>
      <c r="C242" s="1" t="s">
        <v>40</v>
      </c>
      <c r="D242">
        <v>1</v>
      </c>
      <c r="E242">
        <v>4</v>
      </c>
      <c r="F242" s="1" t="s">
        <v>49</v>
      </c>
      <c r="G242">
        <v>3</v>
      </c>
      <c r="H242" s="1" t="s">
        <v>33</v>
      </c>
      <c r="I242">
        <v>3</v>
      </c>
      <c r="J242">
        <v>1</v>
      </c>
      <c r="K242" s="1" t="s">
        <v>45</v>
      </c>
      <c r="L242">
        <v>3</v>
      </c>
      <c r="M242" s="1" t="s">
        <v>50</v>
      </c>
      <c r="N242">
        <v>2232</v>
      </c>
      <c r="O242">
        <v>7</v>
      </c>
      <c r="P242" s="1" t="s">
        <v>39</v>
      </c>
      <c r="Q242">
        <v>14</v>
      </c>
      <c r="R242">
        <v>3</v>
      </c>
      <c r="S242">
        <v>3</v>
      </c>
      <c r="T242">
        <v>7</v>
      </c>
      <c r="U242">
        <v>1</v>
      </c>
      <c r="V242">
        <v>3</v>
      </c>
      <c r="W242">
        <v>3</v>
      </c>
      <c r="X242">
        <v>2</v>
      </c>
      <c r="Y242">
        <v>1</v>
      </c>
      <c r="Z242">
        <v>2</v>
      </c>
      <c r="AA242">
        <v>0</v>
      </c>
      <c r="AB242" s="1" t="s">
        <v>36</v>
      </c>
      <c r="AC242" t="s">
        <v>46</v>
      </c>
      <c r="AD242" t="s">
        <v>53</v>
      </c>
      <c r="AE242" s="2">
        <v>744</v>
      </c>
    </row>
    <row r="243" spans="1:31" x14ac:dyDescent="0.35">
      <c r="A243">
        <v>32</v>
      </c>
      <c r="B243" s="1" t="s">
        <v>39</v>
      </c>
      <c r="C243" s="1" t="s">
        <v>31</v>
      </c>
      <c r="D243">
        <v>26</v>
      </c>
      <c r="E243">
        <v>4</v>
      </c>
      <c r="F243" s="1" t="s">
        <v>60</v>
      </c>
      <c r="G243">
        <v>3</v>
      </c>
      <c r="H243" s="1" t="s">
        <v>41</v>
      </c>
      <c r="I243">
        <v>3</v>
      </c>
      <c r="J243">
        <v>2</v>
      </c>
      <c r="K243" s="1" t="s">
        <v>34</v>
      </c>
      <c r="L243">
        <v>4</v>
      </c>
      <c r="M243" s="1" t="s">
        <v>43</v>
      </c>
      <c r="N243">
        <v>4465</v>
      </c>
      <c r="O243">
        <v>0</v>
      </c>
      <c r="P243" s="1" t="s">
        <v>39</v>
      </c>
      <c r="Q243">
        <v>18</v>
      </c>
      <c r="R243">
        <v>1</v>
      </c>
      <c r="S243">
        <v>0</v>
      </c>
      <c r="T243">
        <v>4</v>
      </c>
      <c r="U243">
        <v>2</v>
      </c>
      <c r="V243">
        <v>3</v>
      </c>
      <c r="W243">
        <v>3</v>
      </c>
      <c r="X243">
        <v>2</v>
      </c>
      <c r="Y243">
        <v>2</v>
      </c>
      <c r="Z243">
        <v>2</v>
      </c>
      <c r="AA243">
        <v>0</v>
      </c>
      <c r="AB243" s="1" t="s">
        <v>48</v>
      </c>
      <c r="AC243" t="s">
        <v>37</v>
      </c>
      <c r="AD243" t="s">
        <v>53</v>
      </c>
      <c r="AE243" s="2">
        <v>1488.3333333333333</v>
      </c>
    </row>
    <row r="244" spans="1:31" x14ac:dyDescent="0.35">
      <c r="A244">
        <v>41</v>
      </c>
      <c r="B244" s="1" t="s">
        <v>39</v>
      </c>
      <c r="C244" s="1" t="s">
        <v>40</v>
      </c>
      <c r="D244">
        <v>19</v>
      </c>
      <c r="E244">
        <v>2</v>
      </c>
      <c r="F244" s="1" t="s">
        <v>32</v>
      </c>
      <c r="G244">
        <v>3</v>
      </c>
      <c r="H244" s="1" t="s">
        <v>41</v>
      </c>
      <c r="I244">
        <v>3</v>
      </c>
      <c r="J244">
        <v>2</v>
      </c>
      <c r="K244" s="1" t="s">
        <v>42</v>
      </c>
      <c r="L244">
        <v>1</v>
      </c>
      <c r="M244" s="1" t="s">
        <v>50</v>
      </c>
      <c r="N244">
        <v>3072</v>
      </c>
      <c r="O244">
        <v>2</v>
      </c>
      <c r="P244" s="1" t="s">
        <v>39</v>
      </c>
      <c r="Q244">
        <v>16</v>
      </c>
      <c r="R244">
        <v>1</v>
      </c>
      <c r="S244">
        <v>2</v>
      </c>
      <c r="T244">
        <v>17</v>
      </c>
      <c r="U244">
        <v>2</v>
      </c>
      <c r="V244">
        <v>2</v>
      </c>
      <c r="W244">
        <v>1</v>
      </c>
      <c r="X244">
        <v>0</v>
      </c>
      <c r="Y244">
        <v>0</v>
      </c>
      <c r="Z244">
        <v>0</v>
      </c>
      <c r="AA244">
        <v>0</v>
      </c>
      <c r="AB244" s="1" t="s">
        <v>36</v>
      </c>
      <c r="AC244" t="s">
        <v>46</v>
      </c>
      <c r="AD244" t="s">
        <v>47</v>
      </c>
      <c r="AE244" s="2">
        <v>3072</v>
      </c>
    </row>
    <row r="245" spans="1:31" x14ac:dyDescent="0.35">
      <c r="A245">
        <v>40</v>
      </c>
      <c r="B245" s="1" t="s">
        <v>39</v>
      </c>
      <c r="C245" s="1" t="s">
        <v>40</v>
      </c>
      <c r="D245">
        <v>24</v>
      </c>
      <c r="E245">
        <v>2</v>
      </c>
      <c r="F245" s="1" t="s">
        <v>61</v>
      </c>
      <c r="G245">
        <v>1</v>
      </c>
      <c r="H245" s="1" t="s">
        <v>41</v>
      </c>
      <c r="I245">
        <v>3</v>
      </c>
      <c r="J245">
        <v>2</v>
      </c>
      <c r="K245" s="1" t="s">
        <v>42</v>
      </c>
      <c r="L245">
        <v>4</v>
      </c>
      <c r="M245" s="1" t="s">
        <v>50</v>
      </c>
      <c r="N245">
        <v>3319</v>
      </c>
      <c r="O245">
        <v>1</v>
      </c>
      <c r="P245" s="1" t="s">
        <v>39</v>
      </c>
      <c r="Q245">
        <v>17</v>
      </c>
      <c r="R245">
        <v>1</v>
      </c>
      <c r="S245">
        <v>2</v>
      </c>
      <c r="T245">
        <v>9</v>
      </c>
      <c r="U245">
        <v>3</v>
      </c>
      <c r="V245">
        <v>3</v>
      </c>
      <c r="W245">
        <v>9</v>
      </c>
      <c r="X245">
        <v>8</v>
      </c>
      <c r="Y245">
        <v>4</v>
      </c>
      <c r="Z245">
        <v>7</v>
      </c>
      <c r="AA245">
        <v>0</v>
      </c>
      <c r="AB245" s="1" t="s">
        <v>36</v>
      </c>
      <c r="AC245" t="s">
        <v>46</v>
      </c>
      <c r="AD245" t="s">
        <v>38</v>
      </c>
      <c r="AE245" s="2">
        <v>368.77777777777777</v>
      </c>
    </row>
    <row r="246" spans="1:31" x14ac:dyDescent="0.35">
      <c r="A246">
        <v>45</v>
      </c>
      <c r="B246" s="1" t="s">
        <v>39</v>
      </c>
      <c r="C246" s="1" t="s">
        <v>40</v>
      </c>
      <c r="D246">
        <v>1</v>
      </c>
      <c r="E246">
        <v>3</v>
      </c>
      <c r="F246" s="1" t="s">
        <v>44</v>
      </c>
      <c r="G246">
        <v>3</v>
      </c>
      <c r="H246" s="1" t="s">
        <v>41</v>
      </c>
      <c r="I246">
        <v>4</v>
      </c>
      <c r="J246">
        <v>5</v>
      </c>
      <c r="K246" s="1" t="s">
        <v>55</v>
      </c>
      <c r="L246">
        <v>4</v>
      </c>
      <c r="M246" s="1" t="s">
        <v>43</v>
      </c>
      <c r="N246">
        <v>19202</v>
      </c>
      <c r="O246">
        <v>0</v>
      </c>
      <c r="P246" s="1" t="s">
        <v>39</v>
      </c>
      <c r="Q246">
        <v>11</v>
      </c>
      <c r="R246">
        <v>3</v>
      </c>
      <c r="S246">
        <v>1</v>
      </c>
      <c r="T246">
        <v>25</v>
      </c>
      <c r="U246">
        <v>2</v>
      </c>
      <c r="V246">
        <v>3</v>
      </c>
      <c r="W246">
        <v>24</v>
      </c>
      <c r="X246">
        <v>0</v>
      </c>
      <c r="Y246">
        <v>1</v>
      </c>
      <c r="Z246">
        <v>7</v>
      </c>
      <c r="AA246">
        <v>0</v>
      </c>
      <c r="AB246" s="1" t="s">
        <v>36</v>
      </c>
      <c r="AC246" t="s">
        <v>56</v>
      </c>
      <c r="AD246" t="s">
        <v>57</v>
      </c>
      <c r="AE246" s="2">
        <v>800.08333333333337</v>
      </c>
    </row>
    <row r="247" spans="1:31" x14ac:dyDescent="0.35">
      <c r="A247">
        <v>31</v>
      </c>
      <c r="B247" s="1" t="s">
        <v>39</v>
      </c>
      <c r="C247" s="1" t="s">
        <v>40</v>
      </c>
      <c r="D247">
        <v>3</v>
      </c>
      <c r="E247">
        <v>4</v>
      </c>
      <c r="F247" s="1" t="s">
        <v>49</v>
      </c>
      <c r="G247">
        <v>2</v>
      </c>
      <c r="H247" s="1" t="s">
        <v>41</v>
      </c>
      <c r="I247">
        <v>3</v>
      </c>
      <c r="J247">
        <v>3</v>
      </c>
      <c r="K247" s="1" t="s">
        <v>59</v>
      </c>
      <c r="L247">
        <v>3</v>
      </c>
      <c r="M247" s="1" t="s">
        <v>50</v>
      </c>
      <c r="N247">
        <v>13675</v>
      </c>
      <c r="O247">
        <v>9</v>
      </c>
      <c r="P247" s="1" t="s">
        <v>39</v>
      </c>
      <c r="Q247">
        <v>12</v>
      </c>
      <c r="R247">
        <v>1</v>
      </c>
      <c r="S247">
        <v>1</v>
      </c>
      <c r="T247">
        <v>9</v>
      </c>
      <c r="U247">
        <v>3</v>
      </c>
      <c r="V247">
        <v>3</v>
      </c>
      <c r="W247">
        <v>2</v>
      </c>
      <c r="X247">
        <v>2</v>
      </c>
      <c r="Y247">
        <v>2</v>
      </c>
      <c r="Z247">
        <v>2</v>
      </c>
      <c r="AA247">
        <v>0</v>
      </c>
      <c r="AB247" s="1" t="s">
        <v>48</v>
      </c>
      <c r="AC247" t="s">
        <v>56</v>
      </c>
      <c r="AD247" t="s">
        <v>47</v>
      </c>
      <c r="AE247" s="2">
        <v>6837.5</v>
      </c>
    </row>
    <row r="248" spans="1:31" x14ac:dyDescent="0.35">
      <c r="A248">
        <v>33</v>
      </c>
      <c r="B248" s="1" t="s">
        <v>39</v>
      </c>
      <c r="C248" s="1" t="s">
        <v>40</v>
      </c>
      <c r="D248">
        <v>5</v>
      </c>
      <c r="E248">
        <v>4</v>
      </c>
      <c r="F248" s="1" t="s">
        <v>32</v>
      </c>
      <c r="G248">
        <v>3</v>
      </c>
      <c r="H248" s="1" t="s">
        <v>33</v>
      </c>
      <c r="I248">
        <v>2</v>
      </c>
      <c r="J248">
        <v>1</v>
      </c>
      <c r="K248" s="1" t="s">
        <v>42</v>
      </c>
      <c r="L248">
        <v>4</v>
      </c>
      <c r="M248" s="1" t="s">
        <v>43</v>
      </c>
      <c r="N248">
        <v>2911</v>
      </c>
      <c r="O248">
        <v>1</v>
      </c>
      <c r="P248" s="1" t="s">
        <v>39</v>
      </c>
      <c r="Q248">
        <v>13</v>
      </c>
      <c r="R248">
        <v>3</v>
      </c>
      <c r="S248">
        <v>1</v>
      </c>
      <c r="T248">
        <v>2</v>
      </c>
      <c r="U248">
        <v>2</v>
      </c>
      <c r="V248">
        <v>2</v>
      </c>
      <c r="W248">
        <v>2</v>
      </c>
      <c r="X248">
        <v>2</v>
      </c>
      <c r="Y248">
        <v>0</v>
      </c>
      <c r="Z248">
        <v>2</v>
      </c>
      <c r="AA248">
        <v>0</v>
      </c>
      <c r="AB248" s="1" t="s">
        <v>48</v>
      </c>
      <c r="AC248" t="s">
        <v>46</v>
      </c>
      <c r="AD248" t="s">
        <v>47</v>
      </c>
      <c r="AE248" s="2">
        <v>1455.5</v>
      </c>
    </row>
    <row r="249" spans="1:31" x14ac:dyDescent="0.35">
      <c r="A249">
        <v>34</v>
      </c>
      <c r="B249" s="1" t="s">
        <v>39</v>
      </c>
      <c r="C249" s="1" t="s">
        <v>40</v>
      </c>
      <c r="D249">
        <v>2</v>
      </c>
      <c r="E249">
        <v>4</v>
      </c>
      <c r="F249" s="1" t="s">
        <v>32</v>
      </c>
      <c r="G249">
        <v>4</v>
      </c>
      <c r="H249" s="1" t="s">
        <v>41</v>
      </c>
      <c r="I249">
        <v>2</v>
      </c>
      <c r="J249">
        <v>2</v>
      </c>
      <c r="K249" s="1" t="s">
        <v>51</v>
      </c>
      <c r="L249">
        <v>1</v>
      </c>
      <c r="M249" s="1" t="s">
        <v>43</v>
      </c>
      <c r="N249">
        <v>5957</v>
      </c>
      <c r="O249">
        <v>6</v>
      </c>
      <c r="P249" s="1" t="s">
        <v>39</v>
      </c>
      <c r="Q249">
        <v>13</v>
      </c>
      <c r="R249">
        <v>2</v>
      </c>
      <c r="S249">
        <v>1</v>
      </c>
      <c r="T249">
        <v>13</v>
      </c>
      <c r="U249">
        <v>3</v>
      </c>
      <c r="V249">
        <v>3</v>
      </c>
      <c r="W249">
        <v>11</v>
      </c>
      <c r="X249">
        <v>9</v>
      </c>
      <c r="Y249">
        <v>5</v>
      </c>
      <c r="Z249">
        <v>9</v>
      </c>
      <c r="AA249">
        <v>0</v>
      </c>
      <c r="AB249" s="1" t="s">
        <v>48</v>
      </c>
      <c r="AC249" t="s">
        <v>37</v>
      </c>
      <c r="AD249" t="s">
        <v>57</v>
      </c>
      <c r="AE249" s="2">
        <v>541.5454545454545</v>
      </c>
    </row>
    <row r="250" spans="1:31" x14ac:dyDescent="0.35">
      <c r="A250">
        <v>37</v>
      </c>
      <c r="B250" s="1" t="s">
        <v>39</v>
      </c>
      <c r="C250" s="1" t="s">
        <v>40</v>
      </c>
      <c r="D250">
        <v>1</v>
      </c>
      <c r="E250">
        <v>2</v>
      </c>
      <c r="F250" s="1" t="s">
        <v>49</v>
      </c>
      <c r="G250">
        <v>3</v>
      </c>
      <c r="H250" s="1" t="s">
        <v>33</v>
      </c>
      <c r="I250">
        <v>2</v>
      </c>
      <c r="J250">
        <v>1</v>
      </c>
      <c r="K250" s="1" t="s">
        <v>42</v>
      </c>
      <c r="L250">
        <v>1</v>
      </c>
      <c r="M250" s="1" t="s">
        <v>43</v>
      </c>
      <c r="N250">
        <v>3920</v>
      </c>
      <c r="O250">
        <v>2</v>
      </c>
      <c r="P250" s="1" t="s">
        <v>39</v>
      </c>
      <c r="Q250">
        <v>14</v>
      </c>
      <c r="R250">
        <v>1</v>
      </c>
      <c r="S250">
        <v>1</v>
      </c>
      <c r="T250">
        <v>17</v>
      </c>
      <c r="U250">
        <v>2</v>
      </c>
      <c r="V250">
        <v>2</v>
      </c>
      <c r="W250">
        <v>3</v>
      </c>
      <c r="X250">
        <v>1</v>
      </c>
      <c r="Y250">
        <v>0</v>
      </c>
      <c r="Z250">
        <v>2</v>
      </c>
      <c r="AA250">
        <v>0</v>
      </c>
      <c r="AB250" s="1" t="s">
        <v>36</v>
      </c>
      <c r="AC250" t="s">
        <v>46</v>
      </c>
      <c r="AD250" t="s">
        <v>53</v>
      </c>
      <c r="AE250" s="2">
        <v>1306.6666666666667</v>
      </c>
    </row>
    <row r="251" spans="1:31" x14ac:dyDescent="0.35">
      <c r="A251">
        <v>45</v>
      </c>
      <c r="B251" s="1" t="s">
        <v>39</v>
      </c>
      <c r="C251" s="1" t="s">
        <v>40</v>
      </c>
      <c r="D251">
        <v>7</v>
      </c>
      <c r="E251">
        <v>4</v>
      </c>
      <c r="F251" s="1" t="s">
        <v>32</v>
      </c>
      <c r="G251">
        <v>1</v>
      </c>
      <c r="H251" s="1" t="s">
        <v>41</v>
      </c>
      <c r="I251">
        <v>4</v>
      </c>
      <c r="J251">
        <v>2</v>
      </c>
      <c r="K251" s="1" t="s">
        <v>51</v>
      </c>
      <c r="L251">
        <v>3</v>
      </c>
      <c r="M251" s="1" t="s">
        <v>43</v>
      </c>
      <c r="N251">
        <v>6434</v>
      </c>
      <c r="O251">
        <v>4</v>
      </c>
      <c r="P251" s="1" t="s">
        <v>39</v>
      </c>
      <c r="Q251">
        <v>17</v>
      </c>
      <c r="R251">
        <v>4</v>
      </c>
      <c r="S251">
        <v>1</v>
      </c>
      <c r="T251">
        <v>9</v>
      </c>
      <c r="U251">
        <v>1</v>
      </c>
      <c r="V251">
        <v>3</v>
      </c>
      <c r="W251">
        <v>3</v>
      </c>
      <c r="X251">
        <v>2</v>
      </c>
      <c r="Y251">
        <v>0</v>
      </c>
      <c r="Z251">
        <v>2</v>
      </c>
      <c r="AA251">
        <v>0</v>
      </c>
      <c r="AB251" s="1" t="s">
        <v>36</v>
      </c>
      <c r="AC251" t="s">
        <v>37</v>
      </c>
      <c r="AD251" t="s">
        <v>53</v>
      </c>
      <c r="AE251" s="2">
        <v>2144.6666666666665</v>
      </c>
    </row>
    <row r="252" spans="1:31" x14ac:dyDescent="0.35">
      <c r="A252">
        <v>37</v>
      </c>
      <c r="B252" s="1" t="s">
        <v>30</v>
      </c>
      <c r="C252" s="1" t="s">
        <v>40</v>
      </c>
      <c r="D252">
        <v>10</v>
      </c>
      <c r="E252">
        <v>3</v>
      </c>
      <c r="F252" s="1" t="s">
        <v>49</v>
      </c>
      <c r="G252">
        <v>1</v>
      </c>
      <c r="H252" s="1" t="s">
        <v>41</v>
      </c>
      <c r="I252">
        <v>3</v>
      </c>
      <c r="J252">
        <v>3</v>
      </c>
      <c r="K252" s="1" t="s">
        <v>51</v>
      </c>
      <c r="L252">
        <v>3</v>
      </c>
      <c r="M252" s="1" t="s">
        <v>50</v>
      </c>
      <c r="N252">
        <v>10048</v>
      </c>
      <c r="O252">
        <v>6</v>
      </c>
      <c r="P252" s="1" t="s">
        <v>39</v>
      </c>
      <c r="Q252">
        <v>11</v>
      </c>
      <c r="R252">
        <v>2</v>
      </c>
      <c r="S252">
        <v>2</v>
      </c>
      <c r="T252">
        <v>17</v>
      </c>
      <c r="U252">
        <v>5</v>
      </c>
      <c r="V252">
        <v>3</v>
      </c>
      <c r="W252">
        <v>1</v>
      </c>
      <c r="X252">
        <v>0</v>
      </c>
      <c r="Y252">
        <v>0</v>
      </c>
      <c r="Z252">
        <v>0</v>
      </c>
      <c r="AA252">
        <v>1</v>
      </c>
      <c r="AB252" s="1" t="s">
        <v>36</v>
      </c>
      <c r="AC252" t="s">
        <v>56</v>
      </c>
      <c r="AD252" t="s">
        <v>47</v>
      </c>
      <c r="AE252" s="2">
        <v>10048</v>
      </c>
    </row>
    <row r="253" spans="1:31" x14ac:dyDescent="0.35">
      <c r="A253">
        <v>39</v>
      </c>
      <c r="B253" s="1" t="s">
        <v>39</v>
      </c>
      <c r="C253" s="1" t="s">
        <v>40</v>
      </c>
      <c r="D253">
        <v>2</v>
      </c>
      <c r="E253">
        <v>4</v>
      </c>
      <c r="F253" s="1" t="s">
        <v>61</v>
      </c>
      <c r="G253">
        <v>3</v>
      </c>
      <c r="H253" s="1" t="s">
        <v>33</v>
      </c>
      <c r="I253">
        <v>3</v>
      </c>
      <c r="J253">
        <v>3</v>
      </c>
      <c r="K253" s="1" t="s">
        <v>52</v>
      </c>
      <c r="L253">
        <v>3</v>
      </c>
      <c r="M253" s="1" t="s">
        <v>35</v>
      </c>
      <c r="N253">
        <v>10938</v>
      </c>
      <c r="O253">
        <v>0</v>
      </c>
      <c r="P253" s="1" t="s">
        <v>39</v>
      </c>
      <c r="Q253">
        <v>25</v>
      </c>
      <c r="R253">
        <v>4</v>
      </c>
      <c r="S253">
        <v>0</v>
      </c>
      <c r="T253">
        <v>20</v>
      </c>
      <c r="U253">
        <v>1</v>
      </c>
      <c r="V253">
        <v>3</v>
      </c>
      <c r="W253">
        <v>19</v>
      </c>
      <c r="X253">
        <v>6</v>
      </c>
      <c r="Y253">
        <v>11</v>
      </c>
      <c r="Z253">
        <v>8</v>
      </c>
      <c r="AA253">
        <v>0</v>
      </c>
      <c r="AB253" s="1" t="s">
        <v>36</v>
      </c>
      <c r="AC253" t="s">
        <v>56</v>
      </c>
      <c r="AD253" t="s">
        <v>57</v>
      </c>
      <c r="AE253" s="2">
        <v>575.68421052631584</v>
      </c>
    </row>
    <row r="254" spans="1:31" x14ac:dyDescent="0.35">
      <c r="A254">
        <v>29</v>
      </c>
      <c r="B254" s="1" t="s">
        <v>39</v>
      </c>
      <c r="C254" s="1" t="s">
        <v>40</v>
      </c>
      <c r="D254">
        <v>15</v>
      </c>
      <c r="E254">
        <v>3</v>
      </c>
      <c r="F254" s="1" t="s">
        <v>32</v>
      </c>
      <c r="G254">
        <v>3</v>
      </c>
      <c r="H254" s="1" t="s">
        <v>41</v>
      </c>
      <c r="I254">
        <v>3</v>
      </c>
      <c r="J254">
        <v>1</v>
      </c>
      <c r="K254" s="1" t="s">
        <v>42</v>
      </c>
      <c r="L254">
        <v>4</v>
      </c>
      <c r="M254" s="1" t="s">
        <v>35</v>
      </c>
      <c r="N254">
        <v>2340</v>
      </c>
      <c r="O254">
        <v>1</v>
      </c>
      <c r="P254" s="1" t="s">
        <v>39</v>
      </c>
      <c r="Q254">
        <v>19</v>
      </c>
      <c r="R254">
        <v>1</v>
      </c>
      <c r="S254">
        <v>0</v>
      </c>
      <c r="T254">
        <v>6</v>
      </c>
      <c r="U254">
        <v>1</v>
      </c>
      <c r="V254">
        <v>3</v>
      </c>
      <c r="W254">
        <v>6</v>
      </c>
      <c r="X254">
        <v>5</v>
      </c>
      <c r="Y254">
        <v>1</v>
      </c>
      <c r="Z254">
        <v>5</v>
      </c>
      <c r="AA254">
        <v>0</v>
      </c>
      <c r="AB254" s="1" t="s">
        <v>48</v>
      </c>
      <c r="AC254" t="s">
        <v>46</v>
      </c>
      <c r="AD254" t="s">
        <v>38</v>
      </c>
      <c r="AE254" s="2">
        <v>390</v>
      </c>
    </row>
    <row r="255" spans="1:31" x14ac:dyDescent="0.35">
      <c r="A255">
        <v>42</v>
      </c>
      <c r="B255" s="1" t="s">
        <v>39</v>
      </c>
      <c r="C255" s="1" t="s">
        <v>40</v>
      </c>
      <c r="D255">
        <v>17</v>
      </c>
      <c r="E255">
        <v>2</v>
      </c>
      <c r="F255" s="1" t="s">
        <v>32</v>
      </c>
      <c r="G255">
        <v>4</v>
      </c>
      <c r="H255" s="1" t="s">
        <v>33</v>
      </c>
      <c r="I255">
        <v>4</v>
      </c>
      <c r="J255">
        <v>2</v>
      </c>
      <c r="K255" s="1" t="s">
        <v>42</v>
      </c>
      <c r="L255">
        <v>1</v>
      </c>
      <c r="M255" s="1" t="s">
        <v>35</v>
      </c>
      <c r="N255">
        <v>6545</v>
      </c>
      <c r="O255">
        <v>3</v>
      </c>
      <c r="P255" s="1" t="s">
        <v>30</v>
      </c>
      <c r="Q255">
        <v>13</v>
      </c>
      <c r="R255">
        <v>3</v>
      </c>
      <c r="S255">
        <v>0</v>
      </c>
      <c r="T255">
        <v>10</v>
      </c>
      <c r="U255">
        <v>1</v>
      </c>
      <c r="V255">
        <v>3</v>
      </c>
      <c r="W255">
        <v>3</v>
      </c>
      <c r="X255">
        <v>2</v>
      </c>
      <c r="Y255">
        <v>0</v>
      </c>
      <c r="Z255">
        <v>2</v>
      </c>
      <c r="AA255">
        <v>0</v>
      </c>
      <c r="AB255" s="1" t="s">
        <v>36</v>
      </c>
      <c r="AC255" t="s">
        <v>37</v>
      </c>
      <c r="AD255" t="s">
        <v>53</v>
      </c>
      <c r="AE255" s="2">
        <v>2181.6666666666665</v>
      </c>
    </row>
    <row r="256" spans="1:31" x14ac:dyDescent="0.35">
      <c r="A256">
        <v>29</v>
      </c>
      <c r="B256" s="1" t="s">
        <v>39</v>
      </c>
      <c r="C256" s="1" t="s">
        <v>31</v>
      </c>
      <c r="D256">
        <v>20</v>
      </c>
      <c r="E256">
        <v>2</v>
      </c>
      <c r="F256" s="1" t="s">
        <v>60</v>
      </c>
      <c r="G256">
        <v>4</v>
      </c>
      <c r="H256" s="1" t="s">
        <v>41</v>
      </c>
      <c r="I256">
        <v>3</v>
      </c>
      <c r="J256">
        <v>2</v>
      </c>
      <c r="K256" s="1" t="s">
        <v>34</v>
      </c>
      <c r="L256">
        <v>4</v>
      </c>
      <c r="M256" s="1" t="s">
        <v>50</v>
      </c>
      <c r="N256">
        <v>6931</v>
      </c>
      <c r="O256">
        <v>2</v>
      </c>
      <c r="P256" s="1" t="s">
        <v>39</v>
      </c>
      <c r="Q256">
        <v>14</v>
      </c>
      <c r="R256">
        <v>4</v>
      </c>
      <c r="S256">
        <v>1</v>
      </c>
      <c r="T256">
        <v>10</v>
      </c>
      <c r="U256">
        <v>2</v>
      </c>
      <c r="V256">
        <v>3</v>
      </c>
      <c r="W256">
        <v>3</v>
      </c>
      <c r="X256">
        <v>2</v>
      </c>
      <c r="Y256">
        <v>0</v>
      </c>
      <c r="Z256">
        <v>2</v>
      </c>
      <c r="AA256">
        <v>0</v>
      </c>
      <c r="AB256" s="1" t="s">
        <v>48</v>
      </c>
      <c r="AC256" t="s">
        <v>37</v>
      </c>
      <c r="AD256" t="s">
        <v>53</v>
      </c>
      <c r="AE256" s="2">
        <v>2310.3333333333335</v>
      </c>
    </row>
    <row r="257" spans="1:31" x14ac:dyDescent="0.35">
      <c r="A257">
        <v>25</v>
      </c>
      <c r="B257" s="1" t="s">
        <v>39</v>
      </c>
      <c r="C257" s="1" t="s">
        <v>40</v>
      </c>
      <c r="D257">
        <v>1</v>
      </c>
      <c r="E257">
        <v>3</v>
      </c>
      <c r="F257" s="1" t="s">
        <v>32</v>
      </c>
      <c r="G257">
        <v>1</v>
      </c>
      <c r="H257" s="1" t="s">
        <v>33</v>
      </c>
      <c r="I257">
        <v>3</v>
      </c>
      <c r="J257">
        <v>2</v>
      </c>
      <c r="K257" s="1" t="s">
        <v>51</v>
      </c>
      <c r="L257">
        <v>3</v>
      </c>
      <c r="M257" s="1" t="s">
        <v>43</v>
      </c>
      <c r="N257">
        <v>4898</v>
      </c>
      <c r="O257">
        <v>0</v>
      </c>
      <c r="P257" s="1" t="s">
        <v>39</v>
      </c>
      <c r="Q257">
        <v>12</v>
      </c>
      <c r="R257">
        <v>4</v>
      </c>
      <c r="S257">
        <v>2</v>
      </c>
      <c r="T257">
        <v>5</v>
      </c>
      <c r="U257">
        <v>3</v>
      </c>
      <c r="V257">
        <v>3</v>
      </c>
      <c r="W257">
        <v>4</v>
      </c>
      <c r="X257">
        <v>2</v>
      </c>
      <c r="Y257">
        <v>1</v>
      </c>
      <c r="Z257">
        <v>2</v>
      </c>
      <c r="AA257">
        <v>0</v>
      </c>
      <c r="AB257" s="1" t="s">
        <v>54</v>
      </c>
      <c r="AC257" t="s">
        <v>37</v>
      </c>
      <c r="AD257" t="s">
        <v>53</v>
      </c>
      <c r="AE257" s="2">
        <v>1224.5</v>
      </c>
    </row>
    <row r="258" spans="1:31" x14ac:dyDescent="0.35">
      <c r="A258">
        <v>42</v>
      </c>
      <c r="B258" s="1" t="s">
        <v>39</v>
      </c>
      <c r="C258" s="1" t="s">
        <v>40</v>
      </c>
      <c r="D258">
        <v>2</v>
      </c>
      <c r="E258">
        <v>3</v>
      </c>
      <c r="F258" s="1" t="s">
        <v>49</v>
      </c>
      <c r="G258">
        <v>4</v>
      </c>
      <c r="H258" s="1" t="s">
        <v>33</v>
      </c>
      <c r="I258">
        <v>2</v>
      </c>
      <c r="J258">
        <v>1</v>
      </c>
      <c r="K258" s="1" t="s">
        <v>45</v>
      </c>
      <c r="L258">
        <v>1</v>
      </c>
      <c r="M258" s="1" t="s">
        <v>50</v>
      </c>
      <c r="N258">
        <v>2593</v>
      </c>
      <c r="O258">
        <v>0</v>
      </c>
      <c r="P258" s="1" t="s">
        <v>30</v>
      </c>
      <c r="Q258">
        <v>11</v>
      </c>
      <c r="R258">
        <v>3</v>
      </c>
      <c r="S258">
        <v>1</v>
      </c>
      <c r="T258">
        <v>10</v>
      </c>
      <c r="U258">
        <v>4</v>
      </c>
      <c r="V258">
        <v>3</v>
      </c>
      <c r="W258">
        <v>9</v>
      </c>
      <c r="X258">
        <v>6</v>
      </c>
      <c r="Y258">
        <v>7</v>
      </c>
      <c r="Z258">
        <v>8</v>
      </c>
      <c r="AA258">
        <v>0</v>
      </c>
      <c r="AB258" s="1" t="s">
        <v>36</v>
      </c>
      <c r="AC258" t="s">
        <v>46</v>
      </c>
      <c r="AD258" t="s">
        <v>38</v>
      </c>
      <c r="AE258" s="2">
        <v>288.11111111111109</v>
      </c>
    </row>
    <row r="259" spans="1:31" x14ac:dyDescent="0.35">
      <c r="A259">
        <v>40</v>
      </c>
      <c r="B259" s="1" t="s">
        <v>39</v>
      </c>
      <c r="C259" s="1" t="s">
        <v>40</v>
      </c>
      <c r="D259">
        <v>2</v>
      </c>
      <c r="E259">
        <v>2</v>
      </c>
      <c r="F259" s="1" t="s">
        <v>49</v>
      </c>
      <c r="G259">
        <v>1</v>
      </c>
      <c r="H259" s="1" t="s">
        <v>41</v>
      </c>
      <c r="I259">
        <v>3</v>
      </c>
      <c r="J259">
        <v>5</v>
      </c>
      <c r="K259" s="1" t="s">
        <v>59</v>
      </c>
      <c r="L259">
        <v>3</v>
      </c>
      <c r="M259" s="1" t="s">
        <v>50</v>
      </c>
      <c r="N259">
        <v>19436</v>
      </c>
      <c r="O259">
        <v>0</v>
      </c>
      <c r="P259" s="1" t="s">
        <v>39</v>
      </c>
      <c r="Q259">
        <v>19</v>
      </c>
      <c r="R259">
        <v>4</v>
      </c>
      <c r="S259">
        <v>1</v>
      </c>
      <c r="T259">
        <v>22</v>
      </c>
      <c r="U259">
        <v>5</v>
      </c>
      <c r="V259">
        <v>3</v>
      </c>
      <c r="W259">
        <v>21</v>
      </c>
      <c r="X259">
        <v>7</v>
      </c>
      <c r="Y259">
        <v>3</v>
      </c>
      <c r="Z259">
        <v>9</v>
      </c>
      <c r="AA259">
        <v>0</v>
      </c>
      <c r="AB259" s="1" t="s">
        <v>36</v>
      </c>
      <c r="AC259" t="s">
        <v>56</v>
      </c>
      <c r="AD259" t="s">
        <v>57</v>
      </c>
      <c r="AE259" s="2">
        <v>925.52380952380952</v>
      </c>
    </row>
    <row r="260" spans="1:31" x14ac:dyDescent="0.35">
      <c r="A260">
        <v>51</v>
      </c>
      <c r="B260" s="1" t="s">
        <v>39</v>
      </c>
      <c r="C260" s="1" t="s">
        <v>40</v>
      </c>
      <c r="D260">
        <v>1</v>
      </c>
      <c r="E260">
        <v>3</v>
      </c>
      <c r="F260" s="1" t="s">
        <v>32</v>
      </c>
      <c r="G260">
        <v>3</v>
      </c>
      <c r="H260" s="1" t="s">
        <v>41</v>
      </c>
      <c r="I260">
        <v>3</v>
      </c>
      <c r="J260">
        <v>1</v>
      </c>
      <c r="K260" s="1" t="s">
        <v>42</v>
      </c>
      <c r="L260">
        <v>4</v>
      </c>
      <c r="M260" s="1" t="s">
        <v>43</v>
      </c>
      <c r="N260">
        <v>2723</v>
      </c>
      <c r="O260">
        <v>1</v>
      </c>
      <c r="P260" s="1" t="s">
        <v>39</v>
      </c>
      <c r="Q260">
        <v>11</v>
      </c>
      <c r="R260">
        <v>2</v>
      </c>
      <c r="S260">
        <v>0</v>
      </c>
      <c r="T260">
        <v>1</v>
      </c>
      <c r="U260">
        <v>0</v>
      </c>
      <c r="V260">
        <v>2</v>
      </c>
      <c r="W260">
        <v>1</v>
      </c>
      <c r="X260">
        <v>0</v>
      </c>
      <c r="Y260">
        <v>0</v>
      </c>
      <c r="Z260">
        <v>0</v>
      </c>
      <c r="AA260">
        <v>0</v>
      </c>
      <c r="AB260" s="1" t="s">
        <v>82</v>
      </c>
      <c r="AC260" t="s">
        <v>46</v>
      </c>
      <c r="AD260" t="s">
        <v>47</v>
      </c>
      <c r="AE260" s="2">
        <v>2723</v>
      </c>
    </row>
    <row r="261" spans="1:31" x14ac:dyDescent="0.35">
      <c r="A261">
        <v>31</v>
      </c>
      <c r="B261" s="1" t="s">
        <v>30</v>
      </c>
      <c r="C261" s="1" t="s">
        <v>40</v>
      </c>
      <c r="D261">
        <v>29</v>
      </c>
      <c r="E261">
        <v>2</v>
      </c>
      <c r="F261" s="1" t="s">
        <v>49</v>
      </c>
      <c r="G261">
        <v>3</v>
      </c>
      <c r="H261" s="1" t="s">
        <v>41</v>
      </c>
      <c r="I261">
        <v>2</v>
      </c>
      <c r="J261">
        <v>1</v>
      </c>
      <c r="K261" s="1" t="s">
        <v>45</v>
      </c>
      <c r="L261">
        <v>2</v>
      </c>
      <c r="M261" s="1" t="s">
        <v>35</v>
      </c>
      <c r="N261">
        <v>3479</v>
      </c>
      <c r="O261">
        <v>0</v>
      </c>
      <c r="P261" s="1" t="s">
        <v>39</v>
      </c>
      <c r="Q261">
        <v>11</v>
      </c>
      <c r="R261">
        <v>2</v>
      </c>
      <c r="S261">
        <v>0</v>
      </c>
      <c r="T261">
        <v>6</v>
      </c>
      <c r="U261">
        <v>2</v>
      </c>
      <c r="V261">
        <v>4</v>
      </c>
      <c r="W261">
        <v>5</v>
      </c>
      <c r="X261">
        <v>4</v>
      </c>
      <c r="Y261">
        <v>1</v>
      </c>
      <c r="Z261">
        <v>4</v>
      </c>
      <c r="AA261">
        <v>1</v>
      </c>
      <c r="AB261" s="1" t="s">
        <v>48</v>
      </c>
      <c r="AC261" t="s">
        <v>46</v>
      </c>
      <c r="AD261" t="s">
        <v>53</v>
      </c>
      <c r="AE261" s="2">
        <v>695.8</v>
      </c>
    </row>
    <row r="262" spans="1:31" x14ac:dyDescent="0.35">
      <c r="A262">
        <v>32</v>
      </c>
      <c r="B262" s="1" t="s">
        <v>39</v>
      </c>
      <c r="C262" s="1" t="s">
        <v>40</v>
      </c>
      <c r="D262">
        <v>7</v>
      </c>
      <c r="E262">
        <v>3</v>
      </c>
      <c r="F262" s="1" t="s">
        <v>32</v>
      </c>
      <c r="G262">
        <v>2</v>
      </c>
      <c r="H262" s="1" t="s">
        <v>41</v>
      </c>
      <c r="I262">
        <v>4</v>
      </c>
      <c r="J262">
        <v>1</v>
      </c>
      <c r="K262" s="1" t="s">
        <v>45</v>
      </c>
      <c r="L262">
        <v>2</v>
      </c>
      <c r="M262" s="1" t="s">
        <v>43</v>
      </c>
      <c r="N262">
        <v>2794</v>
      </c>
      <c r="O262">
        <v>1</v>
      </c>
      <c r="P262" s="1" t="s">
        <v>39</v>
      </c>
      <c r="Q262">
        <v>20</v>
      </c>
      <c r="R262">
        <v>3</v>
      </c>
      <c r="S262">
        <v>0</v>
      </c>
      <c r="T262">
        <v>5</v>
      </c>
      <c r="U262">
        <v>3</v>
      </c>
      <c r="V262">
        <v>1</v>
      </c>
      <c r="W262">
        <v>5</v>
      </c>
      <c r="X262">
        <v>1</v>
      </c>
      <c r="Y262">
        <v>0</v>
      </c>
      <c r="Z262">
        <v>3</v>
      </c>
      <c r="AA262">
        <v>0</v>
      </c>
      <c r="AB262" s="1" t="s">
        <v>48</v>
      </c>
      <c r="AC262" t="s">
        <v>46</v>
      </c>
      <c r="AD262" t="s">
        <v>53</v>
      </c>
      <c r="AE262" s="2">
        <v>558.79999999999995</v>
      </c>
    </row>
    <row r="263" spans="1:31" x14ac:dyDescent="0.35">
      <c r="A263">
        <v>38</v>
      </c>
      <c r="B263" s="1" t="s">
        <v>39</v>
      </c>
      <c r="C263" s="1" t="s">
        <v>31</v>
      </c>
      <c r="D263">
        <v>2</v>
      </c>
      <c r="E263">
        <v>2</v>
      </c>
      <c r="F263" s="1" t="s">
        <v>32</v>
      </c>
      <c r="G263">
        <v>4</v>
      </c>
      <c r="H263" s="1" t="s">
        <v>41</v>
      </c>
      <c r="I263">
        <v>2</v>
      </c>
      <c r="J263">
        <v>2</v>
      </c>
      <c r="K263" s="1" t="s">
        <v>34</v>
      </c>
      <c r="L263">
        <v>4</v>
      </c>
      <c r="M263" s="1" t="s">
        <v>43</v>
      </c>
      <c r="N263">
        <v>5249</v>
      </c>
      <c r="O263">
        <v>3</v>
      </c>
      <c r="P263" s="1" t="s">
        <v>39</v>
      </c>
      <c r="Q263">
        <v>18</v>
      </c>
      <c r="R263">
        <v>4</v>
      </c>
      <c r="S263">
        <v>1</v>
      </c>
      <c r="T263">
        <v>13</v>
      </c>
      <c r="U263">
        <v>0</v>
      </c>
      <c r="V263">
        <v>3</v>
      </c>
      <c r="W263">
        <v>8</v>
      </c>
      <c r="X263">
        <v>7</v>
      </c>
      <c r="Y263">
        <v>7</v>
      </c>
      <c r="Z263">
        <v>5</v>
      </c>
      <c r="AA263">
        <v>0</v>
      </c>
      <c r="AB263" s="1" t="s">
        <v>36</v>
      </c>
      <c r="AC263" t="s">
        <v>37</v>
      </c>
      <c r="AD263" t="s">
        <v>38</v>
      </c>
      <c r="AE263" s="2">
        <v>656.125</v>
      </c>
    </row>
    <row r="264" spans="1:31" x14ac:dyDescent="0.35">
      <c r="A264">
        <v>32</v>
      </c>
      <c r="B264" s="1" t="s">
        <v>39</v>
      </c>
      <c r="C264" s="1" t="s">
        <v>40</v>
      </c>
      <c r="D264">
        <v>2</v>
      </c>
      <c r="E264">
        <v>1</v>
      </c>
      <c r="F264" s="1" t="s">
        <v>61</v>
      </c>
      <c r="G264">
        <v>4</v>
      </c>
      <c r="H264" s="1" t="s">
        <v>41</v>
      </c>
      <c r="I264">
        <v>2</v>
      </c>
      <c r="J264">
        <v>2</v>
      </c>
      <c r="K264" s="1" t="s">
        <v>45</v>
      </c>
      <c r="L264">
        <v>1</v>
      </c>
      <c r="M264" s="1" t="s">
        <v>35</v>
      </c>
      <c r="N264">
        <v>2176</v>
      </c>
      <c r="O264">
        <v>4</v>
      </c>
      <c r="P264" s="1" t="s">
        <v>39</v>
      </c>
      <c r="Q264">
        <v>13</v>
      </c>
      <c r="R264">
        <v>4</v>
      </c>
      <c r="S264">
        <v>0</v>
      </c>
      <c r="T264">
        <v>9</v>
      </c>
      <c r="U264">
        <v>5</v>
      </c>
      <c r="V264">
        <v>3</v>
      </c>
      <c r="W264">
        <v>6</v>
      </c>
      <c r="X264">
        <v>2</v>
      </c>
      <c r="Y264">
        <v>0</v>
      </c>
      <c r="Z264">
        <v>4</v>
      </c>
      <c r="AA264">
        <v>0</v>
      </c>
      <c r="AB264" s="1" t="s">
        <v>48</v>
      </c>
      <c r="AC264" t="s">
        <v>46</v>
      </c>
      <c r="AD264" t="s">
        <v>38</v>
      </c>
      <c r="AE264" s="2">
        <v>362.66666666666669</v>
      </c>
    </row>
    <row r="265" spans="1:31" x14ac:dyDescent="0.35">
      <c r="A265">
        <v>46</v>
      </c>
      <c r="B265" s="1" t="s">
        <v>39</v>
      </c>
      <c r="C265" s="1" t="s">
        <v>31</v>
      </c>
      <c r="D265">
        <v>2</v>
      </c>
      <c r="E265">
        <v>3</v>
      </c>
      <c r="F265" s="1" t="s">
        <v>61</v>
      </c>
      <c r="G265">
        <v>3</v>
      </c>
      <c r="H265" s="1" t="s">
        <v>33</v>
      </c>
      <c r="I265">
        <v>1</v>
      </c>
      <c r="J265">
        <v>4</v>
      </c>
      <c r="K265" s="1" t="s">
        <v>55</v>
      </c>
      <c r="L265">
        <v>2</v>
      </c>
      <c r="M265" s="1" t="s">
        <v>43</v>
      </c>
      <c r="N265">
        <v>16872</v>
      </c>
      <c r="O265">
        <v>3</v>
      </c>
      <c r="P265" s="1" t="s">
        <v>30</v>
      </c>
      <c r="Q265">
        <v>12</v>
      </c>
      <c r="R265">
        <v>2</v>
      </c>
      <c r="S265">
        <v>1</v>
      </c>
      <c r="T265">
        <v>28</v>
      </c>
      <c r="U265">
        <v>2</v>
      </c>
      <c r="V265">
        <v>2</v>
      </c>
      <c r="W265">
        <v>7</v>
      </c>
      <c r="X265">
        <v>7</v>
      </c>
      <c r="Y265">
        <v>7</v>
      </c>
      <c r="Z265">
        <v>7</v>
      </c>
      <c r="AA265">
        <v>0</v>
      </c>
      <c r="AB265" s="1" t="s">
        <v>82</v>
      </c>
      <c r="AC265" t="s">
        <v>56</v>
      </c>
      <c r="AD265" t="s">
        <v>38</v>
      </c>
      <c r="AE265" s="2">
        <v>2410.2857142857142</v>
      </c>
    </row>
    <row r="266" spans="1:31" x14ac:dyDescent="0.35">
      <c r="A266">
        <v>28</v>
      </c>
      <c r="B266" s="1" t="s">
        <v>30</v>
      </c>
      <c r="C266" s="1" t="s">
        <v>40</v>
      </c>
      <c r="D266">
        <v>2</v>
      </c>
      <c r="E266">
        <v>4</v>
      </c>
      <c r="F266" s="1" t="s">
        <v>32</v>
      </c>
      <c r="G266">
        <v>1</v>
      </c>
      <c r="H266" s="1" t="s">
        <v>41</v>
      </c>
      <c r="I266">
        <v>3</v>
      </c>
      <c r="J266">
        <v>1</v>
      </c>
      <c r="K266" s="1" t="s">
        <v>45</v>
      </c>
      <c r="L266">
        <v>3</v>
      </c>
      <c r="M266" s="1" t="s">
        <v>35</v>
      </c>
      <c r="N266">
        <v>3485</v>
      </c>
      <c r="O266">
        <v>2</v>
      </c>
      <c r="P266" s="1" t="s">
        <v>39</v>
      </c>
      <c r="Q266">
        <v>11</v>
      </c>
      <c r="R266">
        <v>3</v>
      </c>
      <c r="S266">
        <v>0</v>
      </c>
      <c r="T266">
        <v>5</v>
      </c>
      <c r="U266">
        <v>5</v>
      </c>
      <c r="V266">
        <v>1</v>
      </c>
      <c r="W266">
        <v>0</v>
      </c>
      <c r="X266">
        <v>0</v>
      </c>
      <c r="Y266">
        <v>0</v>
      </c>
      <c r="Z266">
        <v>0</v>
      </c>
      <c r="AA266">
        <v>1</v>
      </c>
      <c r="AB266" s="1" t="s">
        <v>48</v>
      </c>
      <c r="AC266" t="s">
        <v>46</v>
      </c>
      <c r="AD266" t="s">
        <v>47</v>
      </c>
      <c r="AE266" s="2">
        <v>3485</v>
      </c>
    </row>
    <row r="267" spans="1:31" x14ac:dyDescent="0.35">
      <c r="A267">
        <v>29</v>
      </c>
      <c r="B267" s="1" t="s">
        <v>39</v>
      </c>
      <c r="C267" s="1" t="s">
        <v>31</v>
      </c>
      <c r="D267">
        <v>2</v>
      </c>
      <c r="E267">
        <v>3</v>
      </c>
      <c r="F267" s="1" t="s">
        <v>49</v>
      </c>
      <c r="G267">
        <v>1</v>
      </c>
      <c r="H267" s="1" t="s">
        <v>41</v>
      </c>
      <c r="I267">
        <v>2</v>
      </c>
      <c r="J267">
        <v>2</v>
      </c>
      <c r="K267" s="1" t="s">
        <v>34</v>
      </c>
      <c r="L267">
        <v>2</v>
      </c>
      <c r="M267" s="1" t="s">
        <v>43</v>
      </c>
      <c r="N267">
        <v>6644</v>
      </c>
      <c r="O267">
        <v>2</v>
      </c>
      <c r="P267" s="1" t="s">
        <v>39</v>
      </c>
      <c r="Q267">
        <v>19</v>
      </c>
      <c r="R267">
        <v>2</v>
      </c>
      <c r="S267">
        <v>2</v>
      </c>
      <c r="T267">
        <v>10</v>
      </c>
      <c r="U267">
        <v>2</v>
      </c>
      <c r="V267">
        <v>3</v>
      </c>
      <c r="W267">
        <v>0</v>
      </c>
      <c r="X267">
        <v>0</v>
      </c>
      <c r="Y267">
        <v>0</v>
      </c>
      <c r="Z267">
        <v>0</v>
      </c>
      <c r="AA267">
        <v>0</v>
      </c>
      <c r="AB267" s="1" t="s">
        <v>48</v>
      </c>
      <c r="AC267" t="s">
        <v>37</v>
      </c>
      <c r="AD267" t="s">
        <v>47</v>
      </c>
      <c r="AE267" s="2">
        <v>6644</v>
      </c>
    </row>
    <row r="268" spans="1:31" x14ac:dyDescent="0.35">
      <c r="A268">
        <v>31</v>
      </c>
      <c r="B268" s="1" t="s">
        <v>39</v>
      </c>
      <c r="C268" s="1" t="s">
        <v>40</v>
      </c>
      <c r="D268">
        <v>23</v>
      </c>
      <c r="E268">
        <v>3</v>
      </c>
      <c r="F268" s="1" t="s">
        <v>49</v>
      </c>
      <c r="G268">
        <v>2</v>
      </c>
      <c r="H268" s="1" t="s">
        <v>41</v>
      </c>
      <c r="I268">
        <v>2</v>
      </c>
      <c r="J268">
        <v>2</v>
      </c>
      <c r="K268" s="1" t="s">
        <v>52</v>
      </c>
      <c r="L268">
        <v>4</v>
      </c>
      <c r="M268" s="1" t="s">
        <v>43</v>
      </c>
      <c r="N268">
        <v>5582</v>
      </c>
      <c r="O268">
        <v>0</v>
      </c>
      <c r="P268" s="1" t="s">
        <v>39</v>
      </c>
      <c r="Q268">
        <v>21</v>
      </c>
      <c r="R268">
        <v>2</v>
      </c>
      <c r="S268">
        <v>1</v>
      </c>
      <c r="T268">
        <v>10</v>
      </c>
      <c r="U268">
        <v>2</v>
      </c>
      <c r="V268">
        <v>3</v>
      </c>
      <c r="W268">
        <v>9</v>
      </c>
      <c r="X268">
        <v>0</v>
      </c>
      <c r="Y268">
        <v>7</v>
      </c>
      <c r="Z268">
        <v>8</v>
      </c>
      <c r="AA268">
        <v>0</v>
      </c>
      <c r="AB268" s="1" t="s">
        <v>48</v>
      </c>
      <c r="AC268" t="s">
        <v>37</v>
      </c>
      <c r="AD268" t="s">
        <v>38</v>
      </c>
      <c r="AE268" s="2">
        <v>620.22222222222217</v>
      </c>
    </row>
    <row r="269" spans="1:31" x14ac:dyDescent="0.35">
      <c r="A269">
        <v>25</v>
      </c>
      <c r="B269" s="1" t="s">
        <v>39</v>
      </c>
      <c r="C269" s="1" t="s">
        <v>40</v>
      </c>
      <c r="D269">
        <v>5</v>
      </c>
      <c r="E269">
        <v>2</v>
      </c>
      <c r="F269" s="1" t="s">
        <v>32</v>
      </c>
      <c r="G269">
        <v>2</v>
      </c>
      <c r="H269" s="1" t="s">
        <v>41</v>
      </c>
      <c r="I269">
        <v>4</v>
      </c>
      <c r="J269">
        <v>2</v>
      </c>
      <c r="K269" s="1" t="s">
        <v>52</v>
      </c>
      <c r="L269">
        <v>1</v>
      </c>
      <c r="M269" s="1" t="s">
        <v>50</v>
      </c>
      <c r="N269">
        <v>4000</v>
      </c>
      <c r="O269">
        <v>1</v>
      </c>
      <c r="P269" s="1" t="s">
        <v>39</v>
      </c>
      <c r="Q269">
        <v>12</v>
      </c>
      <c r="R269">
        <v>4</v>
      </c>
      <c r="S269">
        <v>2</v>
      </c>
      <c r="T269">
        <v>6</v>
      </c>
      <c r="U269">
        <v>2</v>
      </c>
      <c r="V269">
        <v>3</v>
      </c>
      <c r="W269">
        <v>6</v>
      </c>
      <c r="X269">
        <v>3</v>
      </c>
      <c r="Y269">
        <v>1</v>
      </c>
      <c r="Z269">
        <v>5</v>
      </c>
      <c r="AA269">
        <v>0</v>
      </c>
      <c r="AB269" s="1" t="s">
        <v>54</v>
      </c>
      <c r="AC269" t="s">
        <v>46</v>
      </c>
      <c r="AD269" t="s">
        <v>38</v>
      </c>
      <c r="AE269" s="2">
        <v>666.66666666666663</v>
      </c>
    </row>
    <row r="270" spans="1:31" x14ac:dyDescent="0.35">
      <c r="A270">
        <v>45</v>
      </c>
      <c r="B270" s="1" t="s">
        <v>39</v>
      </c>
      <c r="C270" s="1" t="s">
        <v>40</v>
      </c>
      <c r="D270">
        <v>20</v>
      </c>
      <c r="E270">
        <v>2</v>
      </c>
      <c r="F270" s="1" t="s">
        <v>49</v>
      </c>
      <c r="G270">
        <v>3</v>
      </c>
      <c r="H270" s="1" t="s">
        <v>41</v>
      </c>
      <c r="I270">
        <v>3</v>
      </c>
      <c r="J270">
        <v>4</v>
      </c>
      <c r="K270" s="1" t="s">
        <v>52</v>
      </c>
      <c r="L270">
        <v>4</v>
      </c>
      <c r="M270" s="1" t="s">
        <v>43</v>
      </c>
      <c r="N270">
        <v>13496</v>
      </c>
      <c r="O270">
        <v>0</v>
      </c>
      <c r="P270" s="1" t="s">
        <v>30</v>
      </c>
      <c r="Q270">
        <v>14</v>
      </c>
      <c r="R270">
        <v>2</v>
      </c>
      <c r="S270">
        <v>0</v>
      </c>
      <c r="T270">
        <v>21</v>
      </c>
      <c r="U270">
        <v>2</v>
      </c>
      <c r="V270">
        <v>3</v>
      </c>
      <c r="W270">
        <v>20</v>
      </c>
      <c r="X270">
        <v>7</v>
      </c>
      <c r="Y270">
        <v>4</v>
      </c>
      <c r="Z270">
        <v>10</v>
      </c>
      <c r="AA270">
        <v>0</v>
      </c>
      <c r="AB270" s="1" t="s">
        <v>36</v>
      </c>
      <c r="AC270" t="s">
        <v>56</v>
      </c>
      <c r="AD270" t="s">
        <v>57</v>
      </c>
      <c r="AE270" s="2">
        <v>674.8</v>
      </c>
    </row>
    <row r="271" spans="1:31" x14ac:dyDescent="0.35">
      <c r="A271">
        <v>36</v>
      </c>
      <c r="B271" s="1" t="s">
        <v>39</v>
      </c>
      <c r="C271" s="1" t="s">
        <v>40</v>
      </c>
      <c r="D271">
        <v>6</v>
      </c>
      <c r="E271">
        <v>3</v>
      </c>
      <c r="F271" s="1" t="s">
        <v>32</v>
      </c>
      <c r="G271">
        <v>4</v>
      </c>
      <c r="H271" s="1" t="s">
        <v>41</v>
      </c>
      <c r="I271">
        <v>3</v>
      </c>
      <c r="J271">
        <v>1</v>
      </c>
      <c r="K271" s="1" t="s">
        <v>45</v>
      </c>
      <c r="L271">
        <v>4</v>
      </c>
      <c r="M271" s="1" t="s">
        <v>43</v>
      </c>
      <c r="N271">
        <v>3210</v>
      </c>
      <c r="O271">
        <v>0</v>
      </c>
      <c r="P271" s="1" t="s">
        <v>39</v>
      </c>
      <c r="Q271">
        <v>11</v>
      </c>
      <c r="R271">
        <v>3</v>
      </c>
      <c r="S271">
        <v>1</v>
      </c>
      <c r="T271">
        <v>16</v>
      </c>
      <c r="U271">
        <v>4</v>
      </c>
      <c r="V271">
        <v>3</v>
      </c>
      <c r="W271">
        <v>15</v>
      </c>
      <c r="X271">
        <v>13</v>
      </c>
      <c r="Y271">
        <v>10</v>
      </c>
      <c r="Z271">
        <v>11</v>
      </c>
      <c r="AA271">
        <v>0</v>
      </c>
      <c r="AB271" s="1" t="s">
        <v>36</v>
      </c>
      <c r="AC271" t="s">
        <v>46</v>
      </c>
      <c r="AD271" t="s">
        <v>57</v>
      </c>
      <c r="AE271" s="2">
        <v>214</v>
      </c>
    </row>
    <row r="272" spans="1:31" x14ac:dyDescent="0.35">
      <c r="A272">
        <v>55</v>
      </c>
      <c r="B272" s="1" t="s">
        <v>39</v>
      </c>
      <c r="C272" s="1" t="s">
        <v>40</v>
      </c>
      <c r="D272">
        <v>1</v>
      </c>
      <c r="E272">
        <v>3</v>
      </c>
      <c r="F272" s="1" t="s">
        <v>49</v>
      </c>
      <c r="G272">
        <v>4</v>
      </c>
      <c r="H272" s="1" t="s">
        <v>41</v>
      </c>
      <c r="I272">
        <v>3</v>
      </c>
      <c r="J272">
        <v>5</v>
      </c>
      <c r="K272" s="1" t="s">
        <v>55</v>
      </c>
      <c r="L272">
        <v>1</v>
      </c>
      <c r="M272" s="1" t="s">
        <v>35</v>
      </c>
      <c r="N272">
        <v>19045</v>
      </c>
      <c r="O272">
        <v>0</v>
      </c>
      <c r="P272" s="1" t="s">
        <v>30</v>
      </c>
      <c r="Q272">
        <v>14</v>
      </c>
      <c r="R272">
        <v>3</v>
      </c>
      <c r="S272">
        <v>0</v>
      </c>
      <c r="T272">
        <v>37</v>
      </c>
      <c r="U272">
        <v>2</v>
      </c>
      <c r="V272">
        <v>3</v>
      </c>
      <c r="W272">
        <v>36</v>
      </c>
      <c r="X272">
        <v>10</v>
      </c>
      <c r="Y272">
        <v>4</v>
      </c>
      <c r="Z272">
        <v>13</v>
      </c>
      <c r="AA272">
        <v>0</v>
      </c>
      <c r="AB272" s="1" t="s">
        <v>82</v>
      </c>
      <c r="AC272" t="s">
        <v>56</v>
      </c>
      <c r="AD272" t="s">
        <v>57</v>
      </c>
      <c r="AE272" s="2">
        <v>529.02777777777783</v>
      </c>
    </row>
    <row r="273" spans="1:31" x14ac:dyDescent="0.35">
      <c r="A273">
        <v>47</v>
      </c>
      <c r="B273" s="1" t="s">
        <v>30</v>
      </c>
      <c r="C273" s="1" t="s">
        <v>40</v>
      </c>
      <c r="D273">
        <v>29</v>
      </c>
      <c r="E273">
        <v>4</v>
      </c>
      <c r="F273" s="1" t="s">
        <v>32</v>
      </c>
      <c r="G273">
        <v>1</v>
      </c>
      <c r="H273" s="1" t="s">
        <v>41</v>
      </c>
      <c r="I273">
        <v>3</v>
      </c>
      <c r="J273">
        <v>3</v>
      </c>
      <c r="K273" s="1" t="s">
        <v>55</v>
      </c>
      <c r="L273">
        <v>2</v>
      </c>
      <c r="M273" s="1" t="s">
        <v>43</v>
      </c>
      <c r="N273">
        <v>11849</v>
      </c>
      <c r="O273">
        <v>1</v>
      </c>
      <c r="P273" s="1" t="s">
        <v>30</v>
      </c>
      <c r="Q273">
        <v>12</v>
      </c>
      <c r="R273">
        <v>4</v>
      </c>
      <c r="S273">
        <v>1</v>
      </c>
      <c r="T273">
        <v>10</v>
      </c>
      <c r="U273">
        <v>2</v>
      </c>
      <c r="V273">
        <v>2</v>
      </c>
      <c r="W273">
        <v>10</v>
      </c>
      <c r="X273">
        <v>7</v>
      </c>
      <c r="Y273">
        <v>9</v>
      </c>
      <c r="Z273">
        <v>9</v>
      </c>
      <c r="AA273">
        <v>1</v>
      </c>
      <c r="AB273" s="1" t="s">
        <v>82</v>
      </c>
      <c r="AC273" t="s">
        <v>56</v>
      </c>
      <c r="AD273" t="s">
        <v>38</v>
      </c>
      <c r="AE273" s="2">
        <v>1184.9000000000001</v>
      </c>
    </row>
    <row r="274" spans="1:31" x14ac:dyDescent="0.35">
      <c r="A274">
        <v>28</v>
      </c>
      <c r="B274" s="1" t="s">
        <v>39</v>
      </c>
      <c r="C274" s="1" t="s">
        <v>40</v>
      </c>
      <c r="D274">
        <v>9</v>
      </c>
      <c r="E274">
        <v>3</v>
      </c>
      <c r="F274" s="1" t="s">
        <v>49</v>
      </c>
      <c r="G274">
        <v>4</v>
      </c>
      <c r="H274" s="1" t="s">
        <v>41</v>
      </c>
      <c r="I274">
        <v>3</v>
      </c>
      <c r="J274">
        <v>1</v>
      </c>
      <c r="K274" s="1" t="s">
        <v>42</v>
      </c>
      <c r="L274">
        <v>4</v>
      </c>
      <c r="M274" s="1" t="s">
        <v>43</v>
      </c>
      <c r="N274">
        <v>2070</v>
      </c>
      <c r="O274">
        <v>1</v>
      </c>
      <c r="P274" s="1" t="s">
        <v>39</v>
      </c>
      <c r="Q274">
        <v>23</v>
      </c>
      <c r="R274">
        <v>4</v>
      </c>
      <c r="S274">
        <v>1</v>
      </c>
      <c r="T274">
        <v>5</v>
      </c>
      <c r="U274">
        <v>3</v>
      </c>
      <c r="V274">
        <v>2</v>
      </c>
      <c r="W274">
        <v>5</v>
      </c>
      <c r="X274">
        <v>2</v>
      </c>
      <c r="Y274">
        <v>0</v>
      </c>
      <c r="Z274">
        <v>4</v>
      </c>
      <c r="AA274">
        <v>0</v>
      </c>
      <c r="AB274" s="1" t="s">
        <v>48</v>
      </c>
      <c r="AC274" t="s">
        <v>46</v>
      </c>
      <c r="AD274" t="s">
        <v>53</v>
      </c>
      <c r="AE274" s="2">
        <v>414</v>
      </c>
    </row>
    <row r="275" spans="1:31" x14ac:dyDescent="0.35">
      <c r="A275">
        <v>37</v>
      </c>
      <c r="B275" s="1" t="s">
        <v>39</v>
      </c>
      <c r="C275" s="1" t="s">
        <v>31</v>
      </c>
      <c r="D275">
        <v>6</v>
      </c>
      <c r="E275">
        <v>4</v>
      </c>
      <c r="F275" s="1" t="s">
        <v>49</v>
      </c>
      <c r="G275">
        <v>3</v>
      </c>
      <c r="H275" s="1" t="s">
        <v>41</v>
      </c>
      <c r="I275">
        <v>3</v>
      </c>
      <c r="J275">
        <v>2</v>
      </c>
      <c r="K275" s="1" t="s">
        <v>34</v>
      </c>
      <c r="L275">
        <v>4</v>
      </c>
      <c r="M275" s="1" t="s">
        <v>43</v>
      </c>
      <c r="N275">
        <v>6502</v>
      </c>
      <c r="O275">
        <v>4</v>
      </c>
      <c r="P275" s="1" t="s">
        <v>39</v>
      </c>
      <c r="Q275">
        <v>14</v>
      </c>
      <c r="R275">
        <v>2</v>
      </c>
      <c r="S275">
        <v>1</v>
      </c>
      <c r="T275">
        <v>7</v>
      </c>
      <c r="U275">
        <v>5</v>
      </c>
      <c r="V275">
        <v>4</v>
      </c>
      <c r="W275">
        <v>5</v>
      </c>
      <c r="X275">
        <v>4</v>
      </c>
      <c r="Y275">
        <v>0</v>
      </c>
      <c r="Z275">
        <v>1</v>
      </c>
      <c r="AA275">
        <v>0</v>
      </c>
      <c r="AB275" s="1" t="s">
        <v>36</v>
      </c>
      <c r="AC275" t="s">
        <v>37</v>
      </c>
      <c r="AD275" t="s">
        <v>53</v>
      </c>
      <c r="AE275" s="2">
        <v>1300.4000000000001</v>
      </c>
    </row>
    <row r="276" spans="1:31" x14ac:dyDescent="0.35">
      <c r="A276">
        <v>21</v>
      </c>
      <c r="B276" s="1" t="s">
        <v>39</v>
      </c>
      <c r="C276" s="1" t="s">
        <v>40</v>
      </c>
      <c r="D276">
        <v>3</v>
      </c>
      <c r="E276">
        <v>2</v>
      </c>
      <c r="F276" s="1" t="s">
        <v>49</v>
      </c>
      <c r="G276">
        <v>4</v>
      </c>
      <c r="H276" s="1" t="s">
        <v>41</v>
      </c>
      <c r="I276">
        <v>2</v>
      </c>
      <c r="J276">
        <v>1</v>
      </c>
      <c r="K276" s="1" t="s">
        <v>42</v>
      </c>
      <c r="L276">
        <v>3</v>
      </c>
      <c r="M276" s="1" t="s">
        <v>35</v>
      </c>
      <c r="N276">
        <v>3230</v>
      </c>
      <c r="O276">
        <v>1</v>
      </c>
      <c r="P276" s="1" t="s">
        <v>39</v>
      </c>
      <c r="Q276">
        <v>17</v>
      </c>
      <c r="R276">
        <v>1</v>
      </c>
      <c r="S276">
        <v>0</v>
      </c>
      <c r="T276">
        <v>3</v>
      </c>
      <c r="U276">
        <v>4</v>
      </c>
      <c r="V276">
        <v>4</v>
      </c>
      <c r="W276">
        <v>3</v>
      </c>
      <c r="X276">
        <v>2</v>
      </c>
      <c r="Y276">
        <v>1</v>
      </c>
      <c r="Z276">
        <v>0</v>
      </c>
      <c r="AA276">
        <v>0</v>
      </c>
      <c r="AB276" s="1" t="s">
        <v>54</v>
      </c>
      <c r="AC276" t="s">
        <v>46</v>
      </c>
      <c r="AD276" t="s">
        <v>53</v>
      </c>
      <c r="AE276" s="2">
        <v>1076.6666666666667</v>
      </c>
    </row>
    <row r="277" spans="1:31" x14ac:dyDescent="0.35">
      <c r="A277">
        <v>37</v>
      </c>
      <c r="B277" s="1" t="s">
        <v>39</v>
      </c>
      <c r="C277" s="1" t="s">
        <v>40</v>
      </c>
      <c r="D277">
        <v>1</v>
      </c>
      <c r="E277">
        <v>4</v>
      </c>
      <c r="F277" s="1" t="s">
        <v>49</v>
      </c>
      <c r="G277">
        <v>1</v>
      </c>
      <c r="H277" s="1" t="s">
        <v>33</v>
      </c>
      <c r="I277">
        <v>3</v>
      </c>
      <c r="J277">
        <v>3</v>
      </c>
      <c r="K277" s="1" t="s">
        <v>59</v>
      </c>
      <c r="L277">
        <v>4</v>
      </c>
      <c r="M277" s="1" t="s">
        <v>50</v>
      </c>
      <c r="N277">
        <v>13603</v>
      </c>
      <c r="O277">
        <v>2</v>
      </c>
      <c r="P277" s="1" t="s">
        <v>30</v>
      </c>
      <c r="Q277">
        <v>18</v>
      </c>
      <c r="R277">
        <v>1</v>
      </c>
      <c r="S277">
        <v>2</v>
      </c>
      <c r="T277">
        <v>15</v>
      </c>
      <c r="U277">
        <v>2</v>
      </c>
      <c r="V277">
        <v>3</v>
      </c>
      <c r="W277">
        <v>5</v>
      </c>
      <c r="X277">
        <v>2</v>
      </c>
      <c r="Y277">
        <v>0</v>
      </c>
      <c r="Z277">
        <v>2</v>
      </c>
      <c r="AA277">
        <v>0</v>
      </c>
      <c r="AB277" s="1" t="s">
        <v>36</v>
      </c>
      <c r="AC277" t="s">
        <v>56</v>
      </c>
      <c r="AD277" t="s">
        <v>53</v>
      </c>
      <c r="AE277" s="2">
        <v>2720.6</v>
      </c>
    </row>
    <row r="278" spans="1:31" x14ac:dyDescent="0.35">
      <c r="A278">
        <v>35</v>
      </c>
      <c r="B278" s="1" t="s">
        <v>39</v>
      </c>
      <c r="C278" s="1" t="s">
        <v>40</v>
      </c>
      <c r="D278">
        <v>22</v>
      </c>
      <c r="E278">
        <v>3</v>
      </c>
      <c r="F278" s="1" t="s">
        <v>32</v>
      </c>
      <c r="G278">
        <v>2</v>
      </c>
      <c r="H278" s="1" t="s">
        <v>33</v>
      </c>
      <c r="I278">
        <v>4</v>
      </c>
      <c r="J278">
        <v>3</v>
      </c>
      <c r="K278" s="1" t="s">
        <v>55</v>
      </c>
      <c r="L278">
        <v>2</v>
      </c>
      <c r="M278" s="1" t="s">
        <v>50</v>
      </c>
      <c r="N278">
        <v>11996</v>
      </c>
      <c r="O278">
        <v>7</v>
      </c>
      <c r="P278" s="1" t="s">
        <v>39</v>
      </c>
      <c r="Q278">
        <v>18</v>
      </c>
      <c r="R278">
        <v>2</v>
      </c>
      <c r="S278">
        <v>1</v>
      </c>
      <c r="T278">
        <v>10</v>
      </c>
      <c r="U278">
        <v>6</v>
      </c>
      <c r="V278">
        <v>2</v>
      </c>
      <c r="W278">
        <v>7</v>
      </c>
      <c r="X278">
        <v>7</v>
      </c>
      <c r="Y278">
        <v>6</v>
      </c>
      <c r="Z278">
        <v>2</v>
      </c>
      <c r="AA278">
        <v>0</v>
      </c>
      <c r="AB278" s="1" t="s">
        <v>48</v>
      </c>
      <c r="AC278" t="s">
        <v>56</v>
      </c>
      <c r="AD278" t="s">
        <v>38</v>
      </c>
      <c r="AE278" s="2">
        <v>1713.7142857142858</v>
      </c>
    </row>
    <row r="279" spans="1:31" x14ac:dyDescent="0.35">
      <c r="A279">
        <v>38</v>
      </c>
      <c r="B279" s="1" t="s">
        <v>39</v>
      </c>
      <c r="C279" s="1" t="s">
        <v>31</v>
      </c>
      <c r="D279">
        <v>7</v>
      </c>
      <c r="E279">
        <v>2</v>
      </c>
      <c r="F279" s="1" t="s">
        <v>49</v>
      </c>
      <c r="G279">
        <v>1</v>
      </c>
      <c r="H279" s="1" t="s">
        <v>33</v>
      </c>
      <c r="I279">
        <v>4</v>
      </c>
      <c r="J279">
        <v>2</v>
      </c>
      <c r="K279" s="1" t="s">
        <v>34</v>
      </c>
      <c r="L279">
        <v>1</v>
      </c>
      <c r="M279" s="1" t="s">
        <v>50</v>
      </c>
      <c r="N279">
        <v>5605</v>
      </c>
      <c r="O279">
        <v>1</v>
      </c>
      <c r="P279" s="1" t="s">
        <v>30</v>
      </c>
      <c r="Q279">
        <v>24</v>
      </c>
      <c r="R279">
        <v>3</v>
      </c>
      <c r="S279">
        <v>1</v>
      </c>
      <c r="T279">
        <v>8</v>
      </c>
      <c r="U279">
        <v>3</v>
      </c>
      <c r="V279">
        <v>3</v>
      </c>
      <c r="W279">
        <v>8</v>
      </c>
      <c r="X279">
        <v>0</v>
      </c>
      <c r="Y279">
        <v>7</v>
      </c>
      <c r="Z279">
        <v>7</v>
      </c>
      <c r="AA279">
        <v>0</v>
      </c>
      <c r="AB279" s="1" t="s">
        <v>36</v>
      </c>
      <c r="AC279" t="s">
        <v>37</v>
      </c>
      <c r="AD279" t="s">
        <v>38</v>
      </c>
      <c r="AE279" s="2">
        <v>700.625</v>
      </c>
    </row>
    <row r="280" spans="1:31" x14ac:dyDescent="0.35">
      <c r="A280">
        <v>26</v>
      </c>
      <c r="B280" s="1" t="s">
        <v>39</v>
      </c>
      <c r="C280" s="1" t="s">
        <v>40</v>
      </c>
      <c r="D280">
        <v>1</v>
      </c>
      <c r="E280">
        <v>3</v>
      </c>
      <c r="F280" s="1" t="s">
        <v>32</v>
      </c>
      <c r="G280">
        <v>3</v>
      </c>
      <c r="H280" s="1" t="s">
        <v>33</v>
      </c>
      <c r="I280">
        <v>3</v>
      </c>
      <c r="J280">
        <v>2</v>
      </c>
      <c r="K280" s="1" t="s">
        <v>51</v>
      </c>
      <c r="L280">
        <v>2</v>
      </c>
      <c r="M280" s="1" t="s">
        <v>50</v>
      </c>
      <c r="N280">
        <v>6397</v>
      </c>
      <c r="O280">
        <v>1</v>
      </c>
      <c r="P280" s="1" t="s">
        <v>39</v>
      </c>
      <c r="Q280">
        <v>20</v>
      </c>
      <c r="R280">
        <v>1</v>
      </c>
      <c r="S280">
        <v>1</v>
      </c>
      <c r="T280">
        <v>6</v>
      </c>
      <c r="U280">
        <v>6</v>
      </c>
      <c r="V280">
        <v>1</v>
      </c>
      <c r="W280">
        <v>6</v>
      </c>
      <c r="X280">
        <v>5</v>
      </c>
      <c r="Y280">
        <v>1</v>
      </c>
      <c r="Z280">
        <v>4</v>
      </c>
      <c r="AA280">
        <v>0</v>
      </c>
      <c r="AB280" s="1" t="s">
        <v>48</v>
      </c>
      <c r="AC280" t="s">
        <v>37</v>
      </c>
      <c r="AD280" t="s">
        <v>38</v>
      </c>
      <c r="AE280" s="2">
        <v>1066.1666666666667</v>
      </c>
    </row>
    <row r="281" spans="1:31" x14ac:dyDescent="0.35">
      <c r="A281">
        <v>50</v>
      </c>
      <c r="B281" s="1" t="s">
        <v>39</v>
      </c>
      <c r="C281" s="1" t="s">
        <v>40</v>
      </c>
      <c r="D281">
        <v>4</v>
      </c>
      <c r="E281">
        <v>1</v>
      </c>
      <c r="F281" s="1" t="s">
        <v>32</v>
      </c>
      <c r="G281">
        <v>1</v>
      </c>
      <c r="H281" s="1" t="s">
        <v>41</v>
      </c>
      <c r="I281">
        <v>3</v>
      </c>
      <c r="J281">
        <v>5</v>
      </c>
      <c r="K281" s="1" t="s">
        <v>59</v>
      </c>
      <c r="L281">
        <v>2</v>
      </c>
      <c r="M281" s="1" t="s">
        <v>50</v>
      </c>
      <c r="N281">
        <v>19144</v>
      </c>
      <c r="O281">
        <v>3</v>
      </c>
      <c r="P281" s="1" t="s">
        <v>39</v>
      </c>
      <c r="Q281">
        <v>14</v>
      </c>
      <c r="R281">
        <v>1</v>
      </c>
      <c r="S281">
        <v>2</v>
      </c>
      <c r="T281">
        <v>28</v>
      </c>
      <c r="U281">
        <v>4</v>
      </c>
      <c r="V281">
        <v>2</v>
      </c>
      <c r="W281">
        <v>10</v>
      </c>
      <c r="X281">
        <v>4</v>
      </c>
      <c r="Y281">
        <v>1</v>
      </c>
      <c r="Z281">
        <v>6</v>
      </c>
      <c r="AA281">
        <v>0</v>
      </c>
      <c r="AB281" s="1" t="s">
        <v>82</v>
      </c>
      <c r="AC281" t="s">
        <v>56</v>
      </c>
      <c r="AD281" t="s">
        <v>38</v>
      </c>
      <c r="AE281" s="2">
        <v>1914.4</v>
      </c>
    </row>
    <row r="282" spans="1:31" x14ac:dyDescent="0.35">
      <c r="A282">
        <v>53</v>
      </c>
      <c r="B282" s="1" t="s">
        <v>39</v>
      </c>
      <c r="C282" s="1" t="s">
        <v>40</v>
      </c>
      <c r="D282">
        <v>3</v>
      </c>
      <c r="E282">
        <v>4</v>
      </c>
      <c r="F282" s="1" t="s">
        <v>49</v>
      </c>
      <c r="G282">
        <v>3</v>
      </c>
      <c r="H282" s="1" t="s">
        <v>41</v>
      </c>
      <c r="I282">
        <v>3</v>
      </c>
      <c r="J282">
        <v>4</v>
      </c>
      <c r="K282" s="1" t="s">
        <v>59</v>
      </c>
      <c r="L282">
        <v>3</v>
      </c>
      <c r="M282" s="1" t="s">
        <v>43</v>
      </c>
      <c r="N282">
        <v>17584</v>
      </c>
      <c r="O282">
        <v>3</v>
      </c>
      <c r="P282" s="1" t="s">
        <v>30</v>
      </c>
      <c r="Q282">
        <v>16</v>
      </c>
      <c r="R282">
        <v>4</v>
      </c>
      <c r="S282">
        <v>3</v>
      </c>
      <c r="T282">
        <v>21</v>
      </c>
      <c r="U282">
        <v>5</v>
      </c>
      <c r="V282">
        <v>2</v>
      </c>
      <c r="W282">
        <v>5</v>
      </c>
      <c r="X282">
        <v>3</v>
      </c>
      <c r="Y282">
        <v>1</v>
      </c>
      <c r="Z282">
        <v>3</v>
      </c>
      <c r="AA282">
        <v>0</v>
      </c>
      <c r="AB282" s="1" t="s">
        <v>82</v>
      </c>
      <c r="AC282" t="s">
        <v>56</v>
      </c>
      <c r="AD282" t="s">
        <v>53</v>
      </c>
      <c r="AE282" s="2">
        <v>3516.8</v>
      </c>
    </row>
    <row r="283" spans="1:31" x14ac:dyDescent="0.35">
      <c r="A283">
        <v>42</v>
      </c>
      <c r="B283" s="1" t="s">
        <v>39</v>
      </c>
      <c r="C283" s="1" t="s">
        <v>31</v>
      </c>
      <c r="D283">
        <v>1</v>
      </c>
      <c r="E283">
        <v>1</v>
      </c>
      <c r="F283" s="1" t="s">
        <v>32</v>
      </c>
      <c r="G283">
        <v>2</v>
      </c>
      <c r="H283" s="1" t="s">
        <v>41</v>
      </c>
      <c r="I283">
        <v>3</v>
      </c>
      <c r="J283">
        <v>2</v>
      </c>
      <c r="K283" s="1" t="s">
        <v>34</v>
      </c>
      <c r="L283">
        <v>3</v>
      </c>
      <c r="M283" s="1" t="s">
        <v>43</v>
      </c>
      <c r="N283">
        <v>4907</v>
      </c>
      <c r="O283">
        <v>1</v>
      </c>
      <c r="P283" s="1" t="s">
        <v>39</v>
      </c>
      <c r="Q283">
        <v>25</v>
      </c>
      <c r="R283">
        <v>3</v>
      </c>
      <c r="S283">
        <v>0</v>
      </c>
      <c r="T283">
        <v>20</v>
      </c>
      <c r="U283">
        <v>3</v>
      </c>
      <c r="V283">
        <v>3</v>
      </c>
      <c r="W283">
        <v>20</v>
      </c>
      <c r="X283">
        <v>16</v>
      </c>
      <c r="Y283">
        <v>11</v>
      </c>
      <c r="Z283">
        <v>6</v>
      </c>
      <c r="AA283">
        <v>0</v>
      </c>
      <c r="AB283" s="1" t="s">
        <v>36</v>
      </c>
      <c r="AC283" t="s">
        <v>37</v>
      </c>
      <c r="AD283" t="s">
        <v>57</v>
      </c>
      <c r="AE283" s="2">
        <v>245.35</v>
      </c>
    </row>
    <row r="284" spans="1:31" x14ac:dyDescent="0.35">
      <c r="A284">
        <v>29</v>
      </c>
      <c r="B284" s="1" t="s">
        <v>39</v>
      </c>
      <c r="C284" s="1" t="s">
        <v>31</v>
      </c>
      <c r="D284">
        <v>2</v>
      </c>
      <c r="E284">
        <v>2</v>
      </c>
      <c r="F284" s="1" t="s">
        <v>32</v>
      </c>
      <c r="G284">
        <v>2</v>
      </c>
      <c r="H284" s="1" t="s">
        <v>41</v>
      </c>
      <c r="I284">
        <v>3</v>
      </c>
      <c r="J284">
        <v>2</v>
      </c>
      <c r="K284" s="1" t="s">
        <v>34</v>
      </c>
      <c r="L284">
        <v>4</v>
      </c>
      <c r="M284" s="1" t="s">
        <v>35</v>
      </c>
      <c r="N284">
        <v>4554</v>
      </c>
      <c r="O284">
        <v>1</v>
      </c>
      <c r="P284" s="1" t="s">
        <v>39</v>
      </c>
      <c r="Q284">
        <v>18</v>
      </c>
      <c r="R284">
        <v>1</v>
      </c>
      <c r="S284">
        <v>0</v>
      </c>
      <c r="T284">
        <v>10</v>
      </c>
      <c r="U284">
        <v>3</v>
      </c>
      <c r="V284">
        <v>2</v>
      </c>
      <c r="W284">
        <v>10</v>
      </c>
      <c r="X284">
        <v>7</v>
      </c>
      <c r="Y284">
        <v>0</v>
      </c>
      <c r="Z284">
        <v>9</v>
      </c>
      <c r="AA284">
        <v>0</v>
      </c>
      <c r="AB284" s="1" t="s">
        <v>48</v>
      </c>
      <c r="AC284" t="s">
        <v>37</v>
      </c>
      <c r="AD284" t="s">
        <v>38</v>
      </c>
      <c r="AE284" s="2">
        <v>455.4</v>
      </c>
    </row>
    <row r="285" spans="1:31" x14ac:dyDescent="0.35">
      <c r="A285">
        <v>55</v>
      </c>
      <c r="B285" s="1" t="s">
        <v>39</v>
      </c>
      <c r="C285" s="1" t="s">
        <v>40</v>
      </c>
      <c r="D285">
        <v>20</v>
      </c>
      <c r="E285">
        <v>2</v>
      </c>
      <c r="F285" s="1" t="s">
        <v>61</v>
      </c>
      <c r="G285">
        <v>2</v>
      </c>
      <c r="H285" s="1" t="s">
        <v>41</v>
      </c>
      <c r="I285">
        <v>3</v>
      </c>
      <c r="J285">
        <v>2</v>
      </c>
      <c r="K285" s="1" t="s">
        <v>45</v>
      </c>
      <c r="L285">
        <v>4</v>
      </c>
      <c r="M285" s="1" t="s">
        <v>43</v>
      </c>
      <c r="N285">
        <v>5415</v>
      </c>
      <c r="O285">
        <v>3</v>
      </c>
      <c r="P285" s="1" t="s">
        <v>30</v>
      </c>
      <c r="Q285">
        <v>19</v>
      </c>
      <c r="R285">
        <v>4</v>
      </c>
      <c r="S285">
        <v>1</v>
      </c>
      <c r="T285">
        <v>12</v>
      </c>
      <c r="U285">
        <v>4</v>
      </c>
      <c r="V285">
        <v>3</v>
      </c>
      <c r="W285">
        <v>10</v>
      </c>
      <c r="X285">
        <v>7</v>
      </c>
      <c r="Y285">
        <v>0</v>
      </c>
      <c r="Z285">
        <v>8</v>
      </c>
      <c r="AA285">
        <v>0</v>
      </c>
      <c r="AB285" s="1" t="s">
        <v>82</v>
      </c>
      <c r="AC285" t="s">
        <v>37</v>
      </c>
      <c r="AD285" t="s">
        <v>38</v>
      </c>
      <c r="AE285" s="2">
        <v>541.5</v>
      </c>
    </row>
    <row r="286" spans="1:31" x14ac:dyDescent="0.35">
      <c r="A286">
        <v>26</v>
      </c>
      <c r="B286" s="1" t="s">
        <v>39</v>
      </c>
      <c r="C286" s="1" t="s">
        <v>40</v>
      </c>
      <c r="D286">
        <v>11</v>
      </c>
      <c r="E286">
        <v>2</v>
      </c>
      <c r="F286" s="1" t="s">
        <v>49</v>
      </c>
      <c r="G286">
        <v>1</v>
      </c>
      <c r="H286" s="1" t="s">
        <v>41</v>
      </c>
      <c r="I286">
        <v>3</v>
      </c>
      <c r="J286">
        <v>2</v>
      </c>
      <c r="K286" s="1" t="s">
        <v>52</v>
      </c>
      <c r="L286">
        <v>1</v>
      </c>
      <c r="M286" s="1" t="s">
        <v>43</v>
      </c>
      <c r="N286">
        <v>4741</v>
      </c>
      <c r="O286">
        <v>1</v>
      </c>
      <c r="P286" s="1" t="s">
        <v>30</v>
      </c>
      <c r="Q286">
        <v>13</v>
      </c>
      <c r="R286">
        <v>3</v>
      </c>
      <c r="S286">
        <v>1</v>
      </c>
      <c r="T286">
        <v>5</v>
      </c>
      <c r="U286">
        <v>3</v>
      </c>
      <c r="V286">
        <v>3</v>
      </c>
      <c r="W286">
        <v>5</v>
      </c>
      <c r="X286">
        <v>3</v>
      </c>
      <c r="Y286">
        <v>3</v>
      </c>
      <c r="Z286">
        <v>3</v>
      </c>
      <c r="AA286">
        <v>0</v>
      </c>
      <c r="AB286" s="1" t="s">
        <v>48</v>
      </c>
      <c r="AC286" t="s">
        <v>37</v>
      </c>
      <c r="AD286" t="s">
        <v>53</v>
      </c>
      <c r="AE286" s="2">
        <v>948.2</v>
      </c>
    </row>
    <row r="287" spans="1:31" x14ac:dyDescent="0.35">
      <c r="A287">
        <v>37</v>
      </c>
      <c r="B287" s="1" t="s">
        <v>39</v>
      </c>
      <c r="C287" s="1" t="s">
        <v>40</v>
      </c>
      <c r="D287">
        <v>1</v>
      </c>
      <c r="E287">
        <v>3</v>
      </c>
      <c r="F287" s="1" t="s">
        <v>32</v>
      </c>
      <c r="G287">
        <v>4</v>
      </c>
      <c r="H287" s="1" t="s">
        <v>33</v>
      </c>
      <c r="I287">
        <v>3</v>
      </c>
      <c r="J287">
        <v>1</v>
      </c>
      <c r="K287" s="1" t="s">
        <v>42</v>
      </c>
      <c r="L287">
        <v>4</v>
      </c>
      <c r="M287" s="1" t="s">
        <v>35</v>
      </c>
      <c r="N287">
        <v>2115</v>
      </c>
      <c r="O287">
        <v>1</v>
      </c>
      <c r="P287" s="1" t="s">
        <v>39</v>
      </c>
      <c r="Q287">
        <v>12</v>
      </c>
      <c r="R287">
        <v>2</v>
      </c>
      <c r="S287">
        <v>0</v>
      </c>
      <c r="T287">
        <v>17</v>
      </c>
      <c r="U287">
        <v>3</v>
      </c>
      <c r="V287">
        <v>3</v>
      </c>
      <c r="W287">
        <v>17</v>
      </c>
      <c r="X287">
        <v>12</v>
      </c>
      <c r="Y287">
        <v>5</v>
      </c>
      <c r="Z287">
        <v>7</v>
      </c>
      <c r="AA287">
        <v>0</v>
      </c>
      <c r="AB287" s="1" t="s">
        <v>36</v>
      </c>
      <c r="AC287" t="s">
        <v>46</v>
      </c>
      <c r="AD287" t="s">
        <v>57</v>
      </c>
      <c r="AE287" s="2">
        <v>124.41176470588235</v>
      </c>
    </row>
    <row r="288" spans="1:31" x14ac:dyDescent="0.35">
      <c r="A288">
        <v>44</v>
      </c>
      <c r="B288" s="1" t="s">
        <v>30</v>
      </c>
      <c r="C288" s="1" t="s">
        <v>40</v>
      </c>
      <c r="D288">
        <v>24</v>
      </c>
      <c r="E288">
        <v>3</v>
      </c>
      <c r="F288" s="1" t="s">
        <v>32</v>
      </c>
      <c r="G288">
        <v>4</v>
      </c>
      <c r="H288" s="1" t="s">
        <v>41</v>
      </c>
      <c r="I288">
        <v>3</v>
      </c>
      <c r="J288">
        <v>1</v>
      </c>
      <c r="K288" s="1" t="s">
        <v>45</v>
      </c>
      <c r="L288">
        <v>3</v>
      </c>
      <c r="M288" s="1" t="s">
        <v>50</v>
      </c>
      <c r="N288">
        <v>3161</v>
      </c>
      <c r="O288">
        <v>3</v>
      </c>
      <c r="P288" s="1" t="s">
        <v>30</v>
      </c>
      <c r="Q288">
        <v>22</v>
      </c>
      <c r="R288">
        <v>4</v>
      </c>
      <c r="S288">
        <v>1</v>
      </c>
      <c r="T288">
        <v>19</v>
      </c>
      <c r="U288">
        <v>0</v>
      </c>
      <c r="V288">
        <v>1</v>
      </c>
      <c r="W288">
        <v>1</v>
      </c>
      <c r="X288">
        <v>0</v>
      </c>
      <c r="Y288">
        <v>0</v>
      </c>
      <c r="Z288">
        <v>0</v>
      </c>
      <c r="AA288">
        <v>1</v>
      </c>
      <c r="AB288" s="1" t="s">
        <v>36</v>
      </c>
      <c r="AC288" t="s">
        <v>46</v>
      </c>
      <c r="AD288" t="s">
        <v>47</v>
      </c>
      <c r="AE288" s="2">
        <v>3161</v>
      </c>
    </row>
    <row r="289" spans="1:31" x14ac:dyDescent="0.35">
      <c r="A289">
        <v>38</v>
      </c>
      <c r="B289" s="1" t="s">
        <v>39</v>
      </c>
      <c r="C289" s="1" t="s">
        <v>40</v>
      </c>
      <c r="D289">
        <v>23</v>
      </c>
      <c r="E289">
        <v>4</v>
      </c>
      <c r="F289" s="1" t="s">
        <v>32</v>
      </c>
      <c r="G289">
        <v>4</v>
      </c>
      <c r="H289" s="1" t="s">
        <v>41</v>
      </c>
      <c r="I289">
        <v>3</v>
      </c>
      <c r="J289">
        <v>2</v>
      </c>
      <c r="K289" s="1" t="s">
        <v>52</v>
      </c>
      <c r="L289">
        <v>4</v>
      </c>
      <c r="M289" s="1" t="s">
        <v>50</v>
      </c>
      <c r="N289">
        <v>5745</v>
      </c>
      <c r="O289">
        <v>9</v>
      </c>
      <c r="P289" s="1" t="s">
        <v>39</v>
      </c>
      <c r="Q289">
        <v>14</v>
      </c>
      <c r="R289">
        <v>2</v>
      </c>
      <c r="S289">
        <v>1</v>
      </c>
      <c r="T289">
        <v>10</v>
      </c>
      <c r="U289">
        <v>2</v>
      </c>
      <c r="V289">
        <v>3</v>
      </c>
      <c r="W289">
        <v>2</v>
      </c>
      <c r="X289">
        <v>2</v>
      </c>
      <c r="Y289">
        <v>1</v>
      </c>
      <c r="Z289">
        <v>2</v>
      </c>
      <c r="AA289">
        <v>0</v>
      </c>
      <c r="AB289" s="1" t="s">
        <v>36</v>
      </c>
      <c r="AC289" t="s">
        <v>37</v>
      </c>
      <c r="AD289" t="s">
        <v>47</v>
      </c>
      <c r="AE289" s="2">
        <v>2872.5</v>
      </c>
    </row>
    <row r="290" spans="1:31" x14ac:dyDescent="0.35">
      <c r="A290">
        <v>26</v>
      </c>
      <c r="B290" s="1" t="s">
        <v>30</v>
      </c>
      <c r="C290" s="1" t="s">
        <v>40</v>
      </c>
      <c r="D290">
        <v>16</v>
      </c>
      <c r="E290">
        <v>4</v>
      </c>
      <c r="F290" s="1" t="s">
        <v>49</v>
      </c>
      <c r="G290">
        <v>1</v>
      </c>
      <c r="H290" s="1" t="s">
        <v>41</v>
      </c>
      <c r="I290">
        <v>3</v>
      </c>
      <c r="J290">
        <v>1</v>
      </c>
      <c r="K290" s="1" t="s">
        <v>45</v>
      </c>
      <c r="L290">
        <v>2</v>
      </c>
      <c r="M290" s="1" t="s">
        <v>50</v>
      </c>
      <c r="N290">
        <v>2373</v>
      </c>
      <c r="O290">
        <v>2</v>
      </c>
      <c r="P290" s="1" t="s">
        <v>30</v>
      </c>
      <c r="Q290">
        <v>13</v>
      </c>
      <c r="R290">
        <v>4</v>
      </c>
      <c r="S290">
        <v>1</v>
      </c>
      <c r="T290">
        <v>5</v>
      </c>
      <c r="U290">
        <v>2</v>
      </c>
      <c r="V290">
        <v>3</v>
      </c>
      <c r="W290">
        <v>3</v>
      </c>
      <c r="X290">
        <v>2</v>
      </c>
      <c r="Y290">
        <v>0</v>
      </c>
      <c r="Z290">
        <v>2</v>
      </c>
      <c r="AA290">
        <v>1</v>
      </c>
      <c r="AB290" s="1" t="s">
        <v>48</v>
      </c>
      <c r="AC290" t="s">
        <v>46</v>
      </c>
      <c r="AD290" t="s">
        <v>53</v>
      </c>
      <c r="AE290" s="2">
        <v>791</v>
      </c>
    </row>
    <row r="291" spans="1:31" x14ac:dyDescent="0.35">
      <c r="A291">
        <v>28</v>
      </c>
      <c r="B291" s="1" t="s">
        <v>39</v>
      </c>
      <c r="C291" s="1" t="s">
        <v>40</v>
      </c>
      <c r="D291">
        <v>8</v>
      </c>
      <c r="E291">
        <v>2</v>
      </c>
      <c r="F291" s="1" t="s">
        <v>32</v>
      </c>
      <c r="G291">
        <v>4</v>
      </c>
      <c r="H291" s="1" t="s">
        <v>33</v>
      </c>
      <c r="I291">
        <v>3</v>
      </c>
      <c r="J291">
        <v>1</v>
      </c>
      <c r="K291" s="1" t="s">
        <v>42</v>
      </c>
      <c r="L291">
        <v>4</v>
      </c>
      <c r="M291" s="1" t="s">
        <v>35</v>
      </c>
      <c r="N291">
        <v>3310</v>
      </c>
      <c r="O291">
        <v>1</v>
      </c>
      <c r="P291" s="1" t="s">
        <v>39</v>
      </c>
      <c r="Q291">
        <v>21</v>
      </c>
      <c r="R291">
        <v>4</v>
      </c>
      <c r="S291">
        <v>0</v>
      </c>
      <c r="T291">
        <v>5</v>
      </c>
      <c r="U291">
        <v>3</v>
      </c>
      <c r="V291">
        <v>3</v>
      </c>
      <c r="W291">
        <v>5</v>
      </c>
      <c r="X291">
        <v>3</v>
      </c>
      <c r="Y291">
        <v>0</v>
      </c>
      <c r="Z291">
        <v>2</v>
      </c>
      <c r="AA291">
        <v>0</v>
      </c>
      <c r="AB291" s="1" t="s">
        <v>48</v>
      </c>
      <c r="AC291" t="s">
        <v>46</v>
      </c>
      <c r="AD291" t="s">
        <v>53</v>
      </c>
      <c r="AE291" s="2">
        <v>662</v>
      </c>
    </row>
    <row r="292" spans="1:31" x14ac:dyDescent="0.35">
      <c r="A292">
        <v>49</v>
      </c>
      <c r="B292" s="1" t="s">
        <v>39</v>
      </c>
      <c r="C292" s="1" t="s">
        <v>40</v>
      </c>
      <c r="D292">
        <v>10</v>
      </c>
      <c r="E292">
        <v>4</v>
      </c>
      <c r="F292" s="1" t="s">
        <v>32</v>
      </c>
      <c r="G292">
        <v>3</v>
      </c>
      <c r="H292" s="1" t="s">
        <v>33</v>
      </c>
      <c r="I292">
        <v>3</v>
      </c>
      <c r="J292">
        <v>5</v>
      </c>
      <c r="K292" s="1" t="s">
        <v>59</v>
      </c>
      <c r="L292">
        <v>1</v>
      </c>
      <c r="M292" s="1" t="s">
        <v>35</v>
      </c>
      <c r="N292">
        <v>18665</v>
      </c>
      <c r="O292">
        <v>9</v>
      </c>
      <c r="P292" s="1" t="s">
        <v>30</v>
      </c>
      <c r="Q292">
        <v>11</v>
      </c>
      <c r="R292">
        <v>4</v>
      </c>
      <c r="S292">
        <v>0</v>
      </c>
      <c r="T292">
        <v>22</v>
      </c>
      <c r="U292">
        <v>4</v>
      </c>
      <c r="V292">
        <v>3</v>
      </c>
      <c r="W292">
        <v>3</v>
      </c>
      <c r="X292">
        <v>2</v>
      </c>
      <c r="Y292">
        <v>1</v>
      </c>
      <c r="Z292">
        <v>2</v>
      </c>
      <c r="AA292">
        <v>0</v>
      </c>
      <c r="AB292" s="1" t="s">
        <v>82</v>
      </c>
      <c r="AC292" t="s">
        <v>56</v>
      </c>
      <c r="AD292" t="s">
        <v>53</v>
      </c>
      <c r="AE292" s="2">
        <v>6221.666666666667</v>
      </c>
    </row>
    <row r="293" spans="1:31" x14ac:dyDescent="0.35">
      <c r="A293">
        <v>36</v>
      </c>
      <c r="B293" s="1" t="s">
        <v>39</v>
      </c>
      <c r="C293" s="1" t="s">
        <v>40</v>
      </c>
      <c r="D293">
        <v>3</v>
      </c>
      <c r="E293">
        <v>3</v>
      </c>
      <c r="F293" s="1" t="s">
        <v>61</v>
      </c>
      <c r="G293">
        <v>3</v>
      </c>
      <c r="H293" s="1" t="s">
        <v>41</v>
      </c>
      <c r="I293">
        <v>3</v>
      </c>
      <c r="J293">
        <v>2</v>
      </c>
      <c r="K293" s="1" t="s">
        <v>42</v>
      </c>
      <c r="L293">
        <v>2</v>
      </c>
      <c r="M293" s="1" t="s">
        <v>35</v>
      </c>
      <c r="N293">
        <v>4485</v>
      </c>
      <c r="O293">
        <v>4</v>
      </c>
      <c r="P293" s="1" t="s">
        <v>39</v>
      </c>
      <c r="Q293">
        <v>12</v>
      </c>
      <c r="R293">
        <v>4</v>
      </c>
      <c r="S293">
        <v>0</v>
      </c>
      <c r="T293">
        <v>10</v>
      </c>
      <c r="U293">
        <v>2</v>
      </c>
      <c r="V293">
        <v>3</v>
      </c>
      <c r="W293">
        <v>8</v>
      </c>
      <c r="X293">
        <v>0</v>
      </c>
      <c r="Y293">
        <v>7</v>
      </c>
      <c r="Z293">
        <v>7</v>
      </c>
      <c r="AA293">
        <v>0</v>
      </c>
      <c r="AB293" s="1" t="s">
        <v>36</v>
      </c>
      <c r="AC293" t="s">
        <v>37</v>
      </c>
      <c r="AD293" t="s">
        <v>38</v>
      </c>
      <c r="AE293" s="2">
        <v>560.625</v>
      </c>
    </row>
    <row r="294" spans="1:31" x14ac:dyDescent="0.35">
      <c r="A294">
        <v>31</v>
      </c>
      <c r="B294" s="1" t="s">
        <v>39</v>
      </c>
      <c r="C294" s="1" t="s">
        <v>31</v>
      </c>
      <c r="D294">
        <v>5</v>
      </c>
      <c r="E294">
        <v>3</v>
      </c>
      <c r="F294" s="1" t="s">
        <v>60</v>
      </c>
      <c r="G294">
        <v>4</v>
      </c>
      <c r="H294" s="1" t="s">
        <v>33</v>
      </c>
      <c r="I294">
        <v>3</v>
      </c>
      <c r="J294">
        <v>1</v>
      </c>
      <c r="K294" s="1" t="s">
        <v>58</v>
      </c>
      <c r="L294">
        <v>2</v>
      </c>
      <c r="M294" s="1" t="s">
        <v>50</v>
      </c>
      <c r="N294">
        <v>2789</v>
      </c>
      <c r="O294">
        <v>1</v>
      </c>
      <c r="P294" s="1" t="s">
        <v>39</v>
      </c>
      <c r="Q294">
        <v>11</v>
      </c>
      <c r="R294">
        <v>3</v>
      </c>
      <c r="S294">
        <v>1</v>
      </c>
      <c r="T294">
        <v>2</v>
      </c>
      <c r="U294">
        <v>5</v>
      </c>
      <c r="V294">
        <v>2</v>
      </c>
      <c r="W294">
        <v>2</v>
      </c>
      <c r="X294">
        <v>2</v>
      </c>
      <c r="Y294">
        <v>2</v>
      </c>
      <c r="Z294">
        <v>2</v>
      </c>
      <c r="AA294">
        <v>0</v>
      </c>
      <c r="AB294" s="1" t="s">
        <v>48</v>
      </c>
      <c r="AC294" t="s">
        <v>46</v>
      </c>
      <c r="AD294" t="s">
        <v>47</v>
      </c>
      <c r="AE294" s="2">
        <v>1394.5</v>
      </c>
    </row>
    <row r="295" spans="1:31" x14ac:dyDescent="0.35">
      <c r="A295">
        <v>26</v>
      </c>
      <c r="B295" s="1" t="s">
        <v>30</v>
      </c>
      <c r="C295" s="1" t="s">
        <v>31</v>
      </c>
      <c r="D295">
        <v>4</v>
      </c>
      <c r="E295">
        <v>4</v>
      </c>
      <c r="F295" s="1" t="s">
        <v>60</v>
      </c>
      <c r="G295">
        <v>4</v>
      </c>
      <c r="H295" s="1" t="s">
        <v>41</v>
      </c>
      <c r="I295">
        <v>2</v>
      </c>
      <c r="J295">
        <v>2</v>
      </c>
      <c r="K295" s="1" t="s">
        <v>34</v>
      </c>
      <c r="L295">
        <v>4</v>
      </c>
      <c r="M295" s="1" t="s">
        <v>35</v>
      </c>
      <c r="N295">
        <v>5828</v>
      </c>
      <c r="O295">
        <v>1</v>
      </c>
      <c r="P295" s="1" t="s">
        <v>30</v>
      </c>
      <c r="Q295">
        <v>12</v>
      </c>
      <c r="R295">
        <v>2</v>
      </c>
      <c r="S295">
        <v>0</v>
      </c>
      <c r="T295">
        <v>8</v>
      </c>
      <c r="U295">
        <v>0</v>
      </c>
      <c r="V295">
        <v>3</v>
      </c>
      <c r="W295">
        <v>8</v>
      </c>
      <c r="X295">
        <v>7</v>
      </c>
      <c r="Y295">
        <v>7</v>
      </c>
      <c r="Z295">
        <v>4</v>
      </c>
      <c r="AA295">
        <v>1</v>
      </c>
      <c r="AB295" s="1" t="s">
        <v>48</v>
      </c>
      <c r="AC295" t="s">
        <v>37</v>
      </c>
      <c r="AD295" t="s">
        <v>38</v>
      </c>
      <c r="AE295" s="2">
        <v>728.5</v>
      </c>
    </row>
    <row r="296" spans="1:31" x14ac:dyDescent="0.35">
      <c r="A296">
        <v>37</v>
      </c>
      <c r="B296" s="1" t="s">
        <v>39</v>
      </c>
      <c r="C296" s="1" t="s">
        <v>40</v>
      </c>
      <c r="D296">
        <v>9</v>
      </c>
      <c r="E296">
        <v>3</v>
      </c>
      <c r="F296" s="1" t="s">
        <v>49</v>
      </c>
      <c r="G296">
        <v>2</v>
      </c>
      <c r="H296" s="1" t="s">
        <v>41</v>
      </c>
      <c r="I296">
        <v>3</v>
      </c>
      <c r="J296">
        <v>1</v>
      </c>
      <c r="K296" s="1" t="s">
        <v>42</v>
      </c>
      <c r="L296">
        <v>4</v>
      </c>
      <c r="M296" s="1" t="s">
        <v>43</v>
      </c>
      <c r="N296">
        <v>2326</v>
      </c>
      <c r="O296">
        <v>1</v>
      </c>
      <c r="P296" s="1" t="s">
        <v>30</v>
      </c>
      <c r="Q296">
        <v>12</v>
      </c>
      <c r="R296">
        <v>3</v>
      </c>
      <c r="S296">
        <v>3</v>
      </c>
      <c r="T296">
        <v>4</v>
      </c>
      <c r="U296">
        <v>3</v>
      </c>
      <c r="V296">
        <v>2</v>
      </c>
      <c r="W296">
        <v>4</v>
      </c>
      <c r="X296">
        <v>2</v>
      </c>
      <c r="Y296">
        <v>1</v>
      </c>
      <c r="Z296">
        <v>2</v>
      </c>
      <c r="AA296">
        <v>0</v>
      </c>
      <c r="AB296" s="1" t="s">
        <v>36</v>
      </c>
      <c r="AC296" t="s">
        <v>46</v>
      </c>
      <c r="AD296" t="s">
        <v>53</v>
      </c>
      <c r="AE296" s="2">
        <v>581.5</v>
      </c>
    </row>
    <row r="297" spans="1:31" x14ac:dyDescent="0.35">
      <c r="A297">
        <v>42</v>
      </c>
      <c r="B297" s="1" t="s">
        <v>39</v>
      </c>
      <c r="C297" s="1" t="s">
        <v>31</v>
      </c>
      <c r="D297">
        <v>26</v>
      </c>
      <c r="E297">
        <v>3</v>
      </c>
      <c r="F297" s="1" t="s">
        <v>60</v>
      </c>
      <c r="G297">
        <v>3</v>
      </c>
      <c r="H297" s="1" t="s">
        <v>33</v>
      </c>
      <c r="I297">
        <v>3</v>
      </c>
      <c r="J297">
        <v>4</v>
      </c>
      <c r="K297" s="1" t="s">
        <v>34</v>
      </c>
      <c r="L297">
        <v>2</v>
      </c>
      <c r="M297" s="1" t="s">
        <v>43</v>
      </c>
      <c r="N297">
        <v>13525</v>
      </c>
      <c r="O297">
        <v>5</v>
      </c>
      <c r="P297" s="1" t="s">
        <v>39</v>
      </c>
      <c r="Q297">
        <v>14</v>
      </c>
      <c r="R297">
        <v>4</v>
      </c>
      <c r="S297">
        <v>1</v>
      </c>
      <c r="T297">
        <v>23</v>
      </c>
      <c r="U297">
        <v>2</v>
      </c>
      <c r="V297">
        <v>4</v>
      </c>
      <c r="W297">
        <v>20</v>
      </c>
      <c r="X297">
        <v>4</v>
      </c>
      <c r="Y297">
        <v>4</v>
      </c>
      <c r="Z297">
        <v>8</v>
      </c>
      <c r="AA297">
        <v>0</v>
      </c>
      <c r="AB297" s="1" t="s">
        <v>36</v>
      </c>
      <c r="AC297" t="s">
        <v>56</v>
      </c>
      <c r="AD297" t="s">
        <v>57</v>
      </c>
      <c r="AE297" s="2">
        <v>676.25</v>
      </c>
    </row>
    <row r="298" spans="1:31" x14ac:dyDescent="0.35">
      <c r="A298">
        <v>18</v>
      </c>
      <c r="B298" s="1" t="s">
        <v>30</v>
      </c>
      <c r="C298" s="1" t="s">
        <v>40</v>
      </c>
      <c r="D298">
        <v>3</v>
      </c>
      <c r="E298">
        <v>3</v>
      </c>
      <c r="F298" s="1" t="s">
        <v>32</v>
      </c>
      <c r="G298">
        <v>3</v>
      </c>
      <c r="H298" s="1" t="s">
        <v>41</v>
      </c>
      <c r="I298">
        <v>3</v>
      </c>
      <c r="J298">
        <v>1</v>
      </c>
      <c r="K298" s="1" t="s">
        <v>45</v>
      </c>
      <c r="L298">
        <v>3</v>
      </c>
      <c r="M298" s="1" t="s">
        <v>35</v>
      </c>
      <c r="N298">
        <v>1420</v>
      </c>
      <c r="O298">
        <v>1</v>
      </c>
      <c r="P298" s="1" t="s">
        <v>39</v>
      </c>
      <c r="Q298">
        <v>13</v>
      </c>
      <c r="R298">
        <v>3</v>
      </c>
      <c r="S298">
        <v>0</v>
      </c>
      <c r="T298">
        <v>0</v>
      </c>
      <c r="U298">
        <v>2</v>
      </c>
      <c r="V298">
        <v>3</v>
      </c>
      <c r="W298">
        <v>0</v>
      </c>
      <c r="X298">
        <v>0</v>
      </c>
      <c r="Y298">
        <v>0</v>
      </c>
      <c r="Z298">
        <v>0</v>
      </c>
      <c r="AA298">
        <v>1</v>
      </c>
      <c r="AB298" s="1" t="s">
        <v>54</v>
      </c>
      <c r="AC298" t="s">
        <v>46</v>
      </c>
      <c r="AD298" t="s">
        <v>47</v>
      </c>
      <c r="AE298" s="2">
        <v>1420</v>
      </c>
    </row>
    <row r="299" spans="1:31" x14ac:dyDescent="0.35">
      <c r="A299">
        <v>35</v>
      </c>
      <c r="B299" s="1" t="s">
        <v>39</v>
      </c>
      <c r="C299" s="1" t="s">
        <v>31</v>
      </c>
      <c r="D299">
        <v>16</v>
      </c>
      <c r="E299">
        <v>3</v>
      </c>
      <c r="F299" s="1" t="s">
        <v>60</v>
      </c>
      <c r="G299">
        <v>3</v>
      </c>
      <c r="H299" s="1" t="s">
        <v>41</v>
      </c>
      <c r="I299">
        <v>3</v>
      </c>
      <c r="J299">
        <v>3</v>
      </c>
      <c r="K299" s="1" t="s">
        <v>34</v>
      </c>
      <c r="L299">
        <v>2</v>
      </c>
      <c r="M299" s="1" t="s">
        <v>43</v>
      </c>
      <c r="N299">
        <v>8020</v>
      </c>
      <c r="O299">
        <v>0</v>
      </c>
      <c r="P299" s="1" t="s">
        <v>39</v>
      </c>
      <c r="Q299">
        <v>15</v>
      </c>
      <c r="R299">
        <v>3</v>
      </c>
      <c r="S299">
        <v>2</v>
      </c>
      <c r="T299">
        <v>12</v>
      </c>
      <c r="U299">
        <v>3</v>
      </c>
      <c r="V299">
        <v>2</v>
      </c>
      <c r="W299">
        <v>11</v>
      </c>
      <c r="X299">
        <v>9</v>
      </c>
      <c r="Y299">
        <v>6</v>
      </c>
      <c r="Z299">
        <v>9</v>
      </c>
      <c r="AA299">
        <v>0</v>
      </c>
      <c r="AB299" s="1" t="s">
        <v>48</v>
      </c>
      <c r="AC299" t="s">
        <v>37</v>
      </c>
      <c r="AD299" t="s">
        <v>57</v>
      </c>
      <c r="AE299" s="2">
        <v>729.09090909090912</v>
      </c>
    </row>
    <row r="300" spans="1:31" x14ac:dyDescent="0.35">
      <c r="A300">
        <v>36</v>
      </c>
      <c r="B300" s="1" t="s">
        <v>39</v>
      </c>
      <c r="C300" s="1" t="s">
        <v>40</v>
      </c>
      <c r="D300">
        <v>18</v>
      </c>
      <c r="E300">
        <v>4</v>
      </c>
      <c r="F300" s="1" t="s">
        <v>32</v>
      </c>
      <c r="G300">
        <v>3</v>
      </c>
      <c r="H300" s="1" t="s">
        <v>41</v>
      </c>
      <c r="I300">
        <v>4</v>
      </c>
      <c r="J300">
        <v>1</v>
      </c>
      <c r="K300" s="1" t="s">
        <v>45</v>
      </c>
      <c r="L300">
        <v>4</v>
      </c>
      <c r="M300" s="1" t="s">
        <v>43</v>
      </c>
      <c r="N300">
        <v>3688</v>
      </c>
      <c r="O300">
        <v>4</v>
      </c>
      <c r="P300" s="1" t="s">
        <v>39</v>
      </c>
      <c r="Q300">
        <v>18</v>
      </c>
      <c r="R300">
        <v>4</v>
      </c>
      <c r="S300">
        <v>2</v>
      </c>
      <c r="T300">
        <v>4</v>
      </c>
      <c r="U300">
        <v>2</v>
      </c>
      <c r="V300">
        <v>3</v>
      </c>
      <c r="W300">
        <v>1</v>
      </c>
      <c r="X300">
        <v>0</v>
      </c>
      <c r="Y300">
        <v>0</v>
      </c>
      <c r="Z300">
        <v>0</v>
      </c>
      <c r="AA300">
        <v>0</v>
      </c>
      <c r="AB300" s="1" t="s">
        <v>36</v>
      </c>
      <c r="AC300" t="s">
        <v>46</v>
      </c>
      <c r="AD300" t="s">
        <v>47</v>
      </c>
      <c r="AE300" s="2">
        <v>3688</v>
      </c>
    </row>
    <row r="301" spans="1:31" x14ac:dyDescent="0.35">
      <c r="A301">
        <v>51</v>
      </c>
      <c r="B301" s="1" t="s">
        <v>39</v>
      </c>
      <c r="C301" s="1" t="s">
        <v>40</v>
      </c>
      <c r="D301">
        <v>2</v>
      </c>
      <c r="E301">
        <v>3</v>
      </c>
      <c r="F301" s="1" t="s">
        <v>49</v>
      </c>
      <c r="G301">
        <v>4</v>
      </c>
      <c r="H301" s="1" t="s">
        <v>41</v>
      </c>
      <c r="I301">
        <v>1</v>
      </c>
      <c r="J301">
        <v>2</v>
      </c>
      <c r="K301" s="1" t="s">
        <v>51</v>
      </c>
      <c r="L301">
        <v>2</v>
      </c>
      <c r="M301" s="1" t="s">
        <v>50</v>
      </c>
      <c r="N301">
        <v>5482</v>
      </c>
      <c r="O301">
        <v>5</v>
      </c>
      <c r="P301" s="1" t="s">
        <v>39</v>
      </c>
      <c r="Q301">
        <v>18</v>
      </c>
      <c r="R301">
        <v>4</v>
      </c>
      <c r="S301">
        <v>1</v>
      </c>
      <c r="T301">
        <v>13</v>
      </c>
      <c r="U301">
        <v>3</v>
      </c>
      <c r="V301">
        <v>3</v>
      </c>
      <c r="W301">
        <v>4</v>
      </c>
      <c r="X301">
        <v>1</v>
      </c>
      <c r="Y301">
        <v>1</v>
      </c>
      <c r="Z301">
        <v>2</v>
      </c>
      <c r="AA301">
        <v>0</v>
      </c>
      <c r="AB301" s="1" t="s">
        <v>82</v>
      </c>
      <c r="AC301" t="s">
        <v>37</v>
      </c>
      <c r="AD301" t="s">
        <v>53</v>
      </c>
      <c r="AE301" s="2">
        <v>1370.5</v>
      </c>
    </row>
    <row r="302" spans="1:31" x14ac:dyDescent="0.35">
      <c r="A302">
        <v>41</v>
      </c>
      <c r="B302" s="1" t="s">
        <v>39</v>
      </c>
      <c r="C302" s="1" t="s">
        <v>31</v>
      </c>
      <c r="D302">
        <v>2</v>
      </c>
      <c r="E302">
        <v>4</v>
      </c>
      <c r="F302" s="1" t="s">
        <v>32</v>
      </c>
      <c r="G302">
        <v>4</v>
      </c>
      <c r="H302" s="1" t="s">
        <v>41</v>
      </c>
      <c r="I302">
        <v>3</v>
      </c>
      <c r="J302">
        <v>4</v>
      </c>
      <c r="K302" s="1" t="s">
        <v>55</v>
      </c>
      <c r="L302">
        <v>2</v>
      </c>
      <c r="M302" s="1" t="s">
        <v>35</v>
      </c>
      <c r="N302">
        <v>16015</v>
      </c>
      <c r="O302">
        <v>1</v>
      </c>
      <c r="P302" s="1" t="s">
        <v>39</v>
      </c>
      <c r="Q302">
        <v>19</v>
      </c>
      <c r="R302">
        <v>2</v>
      </c>
      <c r="S302">
        <v>0</v>
      </c>
      <c r="T302">
        <v>22</v>
      </c>
      <c r="U302">
        <v>2</v>
      </c>
      <c r="V302">
        <v>3</v>
      </c>
      <c r="W302">
        <v>22</v>
      </c>
      <c r="X302">
        <v>10</v>
      </c>
      <c r="Y302">
        <v>0</v>
      </c>
      <c r="Z302">
        <v>4</v>
      </c>
      <c r="AA302">
        <v>0</v>
      </c>
      <c r="AB302" s="1" t="s">
        <v>36</v>
      </c>
      <c r="AC302" t="s">
        <v>56</v>
      </c>
      <c r="AD302" t="s">
        <v>57</v>
      </c>
      <c r="AE302" s="2">
        <v>727.9545454545455</v>
      </c>
    </row>
    <row r="303" spans="1:31" x14ac:dyDescent="0.35">
      <c r="A303">
        <v>18</v>
      </c>
      <c r="B303" s="1" t="s">
        <v>39</v>
      </c>
      <c r="C303" s="1" t="s">
        <v>31</v>
      </c>
      <c r="D303">
        <v>10</v>
      </c>
      <c r="E303">
        <v>3</v>
      </c>
      <c r="F303" s="1" t="s">
        <v>49</v>
      </c>
      <c r="G303">
        <v>4</v>
      </c>
      <c r="H303" s="1" t="s">
        <v>33</v>
      </c>
      <c r="I303">
        <v>2</v>
      </c>
      <c r="J303">
        <v>1</v>
      </c>
      <c r="K303" s="1" t="s">
        <v>58</v>
      </c>
      <c r="L303">
        <v>3</v>
      </c>
      <c r="M303" s="1" t="s">
        <v>35</v>
      </c>
      <c r="N303">
        <v>1200</v>
      </c>
      <c r="O303">
        <v>1</v>
      </c>
      <c r="P303" s="1" t="s">
        <v>39</v>
      </c>
      <c r="Q303">
        <v>12</v>
      </c>
      <c r="R303">
        <v>1</v>
      </c>
      <c r="S303">
        <v>0</v>
      </c>
      <c r="T303">
        <v>0</v>
      </c>
      <c r="U303">
        <v>2</v>
      </c>
      <c r="V303">
        <v>3</v>
      </c>
      <c r="W303">
        <v>0</v>
      </c>
      <c r="X303">
        <v>0</v>
      </c>
      <c r="Y303">
        <v>0</v>
      </c>
      <c r="Z303">
        <v>0</v>
      </c>
      <c r="AA303">
        <v>0</v>
      </c>
      <c r="AB303" s="1" t="s">
        <v>54</v>
      </c>
      <c r="AC303" t="s">
        <v>46</v>
      </c>
      <c r="AD303" t="s">
        <v>47</v>
      </c>
      <c r="AE303" s="2">
        <v>1200</v>
      </c>
    </row>
    <row r="304" spans="1:31" x14ac:dyDescent="0.35">
      <c r="A304">
        <v>28</v>
      </c>
      <c r="B304" s="1" t="s">
        <v>39</v>
      </c>
      <c r="C304" s="1" t="s">
        <v>40</v>
      </c>
      <c r="D304">
        <v>16</v>
      </c>
      <c r="E304">
        <v>2</v>
      </c>
      <c r="F304" s="1" t="s">
        <v>49</v>
      </c>
      <c r="G304">
        <v>2</v>
      </c>
      <c r="H304" s="1" t="s">
        <v>41</v>
      </c>
      <c r="I304">
        <v>4</v>
      </c>
      <c r="J304">
        <v>2</v>
      </c>
      <c r="K304" s="1" t="s">
        <v>52</v>
      </c>
      <c r="L304">
        <v>1</v>
      </c>
      <c r="M304" s="1" t="s">
        <v>35</v>
      </c>
      <c r="N304">
        <v>5661</v>
      </c>
      <c r="O304">
        <v>0</v>
      </c>
      <c r="P304" s="1" t="s">
        <v>39</v>
      </c>
      <c r="Q304">
        <v>19</v>
      </c>
      <c r="R304">
        <v>3</v>
      </c>
      <c r="S304">
        <v>0</v>
      </c>
      <c r="T304">
        <v>9</v>
      </c>
      <c r="U304">
        <v>2</v>
      </c>
      <c r="V304">
        <v>3</v>
      </c>
      <c r="W304">
        <v>8</v>
      </c>
      <c r="X304">
        <v>3</v>
      </c>
      <c r="Y304">
        <v>0</v>
      </c>
      <c r="Z304">
        <v>7</v>
      </c>
      <c r="AA304">
        <v>0</v>
      </c>
      <c r="AB304" s="1" t="s">
        <v>48</v>
      </c>
      <c r="AC304" t="s">
        <v>37</v>
      </c>
      <c r="AD304" t="s">
        <v>38</v>
      </c>
      <c r="AE304" s="2">
        <v>707.625</v>
      </c>
    </row>
    <row r="305" spans="1:31" x14ac:dyDescent="0.35">
      <c r="A305">
        <v>31</v>
      </c>
      <c r="B305" s="1" t="s">
        <v>39</v>
      </c>
      <c r="C305" s="1" t="s">
        <v>31</v>
      </c>
      <c r="D305">
        <v>7</v>
      </c>
      <c r="E305">
        <v>3</v>
      </c>
      <c r="F305" s="1" t="s">
        <v>61</v>
      </c>
      <c r="G305">
        <v>2</v>
      </c>
      <c r="H305" s="1" t="s">
        <v>41</v>
      </c>
      <c r="I305">
        <v>4</v>
      </c>
      <c r="J305">
        <v>2</v>
      </c>
      <c r="K305" s="1" t="s">
        <v>34</v>
      </c>
      <c r="L305">
        <v>4</v>
      </c>
      <c r="M305" s="1" t="s">
        <v>43</v>
      </c>
      <c r="N305">
        <v>6929</v>
      </c>
      <c r="O305">
        <v>4</v>
      </c>
      <c r="P305" s="1" t="s">
        <v>39</v>
      </c>
      <c r="Q305">
        <v>11</v>
      </c>
      <c r="R305">
        <v>2</v>
      </c>
      <c r="S305">
        <v>1</v>
      </c>
      <c r="T305">
        <v>10</v>
      </c>
      <c r="U305">
        <v>3</v>
      </c>
      <c r="V305">
        <v>2</v>
      </c>
      <c r="W305">
        <v>8</v>
      </c>
      <c r="X305">
        <v>7</v>
      </c>
      <c r="Y305">
        <v>7</v>
      </c>
      <c r="Z305">
        <v>7</v>
      </c>
      <c r="AA305">
        <v>0</v>
      </c>
      <c r="AB305" s="1" t="s">
        <v>48</v>
      </c>
      <c r="AC305" t="s">
        <v>37</v>
      </c>
      <c r="AD305" t="s">
        <v>38</v>
      </c>
      <c r="AE305" s="2">
        <v>866.125</v>
      </c>
    </row>
    <row r="306" spans="1:31" x14ac:dyDescent="0.35">
      <c r="A306">
        <v>39</v>
      </c>
      <c r="B306" s="1" t="s">
        <v>39</v>
      </c>
      <c r="C306" s="1" t="s">
        <v>40</v>
      </c>
      <c r="D306">
        <v>1</v>
      </c>
      <c r="E306">
        <v>3</v>
      </c>
      <c r="F306" s="1" t="s">
        <v>49</v>
      </c>
      <c r="G306">
        <v>3</v>
      </c>
      <c r="H306" s="1" t="s">
        <v>41</v>
      </c>
      <c r="I306">
        <v>4</v>
      </c>
      <c r="J306">
        <v>3</v>
      </c>
      <c r="K306" s="1" t="s">
        <v>52</v>
      </c>
      <c r="L306">
        <v>4</v>
      </c>
      <c r="M306" s="1" t="s">
        <v>50</v>
      </c>
      <c r="N306">
        <v>9613</v>
      </c>
      <c r="O306">
        <v>0</v>
      </c>
      <c r="P306" s="1" t="s">
        <v>39</v>
      </c>
      <c r="Q306">
        <v>17</v>
      </c>
      <c r="R306">
        <v>1</v>
      </c>
      <c r="S306">
        <v>3</v>
      </c>
      <c r="T306">
        <v>19</v>
      </c>
      <c r="U306">
        <v>5</v>
      </c>
      <c r="V306">
        <v>2</v>
      </c>
      <c r="W306">
        <v>18</v>
      </c>
      <c r="X306">
        <v>10</v>
      </c>
      <c r="Y306">
        <v>3</v>
      </c>
      <c r="Z306">
        <v>7</v>
      </c>
      <c r="AA306">
        <v>0</v>
      </c>
      <c r="AB306" s="1" t="s">
        <v>36</v>
      </c>
      <c r="AC306" t="s">
        <v>37</v>
      </c>
      <c r="AD306" t="s">
        <v>57</v>
      </c>
      <c r="AE306" s="2">
        <v>534.05555555555554</v>
      </c>
    </row>
    <row r="307" spans="1:31" x14ac:dyDescent="0.35">
      <c r="A307">
        <v>36</v>
      </c>
      <c r="B307" s="1" t="s">
        <v>39</v>
      </c>
      <c r="C307" s="1" t="s">
        <v>40</v>
      </c>
      <c r="D307">
        <v>24</v>
      </c>
      <c r="E307">
        <v>4</v>
      </c>
      <c r="F307" s="1" t="s">
        <v>32</v>
      </c>
      <c r="G307">
        <v>2</v>
      </c>
      <c r="H307" s="1" t="s">
        <v>33</v>
      </c>
      <c r="I307">
        <v>3</v>
      </c>
      <c r="J307">
        <v>2</v>
      </c>
      <c r="K307" s="1" t="s">
        <v>45</v>
      </c>
      <c r="L307">
        <v>2</v>
      </c>
      <c r="M307" s="1" t="s">
        <v>43</v>
      </c>
      <c r="N307">
        <v>5674</v>
      </c>
      <c r="O307">
        <v>7</v>
      </c>
      <c r="P307" s="1" t="s">
        <v>39</v>
      </c>
      <c r="Q307">
        <v>15</v>
      </c>
      <c r="R307">
        <v>3</v>
      </c>
      <c r="S307">
        <v>1</v>
      </c>
      <c r="T307">
        <v>11</v>
      </c>
      <c r="U307">
        <v>3</v>
      </c>
      <c r="V307">
        <v>3</v>
      </c>
      <c r="W307">
        <v>9</v>
      </c>
      <c r="X307">
        <v>8</v>
      </c>
      <c r="Y307">
        <v>0</v>
      </c>
      <c r="Z307">
        <v>8</v>
      </c>
      <c r="AA307">
        <v>0</v>
      </c>
      <c r="AB307" s="1" t="s">
        <v>36</v>
      </c>
      <c r="AC307" t="s">
        <v>37</v>
      </c>
      <c r="AD307" t="s">
        <v>38</v>
      </c>
      <c r="AE307" s="2">
        <v>630.44444444444446</v>
      </c>
    </row>
    <row r="308" spans="1:31" x14ac:dyDescent="0.35">
      <c r="A308">
        <v>32</v>
      </c>
      <c r="B308" s="1" t="s">
        <v>39</v>
      </c>
      <c r="C308" s="1" t="s">
        <v>31</v>
      </c>
      <c r="D308">
        <v>7</v>
      </c>
      <c r="E308">
        <v>3</v>
      </c>
      <c r="F308" s="1" t="s">
        <v>32</v>
      </c>
      <c r="G308">
        <v>4</v>
      </c>
      <c r="H308" s="1" t="s">
        <v>41</v>
      </c>
      <c r="I308">
        <v>2</v>
      </c>
      <c r="J308">
        <v>2</v>
      </c>
      <c r="K308" s="1" t="s">
        <v>34</v>
      </c>
      <c r="L308">
        <v>3</v>
      </c>
      <c r="M308" s="1" t="s">
        <v>43</v>
      </c>
      <c r="N308">
        <v>5484</v>
      </c>
      <c r="O308">
        <v>1</v>
      </c>
      <c r="P308" s="1" t="s">
        <v>39</v>
      </c>
      <c r="Q308">
        <v>14</v>
      </c>
      <c r="R308">
        <v>3</v>
      </c>
      <c r="S308">
        <v>1</v>
      </c>
      <c r="T308">
        <v>13</v>
      </c>
      <c r="U308">
        <v>3</v>
      </c>
      <c r="V308">
        <v>2</v>
      </c>
      <c r="W308">
        <v>13</v>
      </c>
      <c r="X308">
        <v>8</v>
      </c>
      <c r="Y308">
        <v>4</v>
      </c>
      <c r="Z308">
        <v>8</v>
      </c>
      <c r="AA308">
        <v>0</v>
      </c>
      <c r="AB308" s="1" t="s">
        <v>48</v>
      </c>
      <c r="AC308" t="s">
        <v>37</v>
      </c>
      <c r="AD308" t="s">
        <v>57</v>
      </c>
      <c r="AE308" s="2">
        <v>421.84615384615387</v>
      </c>
    </row>
    <row r="309" spans="1:31" x14ac:dyDescent="0.35">
      <c r="A309">
        <v>38</v>
      </c>
      <c r="B309" s="1" t="s">
        <v>39</v>
      </c>
      <c r="C309" s="1" t="s">
        <v>40</v>
      </c>
      <c r="D309">
        <v>25</v>
      </c>
      <c r="E309">
        <v>2</v>
      </c>
      <c r="F309" s="1" t="s">
        <v>32</v>
      </c>
      <c r="G309">
        <v>1</v>
      </c>
      <c r="H309" s="1" t="s">
        <v>33</v>
      </c>
      <c r="I309">
        <v>2</v>
      </c>
      <c r="J309">
        <v>3</v>
      </c>
      <c r="K309" s="1" t="s">
        <v>59</v>
      </c>
      <c r="L309">
        <v>2</v>
      </c>
      <c r="M309" s="1" t="s">
        <v>43</v>
      </c>
      <c r="N309">
        <v>12061</v>
      </c>
      <c r="O309">
        <v>3</v>
      </c>
      <c r="P309" s="1" t="s">
        <v>39</v>
      </c>
      <c r="Q309">
        <v>17</v>
      </c>
      <c r="R309">
        <v>3</v>
      </c>
      <c r="S309">
        <v>1</v>
      </c>
      <c r="T309">
        <v>19</v>
      </c>
      <c r="U309">
        <v>2</v>
      </c>
      <c r="V309">
        <v>3</v>
      </c>
      <c r="W309">
        <v>10</v>
      </c>
      <c r="X309">
        <v>8</v>
      </c>
      <c r="Y309">
        <v>0</v>
      </c>
      <c r="Z309">
        <v>1</v>
      </c>
      <c r="AA309">
        <v>0</v>
      </c>
      <c r="AB309" s="1" t="s">
        <v>36</v>
      </c>
      <c r="AC309" t="s">
        <v>56</v>
      </c>
      <c r="AD309" t="s">
        <v>38</v>
      </c>
      <c r="AE309" s="2">
        <v>1206.0999999999999</v>
      </c>
    </row>
    <row r="310" spans="1:31" x14ac:dyDescent="0.35">
      <c r="A310">
        <v>58</v>
      </c>
      <c r="B310" s="1" t="s">
        <v>39</v>
      </c>
      <c r="C310" s="1" t="s">
        <v>40</v>
      </c>
      <c r="D310">
        <v>1</v>
      </c>
      <c r="E310">
        <v>4</v>
      </c>
      <c r="F310" s="1" t="s">
        <v>32</v>
      </c>
      <c r="G310">
        <v>4</v>
      </c>
      <c r="H310" s="1" t="s">
        <v>41</v>
      </c>
      <c r="I310">
        <v>1</v>
      </c>
      <c r="J310">
        <v>2</v>
      </c>
      <c r="K310" s="1" t="s">
        <v>52</v>
      </c>
      <c r="L310">
        <v>3</v>
      </c>
      <c r="M310" s="1" t="s">
        <v>50</v>
      </c>
      <c r="N310">
        <v>5660</v>
      </c>
      <c r="O310">
        <v>2</v>
      </c>
      <c r="P310" s="1" t="s">
        <v>30</v>
      </c>
      <c r="Q310">
        <v>13</v>
      </c>
      <c r="R310">
        <v>4</v>
      </c>
      <c r="S310">
        <v>1</v>
      </c>
      <c r="T310">
        <v>12</v>
      </c>
      <c r="U310">
        <v>2</v>
      </c>
      <c r="V310">
        <v>3</v>
      </c>
      <c r="W310">
        <v>5</v>
      </c>
      <c r="X310">
        <v>3</v>
      </c>
      <c r="Y310">
        <v>1</v>
      </c>
      <c r="Z310">
        <v>2</v>
      </c>
      <c r="AA310">
        <v>0</v>
      </c>
      <c r="AB310" s="1" t="s">
        <v>82</v>
      </c>
      <c r="AC310" t="s">
        <v>37</v>
      </c>
      <c r="AD310" t="s">
        <v>53</v>
      </c>
      <c r="AE310" s="2">
        <v>1132</v>
      </c>
    </row>
    <row r="311" spans="1:31" x14ac:dyDescent="0.35">
      <c r="A311">
        <v>31</v>
      </c>
      <c r="B311" s="1" t="s">
        <v>39</v>
      </c>
      <c r="C311" s="1" t="s">
        <v>40</v>
      </c>
      <c r="D311">
        <v>5</v>
      </c>
      <c r="E311">
        <v>4</v>
      </c>
      <c r="F311" s="1" t="s">
        <v>61</v>
      </c>
      <c r="G311">
        <v>3</v>
      </c>
      <c r="H311" s="1" t="s">
        <v>41</v>
      </c>
      <c r="I311">
        <v>3</v>
      </c>
      <c r="J311">
        <v>1</v>
      </c>
      <c r="K311" s="1" t="s">
        <v>42</v>
      </c>
      <c r="L311">
        <v>4</v>
      </c>
      <c r="M311" s="1" t="s">
        <v>43</v>
      </c>
      <c r="N311">
        <v>4821</v>
      </c>
      <c r="O311">
        <v>0</v>
      </c>
      <c r="P311" s="1" t="s">
        <v>30</v>
      </c>
      <c r="Q311">
        <v>12</v>
      </c>
      <c r="R311">
        <v>3</v>
      </c>
      <c r="S311">
        <v>1</v>
      </c>
      <c r="T311">
        <v>6</v>
      </c>
      <c r="U311">
        <v>4</v>
      </c>
      <c r="V311">
        <v>3</v>
      </c>
      <c r="W311">
        <v>5</v>
      </c>
      <c r="X311">
        <v>2</v>
      </c>
      <c r="Y311">
        <v>0</v>
      </c>
      <c r="Z311">
        <v>3</v>
      </c>
      <c r="AA311">
        <v>0</v>
      </c>
      <c r="AB311" s="1" t="s">
        <v>48</v>
      </c>
      <c r="AC311" t="s">
        <v>37</v>
      </c>
      <c r="AD311" t="s">
        <v>53</v>
      </c>
      <c r="AE311" s="2">
        <v>964.2</v>
      </c>
    </row>
    <row r="312" spans="1:31" x14ac:dyDescent="0.35">
      <c r="A312">
        <v>31</v>
      </c>
      <c r="B312" s="1" t="s">
        <v>39</v>
      </c>
      <c r="C312" s="1" t="s">
        <v>62</v>
      </c>
      <c r="D312">
        <v>2</v>
      </c>
      <c r="E312">
        <v>3</v>
      </c>
      <c r="F312" s="1" t="s">
        <v>62</v>
      </c>
      <c r="G312">
        <v>1</v>
      </c>
      <c r="H312" s="1" t="s">
        <v>41</v>
      </c>
      <c r="I312">
        <v>2</v>
      </c>
      <c r="J312">
        <v>2</v>
      </c>
      <c r="K312" s="1" t="s">
        <v>62</v>
      </c>
      <c r="L312">
        <v>1</v>
      </c>
      <c r="M312" s="1" t="s">
        <v>43</v>
      </c>
      <c r="N312">
        <v>6410</v>
      </c>
      <c r="O312">
        <v>3</v>
      </c>
      <c r="P312" s="1" t="s">
        <v>39</v>
      </c>
      <c r="Q312">
        <v>12</v>
      </c>
      <c r="R312">
        <v>4</v>
      </c>
      <c r="S312">
        <v>0</v>
      </c>
      <c r="T312">
        <v>9</v>
      </c>
      <c r="U312">
        <v>1</v>
      </c>
      <c r="V312">
        <v>3</v>
      </c>
      <c r="W312">
        <v>2</v>
      </c>
      <c r="X312">
        <v>2</v>
      </c>
      <c r="Y312">
        <v>1</v>
      </c>
      <c r="Z312">
        <v>0</v>
      </c>
      <c r="AA312">
        <v>0</v>
      </c>
      <c r="AB312" s="1" t="s">
        <v>48</v>
      </c>
      <c r="AC312" t="s">
        <v>37</v>
      </c>
      <c r="AD312" t="s">
        <v>47</v>
      </c>
      <c r="AE312" s="2">
        <v>3205</v>
      </c>
    </row>
    <row r="313" spans="1:31" x14ac:dyDescent="0.35">
      <c r="A313">
        <v>45</v>
      </c>
      <c r="B313" s="1" t="s">
        <v>39</v>
      </c>
      <c r="C313" s="1" t="s">
        <v>40</v>
      </c>
      <c r="D313">
        <v>7</v>
      </c>
      <c r="E313">
        <v>3</v>
      </c>
      <c r="F313" s="1" t="s">
        <v>32</v>
      </c>
      <c r="G313">
        <v>1</v>
      </c>
      <c r="H313" s="1" t="s">
        <v>41</v>
      </c>
      <c r="I313">
        <v>3</v>
      </c>
      <c r="J313">
        <v>3</v>
      </c>
      <c r="K313" s="1" t="s">
        <v>45</v>
      </c>
      <c r="L313">
        <v>1</v>
      </c>
      <c r="M313" s="1" t="s">
        <v>50</v>
      </c>
      <c r="N313">
        <v>5210</v>
      </c>
      <c r="O313">
        <v>1</v>
      </c>
      <c r="P313" s="1" t="s">
        <v>39</v>
      </c>
      <c r="Q313">
        <v>18</v>
      </c>
      <c r="R313">
        <v>1</v>
      </c>
      <c r="S313">
        <v>1</v>
      </c>
      <c r="T313">
        <v>24</v>
      </c>
      <c r="U313">
        <v>2</v>
      </c>
      <c r="V313">
        <v>3</v>
      </c>
      <c r="W313">
        <v>24</v>
      </c>
      <c r="X313">
        <v>9</v>
      </c>
      <c r="Y313">
        <v>9</v>
      </c>
      <c r="Z313">
        <v>11</v>
      </c>
      <c r="AA313">
        <v>0</v>
      </c>
      <c r="AB313" s="1" t="s">
        <v>36</v>
      </c>
      <c r="AC313" t="s">
        <v>37</v>
      </c>
      <c r="AD313" t="s">
        <v>57</v>
      </c>
      <c r="AE313" s="2">
        <v>217.08333333333334</v>
      </c>
    </row>
    <row r="314" spans="1:31" x14ac:dyDescent="0.35">
      <c r="A314">
        <v>31</v>
      </c>
      <c r="B314" s="1" t="s">
        <v>39</v>
      </c>
      <c r="C314" s="1" t="s">
        <v>40</v>
      </c>
      <c r="D314">
        <v>2</v>
      </c>
      <c r="E314">
        <v>4</v>
      </c>
      <c r="F314" s="1" t="s">
        <v>32</v>
      </c>
      <c r="G314">
        <v>3</v>
      </c>
      <c r="H314" s="1" t="s">
        <v>41</v>
      </c>
      <c r="I314">
        <v>3</v>
      </c>
      <c r="J314">
        <v>1</v>
      </c>
      <c r="K314" s="1" t="s">
        <v>42</v>
      </c>
      <c r="L314">
        <v>4</v>
      </c>
      <c r="M314" s="1" t="s">
        <v>50</v>
      </c>
      <c r="N314">
        <v>2695</v>
      </c>
      <c r="O314">
        <v>0</v>
      </c>
      <c r="P314" s="1" t="s">
        <v>30</v>
      </c>
      <c r="Q314">
        <v>18</v>
      </c>
      <c r="R314">
        <v>2</v>
      </c>
      <c r="S314">
        <v>1</v>
      </c>
      <c r="T314">
        <v>3</v>
      </c>
      <c r="U314">
        <v>2</v>
      </c>
      <c r="V314">
        <v>1</v>
      </c>
      <c r="W314">
        <v>2</v>
      </c>
      <c r="X314">
        <v>2</v>
      </c>
      <c r="Y314">
        <v>2</v>
      </c>
      <c r="Z314">
        <v>2</v>
      </c>
      <c r="AA314">
        <v>0</v>
      </c>
      <c r="AB314" s="1" t="s">
        <v>48</v>
      </c>
      <c r="AC314" t="s">
        <v>46</v>
      </c>
      <c r="AD314" t="s">
        <v>47</v>
      </c>
      <c r="AE314" s="2">
        <v>1347.5</v>
      </c>
    </row>
    <row r="315" spans="1:31" x14ac:dyDescent="0.35">
      <c r="A315">
        <v>33</v>
      </c>
      <c r="B315" s="1" t="s">
        <v>39</v>
      </c>
      <c r="C315" s="1" t="s">
        <v>40</v>
      </c>
      <c r="D315">
        <v>5</v>
      </c>
      <c r="E315">
        <v>4</v>
      </c>
      <c r="F315" s="1" t="s">
        <v>32</v>
      </c>
      <c r="G315">
        <v>4</v>
      </c>
      <c r="H315" s="1" t="s">
        <v>33</v>
      </c>
      <c r="I315">
        <v>3</v>
      </c>
      <c r="J315">
        <v>3</v>
      </c>
      <c r="K315" s="1" t="s">
        <v>55</v>
      </c>
      <c r="L315">
        <v>2</v>
      </c>
      <c r="M315" s="1" t="s">
        <v>43</v>
      </c>
      <c r="N315">
        <v>11878</v>
      </c>
      <c r="O315">
        <v>6</v>
      </c>
      <c r="P315" s="1" t="s">
        <v>39</v>
      </c>
      <c r="Q315">
        <v>11</v>
      </c>
      <c r="R315">
        <v>2</v>
      </c>
      <c r="S315">
        <v>2</v>
      </c>
      <c r="T315">
        <v>12</v>
      </c>
      <c r="U315">
        <v>2</v>
      </c>
      <c r="V315">
        <v>3</v>
      </c>
      <c r="W315">
        <v>10</v>
      </c>
      <c r="X315">
        <v>6</v>
      </c>
      <c r="Y315">
        <v>8</v>
      </c>
      <c r="Z315">
        <v>8</v>
      </c>
      <c r="AA315">
        <v>0</v>
      </c>
      <c r="AB315" s="1" t="s">
        <v>48</v>
      </c>
      <c r="AC315" t="s">
        <v>56</v>
      </c>
      <c r="AD315" t="s">
        <v>38</v>
      </c>
      <c r="AE315" s="2">
        <v>1187.8</v>
      </c>
    </row>
    <row r="316" spans="1:31" x14ac:dyDescent="0.35">
      <c r="A316">
        <v>39</v>
      </c>
      <c r="B316" s="1" t="s">
        <v>39</v>
      </c>
      <c r="C316" s="1" t="s">
        <v>40</v>
      </c>
      <c r="D316">
        <v>10</v>
      </c>
      <c r="E316">
        <v>1</v>
      </c>
      <c r="F316" s="1" t="s">
        <v>49</v>
      </c>
      <c r="G316">
        <v>3</v>
      </c>
      <c r="H316" s="1" t="s">
        <v>41</v>
      </c>
      <c r="I316">
        <v>3</v>
      </c>
      <c r="J316">
        <v>4</v>
      </c>
      <c r="K316" s="1" t="s">
        <v>55</v>
      </c>
      <c r="L316">
        <v>1</v>
      </c>
      <c r="M316" s="1" t="s">
        <v>43</v>
      </c>
      <c r="N316">
        <v>17068</v>
      </c>
      <c r="O316">
        <v>1</v>
      </c>
      <c r="P316" s="1" t="s">
        <v>30</v>
      </c>
      <c r="Q316">
        <v>14</v>
      </c>
      <c r="R316">
        <v>4</v>
      </c>
      <c r="S316">
        <v>0</v>
      </c>
      <c r="T316">
        <v>21</v>
      </c>
      <c r="U316">
        <v>3</v>
      </c>
      <c r="V316">
        <v>3</v>
      </c>
      <c r="W316">
        <v>21</v>
      </c>
      <c r="X316">
        <v>9</v>
      </c>
      <c r="Y316">
        <v>11</v>
      </c>
      <c r="Z316">
        <v>10</v>
      </c>
      <c r="AA316">
        <v>0</v>
      </c>
      <c r="AB316" s="1" t="s">
        <v>36</v>
      </c>
      <c r="AC316" t="s">
        <v>56</v>
      </c>
      <c r="AD316" t="s">
        <v>57</v>
      </c>
      <c r="AE316" s="2">
        <v>812.76190476190482</v>
      </c>
    </row>
    <row r="317" spans="1:31" x14ac:dyDescent="0.35">
      <c r="A317">
        <v>43</v>
      </c>
      <c r="B317" s="1" t="s">
        <v>39</v>
      </c>
      <c r="C317" s="1" t="s">
        <v>40</v>
      </c>
      <c r="D317">
        <v>10</v>
      </c>
      <c r="E317">
        <v>4</v>
      </c>
      <c r="F317" s="1" t="s">
        <v>32</v>
      </c>
      <c r="G317">
        <v>3</v>
      </c>
      <c r="H317" s="1" t="s">
        <v>33</v>
      </c>
      <c r="I317">
        <v>3</v>
      </c>
      <c r="J317">
        <v>1</v>
      </c>
      <c r="K317" s="1" t="s">
        <v>45</v>
      </c>
      <c r="L317">
        <v>4</v>
      </c>
      <c r="M317" s="1" t="s">
        <v>35</v>
      </c>
      <c r="N317">
        <v>2455</v>
      </c>
      <c r="O317">
        <v>0</v>
      </c>
      <c r="P317" s="1" t="s">
        <v>39</v>
      </c>
      <c r="Q317">
        <v>19</v>
      </c>
      <c r="R317">
        <v>1</v>
      </c>
      <c r="S317">
        <v>0</v>
      </c>
      <c r="T317">
        <v>9</v>
      </c>
      <c r="U317">
        <v>5</v>
      </c>
      <c r="V317">
        <v>3</v>
      </c>
      <c r="W317">
        <v>8</v>
      </c>
      <c r="X317">
        <v>7</v>
      </c>
      <c r="Y317">
        <v>1</v>
      </c>
      <c r="Z317">
        <v>7</v>
      </c>
      <c r="AA317">
        <v>0</v>
      </c>
      <c r="AB317" s="1" t="s">
        <v>36</v>
      </c>
      <c r="AC317" t="s">
        <v>46</v>
      </c>
      <c r="AD317" t="s">
        <v>38</v>
      </c>
      <c r="AE317" s="2">
        <v>306.875</v>
      </c>
    </row>
    <row r="318" spans="1:31" x14ac:dyDescent="0.35">
      <c r="A318">
        <v>49</v>
      </c>
      <c r="B318" s="1" t="s">
        <v>39</v>
      </c>
      <c r="C318" s="1" t="s">
        <v>40</v>
      </c>
      <c r="D318">
        <v>1</v>
      </c>
      <c r="E318">
        <v>2</v>
      </c>
      <c r="F318" s="1" t="s">
        <v>61</v>
      </c>
      <c r="G318">
        <v>3</v>
      </c>
      <c r="H318" s="1" t="s">
        <v>33</v>
      </c>
      <c r="I318">
        <v>2</v>
      </c>
      <c r="J318">
        <v>4</v>
      </c>
      <c r="K318" s="1" t="s">
        <v>52</v>
      </c>
      <c r="L318">
        <v>3</v>
      </c>
      <c r="M318" s="1" t="s">
        <v>35</v>
      </c>
      <c r="N318">
        <v>13964</v>
      </c>
      <c r="O318">
        <v>7</v>
      </c>
      <c r="P318" s="1" t="s">
        <v>30</v>
      </c>
      <c r="Q318">
        <v>12</v>
      </c>
      <c r="R318">
        <v>4</v>
      </c>
      <c r="S318">
        <v>0</v>
      </c>
      <c r="T318">
        <v>25</v>
      </c>
      <c r="U318">
        <v>2</v>
      </c>
      <c r="V318">
        <v>3</v>
      </c>
      <c r="W318">
        <v>7</v>
      </c>
      <c r="X318">
        <v>1</v>
      </c>
      <c r="Y318">
        <v>0</v>
      </c>
      <c r="Z318">
        <v>7</v>
      </c>
      <c r="AA318">
        <v>0</v>
      </c>
      <c r="AB318" s="1" t="s">
        <v>82</v>
      </c>
      <c r="AC318" t="s">
        <v>56</v>
      </c>
      <c r="AD318" t="s">
        <v>38</v>
      </c>
      <c r="AE318" s="2">
        <v>1994.8571428571429</v>
      </c>
    </row>
    <row r="319" spans="1:31" x14ac:dyDescent="0.35">
      <c r="A319">
        <v>52</v>
      </c>
      <c r="B319" s="1" t="s">
        <v>30</v>
      </c>
      <c r="C319" s="1" t="s">
        <v>40</v>
      </c>
      <c r="D319">
        <v>8</v>
      </c>
      <c r="E319">
        <v>4</v>
      </c>
      <c r="F319" s="1" t="s">
        <v>49</v>
      </c>
      <c r="G319">
        <v>3</v>
      </c>
      <c r="H319" s="1" t="s">
        <v>41</v>
      </c>
      <c r="I319">
        <v>2</v>
      </c>
      <c r="J319">
        <v>2</v>
      </c>
      <c r="K319" s="1" t="s">
        <v>42</v>
      </c>
      <c r="L319">
        <v>2</v>
      </c>
      <c r="M319" s="1" t="s">
        <v>43</v>
      </c>
      <c r="N319">
        <v>4941</v>
      </c>
      <c r="O319">
        <v>2</v>
      </c>
      <c r="P319" s="1" t="s">
        <v>39</v>
      </c>
      <c r="Q319">
        <v>15</v>
      </c>
      <c r="R319">
        <v>1</v>
      </c>
      <c r="S319">
        <v>0</v>
      </c>
      <c r="T319">
        <v>11</v>
      </c>
      <c r="U319">
        <v>3</v>
      </c>
      <c r="V319">
        <v>2</v>
      </c>
      <c r="W319">
        <v>8</v>
      </c>
      <c r="X319">
        <v>2</v>
      </c>
      <c r="Y319">
        <v>7</v>
      </c>
      <c r="Z319">
        <v>7</v>
      </c>
      <c r="AA319">
        <v>1</v>
      </c>
      <c r="AB319" s="1" t="s">
        <v>82</v>
      </c>
      <c r="AC319" t="s">
        <v>37</v>
      </c>
      <c r="AD319" t="s">
        <v>38</v>
      </c>
      <c r="AE319" s="2">
        <v>617.625</v>
      </c>
    </row>
    <row r="320" spans="1:31" x14ac:dyDescent="0.35">
      <c r="A320">
        <v>27</v>
      </c>
      <c r="B320" s="1" t="s">
        <v>39</v>
      </c>
      <c r="C320" s="1" t="s">
        <v>40</v>
      </c>
      <c r="D320">
        <v>5</v>
      </c>
      <c r="E320">
        <v>3</v>
      </c>
      <c r="F320" s="1" t="s">
        <v>32</v>
      </c>
      <c r="G320">
        <v>3</v>
      </c>
      <c r="H320" s="1" t="s">
        <v>33</v>
      </c>
      <c r="I320">
        <v>3</v>
      </c>
      <c r="J320">
        <v>1</v>
      </c>
      <c r="K320" s="1" t="s">
        <v>42</v>
      </c>
      <c r="L320">
        <v>2</v>
      </c>
      <c r="M320" s="1" t="s">
        <v>35</v>
      </c>
      <c r="N320">
        <v>2478</v>
      </c>
      <c r="O320">
        <v>1</v>
      </c>
      <c r="P320" s="1" t="s">
        <v>30</v>
      </c>
      <c r="Q320">
        <v>12</v>
      </c>
      <c r="R320">
        <v>2</v>
      </c>
      <c r="S320">
        <v>0</v>
      </c>
      <c r="T320">
        <v>4</v>
      </c>
      <c r="U320">
        <v>2</v>
      </c>
      <c r="V320">
        <v>2</v>
      </c>
      <c r="W320">
        <v>4</v>
      </c>
      <c r="X320">
        <v>3</v>
      </c>
      <c r="Y320">
        <v>1</v>
      </c>
      <c r="Z320">
        <v>2</v>
      </c>
      <c r="AA320">
        <v>0</v>
      </c>
      <c r="AB320" s="1" t="s">
        <v>48</v>
      </c>
      <c r="AC320" t="s">
        <v>46</v>
      </c>
      <c r="AD320" t="s">
        <v>53</v>
      </c>
      <c r="AE320" s="2">
        <v>619.5</v>
      </c>
    </row>
    <row r="321" spans="1:31" x14ac:dyDescent="0.35">
      <c r="A321">
        <v>32</v>
      </c>
      <c r="B321" s="1" t="s">
        <v>39</v>
      </c>
      <c r="C321" s="1" t="s">
        <v>31</v>
      </c>
      <c r="D321">
        <v>8</v>
      </c>
      <c r="E321">
        <v>2</v>
      </c>
      <c r="F321" s="1" t="s">
        <v>61</v>
      </c>
      <c r="G321">
        <v>3</v>
      </c>
      <c r="H321" s="1" t="s">
        <v>33</v>
      </c>
      <c r="I321">
        <v>2</v>
      </c>
      <c r="J321">
        <v>2</v>
      </c>
      <c r="K321" s="1" t="s">
        <v>34</v>
      </c>
      <c r="L321">
        <v>2</v>
      </c>
      <c r="M321" s="1" t="s">
        <v>43</v>
      </c>
      <c r="N321">
        <v>5228</v>
      </c>
      <c r="O321">
        <v>1</v>
      </c>
      <c r="P321" s="1" t="s">
        <v>30</v>
      </c>
      <c r="Q321">
        <v>11</v>
      </c>
      <c r="R321">
        <v>4</v>
      </c>
      <c r="S321">
        <v>0</v>
      </c>
      <c r="T321">
        <v>13</v>
      </c>
      <c r="U321">
        <v>2</v>
      </c>
      <c r="V321">
        <v>3</v>
      </c>
      <c r="W321">
        <v>13</v>
      </c>
      <c r="X321">
        <v>12</v>
      </c>
      <c r="Y321">
        <v>11</v>
      </c>
      <c r="Z321">
        <v>9</v>
      </c>
      <c r="AA321">
        <v>0</v>
      </c>
      <c r="AB321" s="1" t="s">
        <v>48</v>
      </c>
      <c r="AC321" t="s">
        <v>37</v>
      </c>
      <c r="AD321" t="s">
        <v>57</v>
      </c>
      <c r="AE321" s="2">
        <v>402.15384615384613</v>
      </c>
    </row>
    <row r="322" spans="1:31" x14ac:dyDescent="0.35">
      <c r="A322">
        <v>27</v>
      </c>
      <c r="B322" s="1" t="s">
        <v>39</v>
      </c>
      <c r="C322" s="1" t="s">
        <v>31</v>
      </c>
      <c r="D322">
        <v>2</v>
      </c>
      <c r="E322">
        <v>3</v>
      </c>
      <c r="F322" s="1" t="s">
        <v>32</v>
      </c>
      <c r="G322">
        <v>4</v>
      </c>
      <c r="H322" s="1" t="s">
        <v>41</v>
      </c>
      <c r="I322">
        <v>3</v>
      </c>
      <c r="J322">
        <v>2</v>
      </c>
      <c r="K322" s="1" t="s">
        <v>34</v>
      </c>
      <c r="L322">
        <v>3</v>
      </c>
      <c r="M322" s="1" t="s">
        <v>35</v>
      </c>
      <c r="N322">
        <v>4478</v>
      </c>
      <c r="O322">
        <v>1</v>
      </c>
      <c r="P322" s="1" t="s">
        <v>30</v>
      </c>
      <c r="Q322">
        <v>11</v>
      </c>
      <c r="R322">
        <v>1</v>
      </c>
      <c r="S322">
        <v>0</v>
      </c>
      <c r="T322">
        <v>5</v>
      </c>
      <c r="U322">
        <v>3</v>
      </c>
      <c r="V322">
        <v>3</v>
      </c>
      <c r="W322">
        <v>5</v>
      </c>
      <c r="X322">
        <v>4</v>
      </c>
      <c r="Y322">
        <v>0</v>
      </c>
      <c r="Z322">
        <v>4</v>
      </c>
      <c r="AA322">
        <v>0</v>
      </c>
      <c r="AB322" s="1" t="s">
        <v>48</v>
      </c>
      <c r="AC322" t="s">
        <v>37</v>
      </c>
      <c r="AD322" t="s">
        <v>53</v>
      </c>
      <c r="AE322" s="2">
        <v>895.6</v>
      </c>
    </row>
    <row r="323" spans="1:31" x14ac:dyDescent="0.35">
      <c r="A323">
        <v>31</v>
      </c>
      <c r="B323" s="1" t="s">
        <v>39</v>
      </c>
      <c r="C323" s="1" t="s">
        <v>31</v>
      </c>
      <c r="D323">
        <v>7</v>
      </c>
      <c r="E323">
        <v>3</v>
      </c>
      <c r="F323" s="1" t="s">
        <v>60</v>
      </c>
      <c r="G323">
        <v>4</v>
      </c>
      <c r="H323" s="1" t="s">
        <v>41</v>
      </c>
      <c r="I323">
        <v>3</v>
      </c>
      <c r="J323">
        <v>2</v>
      </c>
      <c r="K323" s="1" t="s">
        <v>34</v>
      </c>
      <c r="L323">
        <v>4</v>
      </c>
      <c r="M323" s="1" t="s">
        <v>50</v>
      </c>
      <c r="N323">
        <v>7547</v>
      </c>
      <c r="O323">
        <v>4</v>
      </c>
      <c r="P323" s="1" t="s">
        <v>39</v>
      </c>
      <c r="Q323">
        <v>12</v>
      </c>
      <c r="R323">
        <v>4</v>
      </c>
      <c r="S323">
        <v>3</v>
      </c>
      <c r="T323">
        <v>13</v>
      </c>
      <c r="U323">
        <v>3</v>
      </c>
      <c r="V323">
        <v>3</v>
      </c>
      <c r="W323">
        <v>7</v>
      </c>
      <c r="X323">
        <v>7</v>
      </c>
      <c r="Y323">
        <v>1</v>
      </c>
      <c r="Z323">
        <v>7</v>
      </c>
      <c r="AA323">
        <v>0</v>
      </c>
      <c r="AB323" s="1" t="s">
        <v>48</v>
      </c>
      <c r="AC323" t="s">
        <v>37</v>
      </c>
      <c r="AD323" t="s">
        <v>38</v>
      </c>
      <c r="AE323" s="2">
        <v>1078.1428571428571</v>
      </c>
    </row>
    <row r="324" spans="1:31" x14ac:dyDescent="0.35">
      <c r="A324">
        <v>32</v>
      </c>
      <c r="B324" s="1" t="s">
        <v>39</v>
      </c>
      <c r="C324" s="1" t="s">
        <v>40</v>
      </c>
      <c r="D324">
        <v>2</v>
      </c>
      <c r="E324">
        <v>4</v>
      </c>
      <c r="F324" s="1" t="s">
        <v>49</v>
      </c>
      <c r="G324">
        <v>1</v>
      </c>
      <c r="H324" s="1" t="s">
        <v>33</v>
      </c>
      <c r="I324">
        <v>4</v>
      </c>
      <c r="J324">
        <v>2</v>
      </c>
      <c r="K324" s="1" t="s">
        <v>42</v>
      </c>
      <c r="L324">
        <v>4</v>
      </c>
      <c r="M324" s="1" t="s">
        <v>35</v>
      </c>
      <c r="N324">
        <v>5055</v>
      </c>
      <c r="O324">
        <v>7</v>
      </c>
      <c r="P324" s="1" t="s">
        <v>39</v>
      </c>
      <c r="Q324">
        <v>16</v>
      </c>
      <c r="R324">
        <v>3</v>
      </c>
      <c r="S324">
        <v>0</v>
      </c>
      <c r="T324">
        <v>10</v>
      </c>
      <c r="U324">
        <v>0</v>
      </c>
      <c r="V324">
        <v>2</v>
      </c>
      <c r="W324">
        <v>7</v>
      </c>
      <c r="X324">
        <v>7</v>
      </c>
      <c r="Y324">
        <v>0</v>
      </c>
      <c r="Z324">
        <v>7</v>
      </c>
      <c r="AA324">
        <v>0</v>
      </c>
      <c r="AB324" s="1" t="s">
        <v>48</v>
      </c>
      <c r="AC324" t="s">
        <v>37</v>
      </c>
      <c r="AD324" t="s">
        <v>38</v>
      </c>
      <c r="AE324" s="2">
        <v>722.14285714285711</v>
      </c>
    </row>
    <row r="325" spans="1:31" x14ac:dyDescent="0.35">
      <c r="A325">
        <v>28</v>
      </c>
      <c r="B325" s="1" t="s">
        <v>30</v>
      </c>
      <c r="C325" s="1" t="s">
        <v>40</v>
      </c>
      <c r="D325">
        <v>2</v>
      </c>
      <c r="E325">
        <v>4</v>
      </c>
      <c r="F325" s="1" t="s">
        <v>49</v>
      </c>
      <c r="G325">
        <v>1</v>
      </c>
      <c r="H325" s="1" t="s">
        <v>41</v>
      </c>
      <c r="I325">
        <v>1</v>
      </c>
      <c r="J325">
        <v>1</v>
      </c>
      <c r="K325" s="1" t="s">
        <v>42</v>
      </c>
      <c r="L325">
        <v>4</v>
      </c>
      <c r="M325" s="1" t="s">
        <v>43</v>
      </c>
      <c r="N325">
        <v>3464</v>
      </c>
      <c r="O325">
        <v>5</v>
      </c>
      <c r="P325" s="1" t="s">
        <v>30</v>
      </c>
      <c r="Q325">
        <v>13</v>
      </c>
      <c r="R325">
        <v>4</v>
      </c>
      <c r="S325">
        <v>0</v>
      </c>
      <c r="T325">
        <v>5</v>
      </c>
      <c r="U325">
        <v>4</v>
      </c>
      <c r="V325">
        <v>2</v>
      </c>
      <c r="W325">
        <v>3</v>
      </c>
      <c r="X325">
        <v>2</v>
      </c>
      <c r="Y325">
        <v>2</v>
      </c>
      <c r="Z325">
        <v>2</v>
      </c>
      <c r="AA325">
        <v>1</v>
      </c>
      <c r="AB325" s="1" t="s">
        <v>48</v>
      </c>
      <c r="AC325" t="s">
        <v>46</v>
      </c>
      <c r="AD325" t="s">
        <v>53</v>
      </c>
      <c r="AE325" s="2">
        <v>1154.6666666666667</v>
      </c>
    </row>
    <row r="326" spans="1:31" x14ac:dyDescent="0.35">
      <c r="A326">
        <v>30</v>
      </c>
      <c r="B326" s="1" t="s">
        <v>39</v>
      </c>
      <c r="C326" s="1" t="s">
        <v>40</v>
      </c>
      <c r="D326">
        <v>28</v>
      </c>
      <c r="E326">
        <v>2</v>
      </c>
      <c r="F326" s="1" t="s">
        <v>49</v>
      </c>
      <c r="G326">
        <v>4</v>
      </c>
      <c r="H326" s="1" t="s">
        <v>33</v>
      </c>
      <c r="I326">
        <v>3</v>
      </c>
      <c r="J326">
        <v>2</v>
      </c>
      <c r="K326" s="1" t="s">
        <v>42</v>
      </c>
      <c r="L326">
        <v>4</v>
      </c>
      <c r="M326" s="1" t="s">
        <v>43</v>
      </c>
      <c r="N326">
        <v>5775</v>
      </c>
      <c r="O326">
        <v>1</v>
      </c>
      <c r="P326" s="1" t="s">
        <v>39</v>
      </c>
      <c r="Q326">
        <v>13</v>
      </c>
      <c r="R326">
        <v>4</v>
      </c>
      <c r="S326">
        <v>2</v>
      </c>
      <c r="T326">
        <v>11</v>
      </c>
      <c r="U326">
        <v>2</v>
      </c>
      <c r="V326">
        <v>3</v>
      </c>
      <c r="W326">
        <v>10</v>
      </c>
      <c r="X326">
        <v>8</v>
      </c>
      <c r="Y326">
        <v>1</v>
      </c>
      <c r="Z326">
        <v>9</v>
      </c>
      <c r="AA326">
        <v>0</v>
      </c>
      <c r="AB326" s="1" t="s">
        <v>48</v>
      </c>
      <c r="AC326" t="s">
        <v>37</v>
      </c>
      <c r="AD326" t="s">
        <v>38</v>
      </c>
      <c r="AE326" s="2">
        <v>577.5</v>
      </c>
    </row>
    <row r="327" spans="1:31" x14ac:dyDescent="0.35">
      <c r="A327">
        <v>31</v>
      </c>
      <c r="B327" s="1" t="s">
        <v>39</v>
      </c>
      <c r="C327" s="1" t="s">
        <v>40</v>
      </c>
      <c r="D327">
        <v>7</v>
      </c>
      <c r="E327">
        <v>2</v>
      </c>
      <c r="F327" s="1" t="s">
        <v>32</v>
      </c>
      <c r="G327">
        <v>3</v>
      </c>
      <c r="H327" s="1" t="s">
        <v>33</v>
      </c>
      <c r="I327">
        <v>2</v>
      </c>
      <c r="J327">
        <v>3</v>
      </c>
      <c r="K327" s="1" t="s">
        <v>51</v>
      </c>
      <c r="L327">
        <v>3</v>
      </c>
      <c r="M327" s="1" t="s">
        <v>43</v>
      </c>
      <c r="N327">
        <v>8943</v>
      </c>
      <c r="O327">
        <v>1</v>
      </c>
      <c r="P327" s="1" t="s">
        <v>39</v>
      </c>
      <c r="Q327">
        <v>24</v>
      </c>
      <c r="R327">
        <v>1</v>
      </c>
      <c r="S327">
        <v>1</v>
      </c>
      <c r="T327">
        <v>10</v>
      </c>
      <c r="U327">
        <v>2</v>
      </c>
      <c r="V327">
        <v>3</v>
      </c>
      <c r="W327">
        <v>10</v>
      </c>
      <c r="X327">
        <v>9</v>
      </c>
      <c r="Y327">
        <v>8</v>
      </c>
      <c r="Z327">
        <v>9</v>
      </c>
      <c r="AA327">
        <v>0</v>
      </c>
      <c r="AB327" s="1" t="s">
        <v>48</v>
      </c>
      <c r="AC327" t="s">
        <v>37</v>
      </c>
      <c r="AD327" t="s">
        <v>38</v>
      </c>
      <c r="AE327" s="2">
        <v>894.3</v>
      </c>
    </row>
    <row r="328" spans="1:31" x14ac:dyDescent="0.35">
      <c r="A328">
        <v>39</v>
      </c>
      <c r="B328" s="1" t="s">
        <v>39</v>
      </c>
      <c r="C328" s="1" t="s">
        <v>40</v>
      </c>
      <c r="D328">
        <v>7</v>
      </c>
      <c r="E328">
        <v>2</v>
      </c>
      <c r="F328" s="1" t="s">
        <v>49</v>
      </c>
      <c r="G328">
        <v>3</v>
      </c>
      <c r="H328" s="1" t="s">
        <v>41</v>
      </c>
      <c r="I328">
        <v>2</v>
      </c>
      <c r="J328">
        <v>5</v>
      </c>
      <c r="K328" s="1" t="s">
        <v>55</v>
      </c>
      <c r="L328">
        <v>4</v>
      </c>
      <c r="M328" s="1" t="s">
        <v>43</v>
      </c>
      <c r="N328">
        <v>19272</v>
      </c>
      <c r="O328">
        <v>1</v>
      </c>
      <c r="P328" s="1" t="s">
        <v>39</v>
      </c>
      <c r="Q328">
        <v>15</v>
      </c>
      <c r="R328">
        <v>1</v>
      </c>
      <c r="S328">
        <v>1</v>
      </c>
      <c r="T328">
        <v>21</v>
      </c>
      <c r="U328">
        <v>2</v>
      </c>
      <c r="V328">
        <v>3</v>
      </c>
      <c r="W328">
        <v>21</v>
      </c>
      <c r="X328">
        <v>9</v>
      </c>
      <c r="Y328">
        <v>13</v>
      </c>
      <c r="Z328">
        <v>3</v>
      </c>
      <c r="AA328">
        <v>0</v>
      </c>
      <c r="AB328" s="1" t="s">
        <v>36</v>
      </c>
      <c r="AC328" t="s">
        <v>56</v>
      </c>
      <c r="AD328" t="s">
        <v>57</v>
      </c>
      <c r="AE328" s="2">
        <v>917.71428571428567</v>
      </c>
    </row>
    <row r="329" spans="1:31" x14ac:dyDescent="0.35">
      <c r="A329">
        <v>39</v>
      </c>
      <c r="B329" s="1" t="s">
        <v>30</v>
      </c>
      <c r="C329" s="1" t="s">
        <v>31</v>
      </c>
      <c r="D329">
        <v>3</v>
      </c>
      <c r="E329">
        <v>2</v>
      </c>
      <c r="F329" s="1" t="s">
        <v>49</v>
      </c>
      <c r="G329">
        <v>4</v>
      </c>
      <c r="H329" s="1" t="s">
        <v>33</v>
      </c>
      <c r="I329">
        <v>3</v>
      </c>
      <c r="J329">
        <v>2</v>
      </c>
      <c r="K329" s="1" t="s">
        <v>34</v>
      </c>
      <c r="L329">
        <v>3</v>
      </c>
      <c r="M329" s="1" t="s">
        <v>43</v>
      </c>
      <c r="N329">
        <v>5238</v>
      </c>
      <c r="O329">
        <v>4</v>
      </c>
      <c r="P329" s="1" t="s">
        <v>30</v>
      </c>
      <c r="Q329">
        <v>18</v>
      </c>
      <c r="R329">
        <v>1</v>
      </c>
      <c r="S329">
        <v>0</v>
      </c>
      <c r="T329">
        <v>12</v>
      </c>
      <c r="U329">
        <v>3</v>
      </c>
      <c r="V329">
        <v>2</v>
      </c>
      <c r="W329">
        <v>1</v>
      </c>
      <c r="X329">
        <v>0</v>
      </c>
      <c r="Y329">
        <v>0</v>
      </c>
      <c r="Z329">
        <v>0</v>
      </c>
      <c r="AA329">
        <v>1</v>
      </c>
      <c r="AB329" s="1" t="s">
        <v>36</v>
      </c>
      <c r="AC329" t="s">
        <v>37</v>
      </c>
      <c r="AD329" t="s">
        <v>47</v>
      </c>
      <c r="AE329" s="2">
        <v>5238</v>
      </c>
    </row>
    <row r="330" spans="1:31" x14ac:dyDescent="0.35">
      <c r="A330">
        <v>33</v>
      </c>
      <c r="B330" s="1" t="s">
        <v>39</v>
      </c>
      <c r="C330" s="1" t="s">
        <v>31</v>
      </c>
      <c r="D330">
        <v>10</v>
      </c>
      <c r="E330">
        <v>3</v>
      </c>
      <c r="F330" s="1" t="s">
        <v>60</v>
      </c>
      <c r="G330">
        <v>2</v>
      </c>
      <c r="H330" s="1" t="s">
        <v>41</v>
      </c>
      <c r="I330">
        <v>2</v>
      </c>
      <c r="J330">
        <v>2</v>
      </c>
      <c r="K330" s="1" t="s">
        <v>34</v>
      </c>
      <c r="L330">
        <v>4</v>
      </c>
      <c r="M330" s="1" t="s">
        <v>35</v>
      </c>
      <c r="N330">
        <v>4682</v>
      </c>
      <c r="O330">
        <v>3</v>
      </c>
      <c r="P330" s="1" t="s">
        <v>39</v>
      </c>
      <c r="Q330">
        <v>14</v>
      </c>
      <c r="R330">
        <v>3</v>
      </c>
      <c r="S330">
        <v>0</v>
      </c>
      <c r="T330">
        <v>9</v>
      </c>
      <c r="U330">
        <v>6</v>
      </c>
      <c r="V330">
        <v>2</v>
      </c>
      <c r="W330">
        <v>7</v>
      </c>
      <c r="X330">
        <v>7</v>
      </c>
      <c r="Y330">
        <v>0</v>
      </c>
      <c r="Z330">
        <v>1</v>
      </c>
      <c r="AA330">
        <v>0</v>
      </c>
      <c r="AB330" s="1" t="s">
        <v>48</v>
      </c>
      <c r="AC330" t="s">
        <v>37</v>
      </c>
      <c r="AD330" t="s">
        <v>38</v>
      </c>
      <c r="AE330" s="2">
        <v>668.85714285714289</v>
      </c>
    </row>
    <row r="331" spans="1:31" x14ac:dyDescent="0.35">
      <c r="A331">
        <v>47</v>
      </c>
      <c r="B331" s="1" t="s">
        <v>39</v>
      </c>
      <c r="C331" s="1" t="s">
        <v>40</v>
      </c>
      <c r="D331">
        <v>5</v>
      </c>
      <c r="E331">
        <v>5</v>
      </c>
      <c r="F331" s="1" t="s">
        <v>32</v>
      </c>
      <c r="G331">
        <v>4</v>
      </c>
      <c r="H331" s="1" t="s">
        <v>41</v>
      </c>
      <c r="I331">
        <v>3</v>
      </c>
      <c r="J331">
        <v>5</v>
      </c>
      <c r="K331" s="1" t="s">
        <v>59</v>
      </c>
      <c r="L331">
        <v>3</v>
      </c>
      <c r="M331" s="1" t="s">
        <v>43</v>
      </c>
      <c r="N331">
        <v>18300</v>
      </c>
      <c r="O331">
        <v>4</v>
      </c>
      <c r="P331" s="1" t="s">
        <v>39</v>
      </c>
      <c r="Q331">
        <v>11</v>
      </c>
      <c r="R331">
        <v>2</v>
      </c>
      <c r="S331">
        <v>1</v>
      </c>
      <c r="T331">
        <v>21</v>
      </c>
      <c r="U331">
        <v>2</v>
      </c>
      <c r="V331">
        <v>3</v>
      </c>
      <c r="W331">
        <v>3</v>
      </c>
      <c r="X331">
        <v>2</v>
      </c>
      <c r="Y331">
        <v>1</v>
      </c>
      <c r="Z331">
        <v>1</v>
      </c>
      <c r="AA331">
        <v>0</v>
      </c>
      <c r="AB331" s="1" t="s">
        <v>82</v>
      </c>
      <c r="AC331" t="s">
        <v>56</v>
      </c>
      <c r="AD331" t="s">
        <v>53</v>
      </c>
      <c r="AE331" s="2">
        <v>6100</v>
      </c>
    </row>
    <row r="332" spans="1:31" x14ac:dyDescent="0.35">
      <c r="A332">
        <v>43</v>
      </c>
      <c r="B332" s="1" t="s">
        <v>39</v>
      </c>
      <c r="C332" s="1" t="s">
        <v>40</v>
      </c>
      <c r="D332">
        <v>10</v>
      </c>
      <c r="E332">
        <v>4</v>
      </c>
      <c r="F332" s="1" t="s">
        <v>32</v>
      </c>
      <c r="G332">
        <v>3</v>
      </c>
      <c r="H332" s="1" t="s">
        <v>33</v>
      </c>
      <c r="I332">
        <v>2</v>
      </c>
      <c r="J332">
        <v>2</v>
      </c>
      <c r="K332" s="1" t="s">
        <v>45</v>
      </c>
      <c r="L332">
        <v>3</v>
      </c>
      <c r="M332" s="1" t="s">
        <v>50</v>
      </c>
      <c r="N332">
        <v>5257</v>
      </c>
      <c r="O332">
        <v>1</v>
      </c>
      <c r="P332" s="1" t="s">
        <v>39</v>
      </c>
      <c r="Q332">
        <v>11</v>
      </c>
      <c r="R332">
        <v>2</v>
      </c>
      <c r="S332">
        <v>1</v>
      </c>
      <c r="T332">
        <v>9</v>
      </c>
      <c r="U332">
        <v>3</v>
      </c>
      <c r="V332">
        <v>4</v>
      </c>
      <c r="W332">
        <v>9</v>
      </c>
      <c r="X332">
        <v>7</v>
      </c>
      <c r="Y332">
        <v>0</v>
      </c>
      <c r="Z332">
        <v>0</v>
      </c>
      <c r="AA332">
        <v>0</v>
      </c>
      <c r="AB332" s="1" t="s">
        <v>36</v>
      </c>
      <c r="AC332" t="s">
        <v>37</v>
      </c>
      <c r="AD332" t="s">
        <v>38</v>
      </c>
      <c r="AE332" s="2">
        <v>584.11111111111109</v>
      </c>
    </row>
    <row r="333" spans="1:31" x14ac:dyDescent="0.35">
      <c r="A333">
        <v>27</v>
      </c>
      <c r="B333" s="1" t="s">
        <v>39</v>
      </c>
      <c r="C333" s="1" t="s">
        <v>31</v>
      </c>
      <c r="D333">
        <v>1</v>
      </c>
      <c r="E333">
        <v>1</v>
      </c>
      <c r="F333" s="1" t="s">
        <v>60</v>
      </c>
      <c r="G333">
        <v>3</v>
      </c>
      <c r="H333" s="1" t="s">
        <v>41</v>
      </c>
      <c r="I333">
        <v>3</v>
      </c>
      <c r="J333">
        <v>2</v>
      </c>
      <c r="K333" s="1" t="s">
        <v>34</v>
      </c>
      <c r="L333">
        <v>2</v>
      </c>
      <c r="M333" s="1" t="s">
        <v>43</v>
      </c>
      <c r="N333">
        <v>6349</v>
      </c>
      <c r="O333">
        <v>0</v>
      </c>
      <c r="P333" s="1" t="s">
        <v>30</v>
      </c>
      <c r="Q333">
        <v>13</v>
      </c>
      <c r="R333">
        <v>4</v>
      </c>
      <c r="S333">
        <v>1</v>
      </c>
      <c r="T333">
        <v>6</v>
      </c>
      <c r="U333">
        <v>0</v>
      </c>
      <c r="V333">
        <v>3</v>
      </c>
      <c r="W333">
        <v>5</v>
      </c>
      <c r="X333">
        <v>4</v>
      </c>
      <c r="Y333">
        <v>1</v>
      </c>
      <c r="Z333">
        <v>4</v>
      </c>
      <c r="AA333">
        <v>0</v>
      </c>
      <c r="AB333" s="1" t="s">
        <v>48</v>
      </c>
      <c r="AC333" t="s">
        <v>37</v>
      </c>
      <c r="AD333" t="s">
        <v>53</v>
      </c>
      <c r="AE333" s="2">
        <v>1269.8</v>
      </c>
    </row>
    <row r="334" spans="1:31" x14ac:dyDescent="0.35">
      <c r="A334">
        <v>54</v>
      </c>
      <c r="B334" s="1" t="s">
        <v>39</v>
      </c>
      <c r="C334" s="1" t="s">
        <v>40</v>
      </c>
      <c r="D334">
        <v>20</v>
      </c>
      <c r="E334">
        <v>4</v>
      </c>
      <c r="F334" s="1" t="s">
        <v>32</v>
      </c>
      <c r="G334">
        <v>4</v>
      </c>
      <c r="H334" s="1" t="s">
        <v>33</v>
      </c>
      <c r="I334">
        <v>3</v>
      </c>
      <c r="J334">
        <v>2</v>
      </c>
      <c r="K334" s="1" t="s">
        <v>42</v>
      </c>
      <c r="L334">
        <v>3</v>
      </c>
      <c r="M334" s="1" t="s">
        <v>35</v>
      </c>
      <c r="N334">
        <v>4869</v>
      </c>
      <c r="O334">
        <v>3</v>
      </c>
      <c r="P334" s="1" t="s">
        <v>39</v>
      </c>
      <c r="Q334">
        <v>12</v>
      </c>
      <c r="R334">
        <v>4</v>
      </c>
      <c r="S334">
        <v>0</v>
      </c>
      <c r="T334">
        <v>20</v>
      </c>
      <c r="U334">
        <v>4</v>
      </c>
      <c r="V334">
        <v>2</v>
      </c>
      <c r="W334">
        <v>4</v>
      </c>
      <c r="X334">
        <v>3</v>
      </c>
      <c r="Y334">
        <v>0</v>
      </c>
      <c r="Z334">
        <v>3</v>
      </c>
      <c r="AA334">
        <v>0</v>
      </c>
      <c r="AB334" s="1" t="s">
        <v>82</v>
      </c>
      <c r="AC334" t="s">
        <v>37</v>
      </c>
      <c r="AD334" t="s">
        <v>53</v>
      </c>
      <c r="AE334" s="2">
        <v>1217.25</v>
      </c>
    </row>
    <row r="335" spans="1:31" x14ac:dyDescent="0.35">
      <c r="A335">
        <v>43</v>
      </c>
      <c r="B335" s="1" t="s">
        <v>39</v>
      </c>
      <c r="C335" s="1" t="s">
        <v>40</v>
      </c>
      <c r="D335">
        <v>7</v>
      </c>
      <c r="E335">
        <v>3</v>
      </c>
      <c r="F335" s="1" t="s">
        <v>32</v>
      </c>
      <c r="G335">
        <v>3</v>
      </c>
      <c r="H335" s="1" t="s">
        <v>33</v>
      </c>
      <c r="I335">
        <v>3</v>
      </c>
      <c r="J335">
        <v>3</v>
      </c>
      <c r="K335" s="1" t="s">
        <v>52</v>
      </c>
      <c r="L335">
        <v>1</v>
      </c>
      <c r="M335" s="1" t="s">
        <v>43</v>
      </c>
      <c r="N335">
        <v>9985</v>
      </c>
      <c r="O335">
        <v>8</v>
      </c>
      <c r="P335" s="1" t="s">
        <v>39</v>
      </c>
      <c r="Q335">
        <v>16</v>
      </c>
      <c r="R335">
        <v>1</v>
      </c>
      <c r="S335">
        <v>1</v>
      </c>
      <c r="T335">
        <v>10</v>
      </c>
      <c r="U335">
        <v>1</v>
      </c>
      <c r="V335">
        <v>2</v>
      </c>
      <c r="W335">
        <v>1</v>
      </c>
      <c r="X335">
        <v>0</v>
      </c>
      <c r="Y335">
        <v>0</v>
      </c>
      <c r="Z335">
        <v>0</v>
      </c>
      <c r="AA335">
        <v>0</v>
      </c>
      <c r="AB335" s="1" t="s">
        <v>36</v>
      </c>
      <c r="AC335" t="s">
        <v>37</v>
      </c>
      <c r="AD335" t="s">
        <v>47</v>
      </c>
      <c r="AE335" s="2">
        <v>9985</v>
      </c>
    </row>
    <row r="336" spans="1:31" x14ac:dyDescent="0.35">
      <c r="A336">
        <v>45</v>
      </c>
      <c r="B336" s="1" t="s">
        <v>39</v>
      </c>
      <c r="C336" s="1" t="s">
        <v>40</v>
      </c>
      <c r="D336">
        <v>8</v>
      </c>
      <c r="E336">
        <v>4</v>
      </c>
      <c r="F336" s="1" t="s">
        <v>44</v>
      </c>
      <c r="G336">
        <v>4</v>
      </c>
      <c r="H336" s="1" t="s">
        <v>41</v>
      </c>
      <c r="I336">
        <v>3</v>
      </c>
      <c r="J336">
        <v>2</v>
      </c>
      <c r="K336" s="1" t="s">
        <v>42</v>
      </c>
      <c r="L336">
        <v>4</v>
      </c>
      <c r="M336" s="1" t="s">
        <v>43</v>
      </c>
      <c r="N336">
        <v>3697</v>
      </c>
      <c r="O336">
        <v>9</v>
      </c>
      <c r="P336" s="1" t="s">
        <v>39</v>
      </c>
      <c r="Q336">
        <v>14</v>
      </c>
      <c r="R336">
        <v>1</v>
      </c>
      <c r="S336">
        <v>2</v>
      </c>
      <c r="T336">
        <v>12</v>
      </c>
      <c r="U336">
        <v>3</v>
      </c>
      <c r="V336">
        <v>3</v>
      </c>
      <c r="W336">
        <v>10</v>
      </c>
      <c r="X336">
        <v>9</v>
      </c>
      <c r="Y336">
        <v>9</v>
      </c>
      <c r="Z336">
        <v>8</v>
      </c>
      <c r="AA336">
        <v>0</v>
      </c>
      <c r="AB336" s="1" t="s">
        <v>36</v>
      </c>
      <c r="AC336" t="s">
        <v>46</v>
      </c>
      <c r="AD336" t="s">
        <v>38</v>
      </c>
      <c r="AE336" s="2">
        <v>369.7</v>
      </c>
    </row>
    <row r="337" spans="1:31" x14ac:dyDescent="0.35">
      <c r="A337">
        <v>40</v>
      </c>
      <c r="B337" s="1" t="s">
        <v>39</v>
      </c>
      <c r="C337" s="1" t="s">
        <v>31</v>
      </c>
      <c r="D337">
        <v>1</v>
      </c>
      <c r="E337">
        <v>2</v>
      </c>
      <c r="F337" s="1" t="s">
        <v>49</v>
      </c>
      <c r="G337">
        <v>2</v>
      </c>
      <c r="H337" s="1" t="s">
        <v>41</v>
      </c>
      <c r="I337">
        <v>1</v>
      </c>
      <c r="J337">
        <v>2</v>
      </c>
      <c r="K337" s="1" t="s">
        <v>34</v>
      </c>
      <c r="L337">
        <v>4</v>
      </c>
      <c r="M337" s="1" t="s">
        <v>43</v>
      </c>
      <c r="N337">
        <v>7457</v>
      </c>
      <c r="O337">
        <v>2</v>
      </c>
      <c r="P337" s="1" t="s">
        <v>30</v>
      </c>
      <c r="Q337">
        <v>22</v>
      </c>
      <c r="R337">
        <v>3</v>
      </c>
      <c r="S337">
        <v>3</v>
      </c>
      <c r="T337">
        <v>6</v>
      </c>
      <c r="U337">
        <v>2</v>
      </c>
      <c r="V337">
        <v>2</v>
      </c>
      <c r="W337">
        <v>4</v>
      </c>
      <c r="X337">
        <v>3</v>
      </c>
      <c r="Y337">
        <v>0</v>
      </c>
      <c r="Z337">
        <v>2</v>
      </c>
      <c r="AA337">
        <v>0</v>
      </c>
      <c r="AB337" s="1" t="s">
        <v>36</v>
      </c>
      <c r="AC337" t="s">
        <v>37</v>
      </c>
      <c r="AD337" t="s">
        <v>53</v>
      </c>
      <c r="AE337" s="2">
        <v>1864.25</v>
      </c>
    </row>
    <row r="338" spans="1:31" x14ac:dyDescent="0.35">
      <c r="A338">
        <v>29</v>
      </c>
      <c r="B338" s="1" t="s">
        <v>30</v>
      </c>
      <c r="C338" s="1" t="s">
        <v>40</v>
      </c>
      <c r="D338">
        <v>8</v>
      </c>
      <c r="E338">
        <v>4</v>
      </c>
      <c r="F338" s="1" t="s">
        <v>44</v>
      </c>
      <c r="G338">
        <v>2</v>
      </c>
      <c r="H338" s="1" t="s">
        <v>41</v>
      </c>
      <c r="I338">
        <v>1</v>
      </c>
      <c r="J338">
        <v>1</v>
      </c>
      <c r="K338" s="1" t="s">
        <v>45</v>
      </c>
      <c r="L338">
        <v>1</v>
      </c>
      <c r="M338" s="1" t="s">
        <v>43</v>
      </c>
      <c r="N338">
        <v>2119</v>
      </c>
      <c r="O338">
        <v>1</v>
      </c>
      <c r="P338" s="1" t="s">
        <v>30</v>
      </c>
      <c r="Q338">
        <v>11</v>
      </c>
      <c r="R338">
        <v>4</v>
      </c>
      <c r="S338">
        <v>0</v>
      </c>
      <c r="T338">
        <v>7</v>
      </c>
      <c r="U338">
        <v>4</v>
      </c>
      <c r="V338">
        <v>2</v>
      </c>
      <c r="W338">
        <v>7</v>
      </c>
      <c r="X338">
        <v>7</v>
      </c>
      <c r="Y338">
        <v>0</v>
      </c>
      <c r="Z338">
        <v>7</v>
      </c>
      <c r="AA338">
        <v>1</v>
      </c>
      <c r="AB338" s="1" t="s">
        <v>48</v>
      </c>
      <c r="AC338" t="s">
        <v>46</v>
      </c>
      <c r="AD338" t="s">
        <v>38</v>
      </c>
      <c r="AE338" s="2">
        <v>302.71428571428572</v>
      </c>
    </row>
    <row r="339" spans="1:31" x14ac:dyDescent="0.35">
      <c r="A339">
        <v>29</v>
      </c>
      <c r="B339" s="1" t="s">
        <v>39</v>
      </c>
      <c r="C339" s="1" t="s">
        <v>40</v>
      </c>
      <c r="D339">
        <v>9</v>
      </c>
      <c r="E339">
        <v>5</v>
      </c>
      <c r="F339" s="1" t="s">
        <v>44</v>
      </c>
      <c r="G339">
        <v>2</v>
      </c>
      <c r="H339" s="1" t="s">
        <v>41</v>
      </c>
      <c r="I339">
        <v>2</v>
      </c>
      <c r="J339">
        <v>1</v>
      </c>
      <c r="K339" s="1" t="s">
        <v>45</v>
      </c>
      <c r="L339">
        <v>4</v>
      </c>
      <c r="M339" s="1" t="s">
        <v>35</v>
      </c>
      <c r="N339">
        <v>3983</v>
      </c>
      <c r="O339">
        <v>0</v>
      </c>
      <c r="P339" s="1" t="s">
        <v>39</v>
      </c>
      <c r="Q339">
        <v>17</v>
      </c>
      <c r="R339">
        <v>3</v>
      </c>
      <c r="S339">
        <v>0</v>
      </c>
      <c r="T339">
        <v>4</v>
      </c>
      <c r="U339">
        <v>2</v>
      </c>
      <c r="V339">
        <v>3</v>
      </c>
      <c r="W339">
        <v>3</v>
      </c>
      <c r="X339">
        <v>2</v>
      </c>
      <c r="Y339">
        <v>2</v>
      </c>
      <c r="Z339">
        <v>2</v>
      </c>
      <c r="AA339">
        <v>0</v>
      </c>
      <c r="AB339" s="1" t="s">
        <v>48</v>
      </c>
      <c r="AC339" t="s">
        <v>46</v>
      </c>
      <c r="AD339" t="s">
        <v>53</v>
      </c>
      <c r="AE339" s="2">
        <v>1327.6666666666667</v>
      </c>
    </row>
    <row r="340" spans="1:31" x14ac:dyDescent="0.35">
      <c r="A340">
        <v>30</v>
      </c>
      <c r="B340" s="1" t="s">
        <v>39</v>
      </c>
      <c r="C340" s="1" t="s">
        <v>31</v>
      </c>
      <c r="D340">
        <v>5</v>
      </c>
      <c r="E340">
        <v>3</v>
      </c>
      <c r="F340" s="1" t="s">
        <v>60</v>
      </c>
      <c r="G340">
        <v>4</v>
      </c>
      <c r="H340" s="1" t="s">
        <v>33</v>
      </c>
      <c r="I340">
        <v>2</v>
      </c>
      <c r="J340">
        <v>2</v>
      </c>
      <c r="K340" s="1" t="s">
        <v>34</v>
      </c>
      <c r="L340">
        <v>3</v>
      </c>
      <c r="M340" s="1" t="s">
        <v>50</v>
      </c>
      <c r="N340">
        <v>6118</v>
      </c>
      <c r="O340">
        <v>1</v>
      </c>
      <c r="P340" s="1" t="s">
        <v>39</v>
      </c>
      <c r="Q340">
        <v>13</v>
      </c>
      <c r="R340">
        <v>3</v>
      </c>
      <c r="S340">
        <v>3</v>
      </c>
      <c r="T340">
        <v>10</v>
      </c>
      <c r="U340">
        <v>2</v>
      </c>
      <c r="V340">
        <v>3</v>
      </c>
      <c r="W340">
        <v>10</v>
      </c>
      <c r="X340">
        <v>9</v>
      </c>
      <c r="Y340">
        <v>1</v>
      </c>
      <c r="Z340">
        <v>2</v>
      </c>
      <c r="AA340">
        <v>0</v>
      </c>
      <c r="AB340" s="1" t="s">
        <v>48</v>
      </c>
      <c r="AC340" t="s">
        <v>37</v>
      </c>
      <c r="AD340" t="s">
        <v>38</v>
      </c>
      <c r="AE340" s="2">
        <v>611.79999999999995</v>
      </c>
    </row>
    <row r="341" spans="1:31" x14ac:dyDescent="0.35">
      <c r="A341">
        <v>27</v>
      </c>
      <c r="B341" s="1" t="s">
        <v>39</v>
      </c>
      <c r="C341" s="1" t="s">
        <v>31</v>
      </c>
      <c r="D341">
        <v>8</v>
      </c>
      <c r="E341">
        <v>4</v>
      </c>
      <c r="F341" s="1" t="s">
        <v>60</v>
      </c>
      <c r="G341">
        <v>2</v>
      </c>
      <c r="H341" s="1" t="s">
        <v>33</v>
      </c>
      <c r="I341">
        <v>3</v>
      </c>
      <c r="J341">
        <v>2</v>
      </c>
      <c r="K341" s="1" t="s">
        <v>34</v>
      </c>
      <c r="L341">
        <v>2</v>
      </c>
      <c r="M341" s="1" t="s">
        <v>43</v>
      </c>
      <c r="N341">
        <v>6214</v>
      </c>
      <c r="O341">
        <v>1</v>
      </c>
      <c r="P341" s="1" t="s">
        <v>39</v>
      </c>
      <c r="Q341">
        <v>18</v>
      </c>
      <c r="R341">
        <v>1</v>
      </c>
      <c r="S341">
        <v>1</v>
      </c>
      <c r="T341">
        <v>8</v>
      </c>
      <c r="U341">
        <v>3</v>
      </c>
      <c r="V341">
        <v>3</v>
      </c>
      <c r="W341">
        <v>8</v>
      </c>
      <c r="X341">
        <v>7</v>
      </c>
      <c r="Y341">
        <v>0</v>
      </c>
      <c r="Z341">
        <v>7</v>
      </c>
      <c r="AA341">
        <v>0</v>
      </c>
      <c r="AB341" s="1" t="s">
        <v>48</v>
      </c>
      <c r="AC341" t="s">
        <v>37</v>
      </c>
      <c r="AD341" t="s">
        <v>38</v>
      </c>
      <c r="AE341" s="2">
        <v>776.75</v>
      </c>
    </row>
    <row r="342" spans="1:31" x14ac:dyDescent="0.35">
      <c r="A342">
        <v>37</v>
      </c>
      <c r="B342" s="1" t="s">
        <v>39</v>
      </c>
      <c r="C342" s="1" t="s">
        <v>40</v>
      </c>
      <c r="D342">
        <v>5</v>
      </c>
      <c r="E342">
        <v>2</v>
      </c>
      <c r="F342" s="1" t="s">
        <v>49</v>
      </c>
      <c r="G342">
        <v>4</v>
      </c>
      <c r="H342" s="1" t="s">
        <v>41</v>
      </c>
      <c r="I342">
        <v>3</v>
      </c>
      <c r="J342">
        <v>2</v>
      </c>
      <c r="K342" s="1" t="s">
        <v>51</v>
      </c>
      <c r="L342">
        <v>4</v>
      </c>
      <c r="M342" s="1" t="s">
        <v>50</v>
      </c>
      <c r="N342">
        <v>6347</v>
      </c>
      <c r="O342">
        <v>7</v>
      </c>
      <c r="P342" s="1" t="s">
        <v>39</v>
      </c>
      <c r="Q342">
        <v>16</v>
      </c>
      <c r="R342">
        <v>3</v>
      </c>
      <c r="S342">
        <v>2</v>
      </c>
      <c r="T342">
        <v>8</v>
      </c>
      <c r="U342">
        <v>2</v>
      </c>
      <c r="V342">
        <v>2</v>
      </c>
      <c r="W342">
        <v>6</v>
      </c>
      <c r="X342">
        <v>2</v>
      </c>
      <c r="Y342">
        <v>0</v>
      </c>
      <c r="Z342">
        <v>4</v>
      </c>
      <c r="AA342">
        <v>0</v>
      </c>
      <c r="AB342" s="1" t="s">
        <v>36</v>
      </c>
      <c r="AC342" t="s">
        <v>37</v>
      </c>
      <c r="AD342" t="s">
        <v>38</v>
      </c>
      <c r="AE342" s="2">
        <v>1057.8333333333333</v>
      </c>
    </row>
    <row r="343" spans="1:31" x14ac:dyDescent="0.35">
      <c r="A343">
        <v>38</v>
      </c>
      <c r="B343" s="1" t="s">
        <v>39</v>
      </c>
      <c r="C343" s="1" t="s">
        <v>40</v>
      </c>
      <c r="D343">
        <v>15</v>
      </c>
      <c r="E343">
        <v>2</v>
      </c>
      <c r="F343" s="1" t="s">
        <v>32</v>
      </c>
      <c r="G343">
        <v>3</v>
      </c>
      <c r="H343" s="1" t="s">
        <v>41</v>
      </c>
      <c r="I343">
        <v>2</v>
      </c>
      <c r="J343">
        <v>3</v>
      </c>
      <c r="K343" s="1" t="s">
        <v>59</v>
      </c>
      <c r="L343">
        <v>4</v>
      </c>
      <c r="M343" s="1" t="s">
        <v>50</v>
      </c>
      <c r="N343">
        <v>11510</v>
      </c>
      <c r="O343">
        <v>0</v>
      </c>
      <c r="P343" s="1" t="s">
        <v>30</v>
      </c>
      <c r="Q343">
        <v>14</v>
      </c>
      <c r="R343">
        <v>2</v>
      </c>
      <c r="S343">
        <v>1</v>
      </c>
      <c r="T343">
        <v>12</v>
      </c>
      <c r="U343">
        <v>3</v>
      </c>
      <c r="V343">
        <v>3</v>
      </c>
      <c r="W343">
        <v>11</v>
      </c>
      <c r="X343">
        <v>10</v>
      </c>
      <c r="Y343">
        <v>2</v>
      </c>
      <c r="Z343">
        <v>9</v>
      </c>
      <c r="AA343">
        <v>0</v>
      </c>
      <c r="AB343" s="1" t="s">
        <v>36</v>
      </c>
      <c r="AC343" t="s">
        <v>56</v>
      </c>
      <c r="AD343" t="s">
        <v>57</v>
      </c>
      <c r="AE343" s="2">
        <v>1046.3636363636363</v>
      </c>
    </row>
    <row r="344" spans="1:31" x14ac:dyDescent="0.35">
      <c r="A344">
        <v>31</v>
      </c>
      <c r="B344" s="1" t="s">
        <v>39</v>
      </c>
      <c r="C344" s="1" t="s">
        <v>40</v>
      </c>
      <c r="D344">
        <v>7</v>
      </c>
      <c r="E344">
        <v>4</v>
      </c>
      <c r="F344" s="1" t="s">
        <v>49</v>
      </c>
      <c r="G344">
        <v>3</v>
      </c>
      <c r="H344" s="1" t="s">
        <v>33</v>
      </c>
      <c r="I344">
        <v>3</v>
      </c>
      <c r="J344">
        <v>3</v>
      </c>
      <c r="K344" s="1" t="s">
        <v>51</v>
      </c>
      <c r="L344">
        <v>4</v>
      </c>
      <c r="M344" s="1" t="s">
        <v>35</v>
      </c>
      <c r="N344">
        <v>7143</v>
      </c>
      <c r="O344">
        <v>1</v>
      </c>
      <c r="P344" s="1" t="s">
        <v>30</v>
      </c>
      <c r="Q344">
        <v>14</v>
      </c>
      <c r="R344">
        <v>3</v>
      </c>
      <c r="S344">
        <v>0</v>
      </c>
      <c r="T344">
        <v>11</v>
      </c>
      <c r="U344">
        <v>2</v>
      </c>
      <c r="V344">
        <v>2</v>
      </c>
      <c r="W344">
        <v>11</v>
      </c>
      <c r="X344">
        <v>9</v>
      </c>
      <c r="Y344">
        <v>4</v>
      </c>
      <c r="Z344">
        <v>10</v>
      </c>
      <c r="AA344">
        <v>0</v>
      </c>
      <c r="AB344" s="1" t="s">
        <v>48</v>
      </c>
      <c r="AC344" t="s">
        <v>37</v>
      </c>
      <c r="AD344" t="s">
        <v>57</v>
      </c>
      <c r="AE344" s="2">
        <v>649.36363636363637</v>
      </c>
    </row>
    <row r="345" spans="1:31" x14ac:dyDescent="0.35">
      <c r="A345">
        <v>29</v>
      </c>
      <c r="B345" s="1" t="s">
        <v>39</v>
      </c>
      <c r="C345" s="1" t="s">
        <v>31</v>
      </c>
      <c r="D345">
        <v>10</v>
      </c>
      <c r="E345">
        <v>1</v>
      </c>
      <c r="F345" s="1" t="s">
        <v>60</v>
      </c>
      <c r="G345">
        <v>4</v>
      </c>
      <c r="H345" s="1" t="s">
        <v>33</v>
      </c>
      <c r="I345">
        <v>2</v>
      </c>
      <c r="J345">
        <v>2</v>
      </c>
      <c r="K345" s="1" t="s">
        <v>34</v>
      </c>
      <c r="L345">
        <v>2</v>
      </c>
      <c r="M345" s="1" t="s">
        <v>50</v>
      </c>
      <c r="N345">
        <v>8268</v>
      </c>
      <c r="O345">
        <v>1</v>
      </c>
      <c r="P345" s="1" t="s">
        <v>30</v>
      </c>
      <c r="Q345">
        <v>14</v>
      </c>
      <c r="R345">
        <v>1</v>
      </c>
      <c r="S345">
        <v>2</v>
      </c>
      <c r="T345">
        <v>7</v>
      </c>
      <c r="U345">
        <v>2</v>
      </c>
      <c r="V345">
        <v>3</v>
      </c>
      <c r="W345">
        <v>7</v>
      </c>
      <c r="X345">
        <v>7</v>
      </c>
      <c r="Y345">
        <v>1</v>
      </c>
      <c r="Z345">
        <v>7</v>
      </c>
      <c r="AA345">
        <v>0</v>
      </c>
      <c r="AB345" s="1" t="s">
        <v>48</v>
      </c>
      <c r="AC345" t="s">
        <v>37</v>
      </c>
      <c r="AD345" t="s">
        <v>38</v>
      </c>
      <c r="AE345" s="2">
        <v>1181.1428571428571</v>
      </c>
    </row>
    <row r="346" spans="1:31" x14ac:dyDescent="0.35">
      <c r="A346">
        <v>35</v>
      </c>
      <c r="B346" s="1" t="s">
        <v>39</v>
      </c>
      <c r="C346" s="1" t="s">
        <v>40</v>
      </c>
      <c r="D346">
        <v>5</v>
      </c>
      <c r="E346">
        <v>4</v>
      </c>
      <c r="F346" s="1" t="s">
        <v>61</v>
      </c>
      <c r="G346">
        <v>3</v>
      </c>
      <c r="H346" s="1" t="s">
        <v>41</v>
      </c>
      <c r="I346">
        <v>3</v>
      </c>
      <c r="J346">
        <v>3</v>
      </c>
      <c r="K346" s="1" t="s">
        <v>51</v>
      </c>
      <c r="L346">
        <v>2</v>
      </c>
      <c r="M346" s="1" t="s">
        <v>35</v>
      </c>
      <c r="N346">
        <v>8095</v>
      </c>
      <c r="O346">
        <v>0</v>
      </c>
      <c r="P346" s="1" t="s">
        <v>39</v>
      </c>
      <c r="Q346">
        <v>13</v>
      </c>
      <c r="R346">
        <v>4</v>
      </c>
      <c r="S346">
        <v>0</v>
      </c>
      <c r="T346">
        <v>17</v>
      </c>
      <c r="U346">
        <v>5</v>
      </c>
      <c r="V346">
        <v>3</v>
      </c>
      <c r="W346">
        <v>16</v>
      </c>
      <c r="X346">
        <v>6</v>
      </c>
      <c r="Y346">
        <v>0</v>
      </c>
      <c r="Z346">
        <v>13</v>
      </c>
      <c r="AA346">
        <v>0</v>
      </c>
      <c r="AB346" s="1" t="s">
        <v>48</v>
      </c>
      <c r="AC346" t="s">
        <v>37</v>
      </c>
      <c r="AD346" t="s">
        <v>57</v>
      </c>
      <c r="AE346" s="2">
        <v>505.9375</v>
      </c>
    </row>
    <row r="347" spans="1:31" x14ac:dyDescent="0.35">
      <c r="A347">
        <v>23</v>
      </c>
      <c r="B347" s="1" t="s">
        <v>39</v>
      </c>
      <c r="C347" s="1" t="s">
        <v>40</v>
      </c>
      <c r="D347">
        <v>26</v>
      </c>
      <c r="E347">
        <v>1</v>
      </c>
      <c r="F347" s="1" t="s">
        <v>32</v>
      </c>
      <c r="G347">
        <v>3</v>
      </c>
      <c r="H347" s="1" t="s">
        <v>41</v>
      </c>
      <c r="I347">
        <v>3</v>
      </c>
      <c r="J347">
        <v>1</v>
      </c>
      <c r="K347" s="1" t="s">
        <v>42</v>
      </c>
      <c r="L347">
        <v>4</v>
      </c>
      <c r="M347" s="1" t="s">
        <v>50</v>
      </c>
      <c r="N347">
        <v>2904</v>
      </c>
      <c r="O347">
        <v>1</v>
      </c>
      <c r="P347" s="1" t="s">
        <v>39</v>
      </c>
      <c r="Q347">
        <v>12</v>
      </c>
      <c r="R347">
        <v>3</v>
      </c>
      <c r="S347">
        <v>2</v>
      </c>
      <c r="T347">
        <v>4</v>
      </c>
      <c r="U347">
        <v>2</v>
      </c>
      <c r="V347">
        <v>2</v>
      </c>
      <c r="W347">
        <v>4</v>
      </c>
      <c r="X347">
        <v>2</v>
      </c>
      <c r="Y347">
        <v>0</v>
      </c>
      <c r="Z347">
        <v>2</v>
      </c>
      <c r="AA347">
        <v>0</v>
      </c>
      <c r="AB347" s="1" t="s">
        <v>54</v>
      </c>
      <c r="AC347" t="s">
        <v>46</v>
      </c>
      <c r="AD347" t="s">
        <v>53</v>
      </c>
      <c r="AE347" s="2">
        <v>726</v>
      </c>
    </row>
    <row r="348" spans="1:31" x14ac:dyDescent="0.35">
      <c r="A348">
        <v>41</v>
      </c>
      <c r="B348" s="1" t="s">
        <v>39</v>
      </c>
      <c r="C348" s="1" t="s">
        <v>40</v>
      </c>
      <c r="D348">
        <v>6</v>
      </c>
      <c r="E348">
        <v>3</v>
      </c>
      <c r="F348" s="1" t="s">
        <v>49</v>
      </c>
      <c r="G348">
        <v>4</v>
      </c>
      <c r="H348" s="1" t="s">
        <v>41</v>
      </c>
      <c r="I348">
        <v>2</v>
      </c>
      <c r="J348">
        <v>2</v>
      </c>
      <c r="K348" s="1" t="s">
        <v>51</v>
      </c>
      <c r="L348">
        <v>2</v>
      </c>
      <c r="M348" s="1" t="s">
        <v>35</v>
      </c>
      <c r="N348">
        <v>6032</v>
      </c>
      <c r="O348">
        <v>6</v>
      </c>
      <c r="P348" s="1" t="s">
        <v>30</v>
      </c>
      <c r="Q348">
        <v>15</v>
      </c>
      <c r="R348">
        <v>4</v>
      </c>
      <c r="S348">
        <v>0</v>
      </c>
      <c r="T348">
        <v>8</v>
      </c>
      <c r="U348">
        <v>3</v>
      </c>
      <c r="V348">
        <v>3</v>
      </c>
      <c r="W348">
        <v>5</v>
      </c>
      <c r="X348">
        <v>4</v>
      </c>
      <c r="Y348">
        <v>1</v>
      </c>
      <c r="Z348">
        <v>2</v>
      </c>
      <c r="AA348">
        <v>0</v>
      </c>
      <c r="AB348" s="1" t="s">
        <v>36</v>
      </c>
      <c r="AC348" t="s">
        <v>37</v>
      </c>
      <c r="AD348" t="s">
        <v>53</v>
      </c>
      <c r="AE348" s="2">
        <v>1206.4000000000001</v>
      </c>
    </row>
    <row r="349" spans="1:31" x14ac:dyDescent="0.35">
      <c r="A349">
        <v>47</v>
      </c>
      <c r="B349" s="1" t="s">
        <v>39</v>
      </c>
      <c r="C349" s="1" t="s">
        <v>31</v>
      </c>
      <c r="D349">
        <v>4</v>
      </c>
      <c r="E349">
        <v>1</v>
      </c>
      <c r="F349" s="1" t="s">
        <v>49</v>
      </c>
      <c r="G349">
        <v>2</v>
      </c>
      <c r="H349" s="1" t="s">
        <v>41</v>
      </c>
      <c r="I349">
        <v>3</v>
      </c>
      <c r="J349">
        <v>2</v>
      </c>
      <c r="K349" s="1" t="s">
        <v>58</v>
      </c>
      <c r="L349">
        <v>3</v>
      </c>
      <c r="M349" s="1" t="s">
        <v>35</v>
      </c>
      <c r="N349">
        <v>2976</v>
      </c>
      <c r="O349">
        <v>3</v>
      </c>
      <c r="P349" s="1" t="s">
        <v>39</v>
      </c>
      <c r="Q349">
        <v>19</v>
      </c>
      <c r="R349">
        <v>1</v>
      </c>
      <c r="S349">
        <v>0</v>
      </c>
      <c r="T349">
        <v>5</v>
      </c>
      <c r="U349">
        <v>3</v>
      </c>
      <c r="V349">
        <v>3</v>
      </c>
      <c r="W349">
        <v>0</v>
      </c>
      <c r="X349">
        <v>0</v>
      </c>
      <c r="Y349">
        <v>0</v>
      </c>
      <c r="Z349">
        <v>0</v>
      </c>
      <c r="AA349">
        <v>0</v>
      </c>
      <c r="AB349" s="1" t="s">
        <v>82</v>
      </c>
      <c r="AC349" t="s">
        <v>46</v>
      </c>
      <c r="AD349" t="s">
        <v>47</v>
      </c>
      <c r="AE349" s="2">
        <v>2976</v>
      </c>
    </row>
    <row r="350" spans="1:31" x14ac:dyDescent="0.35">
      <c r="A350">
        <v>42</v>
      </c>
      <c r="B350" s="1" t="s">
        <v>39</v>
      </c>
      <c r="C350" s="1" t="s">
        <v>40</v>
      </c>
      <c r="D350">
        <v>23</v>
      </c>
      <c r="E350">
        <v>5</v>
      </c>
      <c r="F350" s="1" t="s">
        <v>32</v>
      </c>
      <c r="G350">
        <v>1</v>
      </c>
      <c r="H350" s="1" t="s">
        <v>33</v>
      </c>
      <c r="I350">
        <v>3</v>
      </c>
      <c r="J350">
        <v>4</v>
      </c>
      <c r="K350" s="1" t="s">
        <v>59</v>
      </c>
      <c r="L350">
        <v>4</v>
      </c>
      <c r="M350" s="1" t="s">
        <v>35</v>
      </c>
      <c r="N350">
        <v>15992</v>
      </c>
      <c r="O350">
        <v>2</v>
      </c>
      <c r="P350" s="1" t="s">
        <v>39</v>
      </c>
      <c r="Q350">
        <v>14</v>
      </c>
      <c r="R350">
        <v>2</v>
      </c>
      <c r="S350">
        <v>0</v>
      </c>
      <c r="T350">
        <v>16</v>
      </c>
      <c r="U350">
        <v>2</v>
      </c>
      <c r="V350">
        <v>3</v>
      </c>
      <c r="W350">
        <v>1</v>
      </c>
      <c r="X350">
        <v>0</v>
      </c>
      <c r="Y350">
        <v>0</v>
      </c>
      <c r="Z350">
        <v>0</v>
      </c>
      <c r="AA350">
        <v>0</v>
      </c>
      <c r="AB350" s="1" t="s">
        <v>36</v>
      </c>
      <c r="AC350" t="s">
        <v>56</v>
      </c>
      <c r="AD350" t="s">
        <v>47</v>
      </c>
      <c r="AE350" s="2">
        <v>15992</v>
      </c>
    </row>
    <row r="351" spans="1:31" x14ac:dyDescent="0.35">
      <c r="A351">
        <v>29</v>
      </c>
      <c r="B351" s="1" t="s">
        <v>39</v>
      </c>
      <c r="C351" s="1" t="s">
        <v>31</v>
      </c>
      <c r="D351">
        <v>2</v>
      </c>
      <c r="E351">
        <v>3</v>
      </c>
      <c r="F351" s="1" t="s">
        <v>32</v>
      </c>
      <c r="G351">
        <v>4</v>
      </c>
      <c r="H351" s="1" t="s">
        <v>41</v>
      </c>
      <c r="I351">
        <v>3</v>
      </c>
      <c r="J351">
        <v>2</v>
      </c>
      <c r="K351" s="1" t="s">
        <v>34</v>
      </c>
      <c r="L351">
        <v>3</v>
      </c>
      <c r="M351" s="1" t="s">
        <v>43</v>
      </c>
      <c r="N351">
        <v>4649</v>
      </c>
      <c r="O351">
        <v>1</v>
      </c>
      <c r="P351" s="1" t="s">
        <v>39</v>
      </c>
      <c r="Q351">
        <v>14</v>
      </c>
      <c r="R351">
        <v>1</v>
      </c>
      <c r="S351">
        <v>1</v>
      </c>
      <c r="T351">
        <v>4</v>
      </c>
      <c r="U351">
        <v>3</v>
      </c>
      <c r="V351">
        <v>2</v>
      </c>
      <c r="W351">
        <v>4</v>
      </c>
      <c r="X351">
        <v>3</v>
      </c>
      <c r="Y351">
        <v>0</v>
      </c>
      <c r="Z351">
        <v>2</v>
      </c>
      <c r="AA351">
        <v>0</v>
      </c>
      <c r="AB351" s="1" t="s">
        <v>48</v>
      </c>
      <c r="AC351" t="s">
        <v>37</v>
      </c>
      <c r="AD351" t="s">
        <v>53</v>
      </c>
      <c r="AE351" s="2">
        <v>1162.25</v>
      </c>
    </row>
    <row r="352" spans="1:31" x14ac:dyDescent="0.35">
      <c r="A352">
        <v>42</v>
      </c>
      <c r="B352" s="1" t="s">
        <v>39</v>
      </c>
      <c r="C352" s="1" t="s">
        <v>62</v>
      </c>
      <c r="D352">
        <v>2</v>
      </c>
      <c r="E352">
        <v>1</v>
      </c>
      <c r="F352" s="1" t="s">
        <v>61</v>
      </c>
      <c r="G352">
        <v>3</v>
      </c>
      <c r="H352" s="1" t="s">
        <v>41</v>
      </c>
      <c r="I352">
        <v>3</v>
      </c>
      <c r="J352">
        <v>1</v>
      </c>
      <c r="K352" s="1" t="s">
        <v>62</v>
      </c>
      <c r="L352">
        <v>3</v>
      </c>
      <c r="M352" s="1" t="s">
        <v>50</v>
      </c>
      <c r="N352">
        <v>2696</v>
      </c>
      <c r="O352">
        <v>0</v>
      </c>
      <c r="P352" s="1" t="s">
        <v>30</v>
      </c>
      <c r="Q352">
        <v>11</v>
      </c>
      <c r="R352">
        <v>3</v>
      </c>
      <c r="S352">
        <v>1</v>
      </c>
      <c r="T352">
        <v>4</v>
      </c>
      <c r="U352">
        <v>5</v>
      </c>
      <c r="V352">
        <v>3</v>
      </c>
      <c r="W352">
        <v>3</v>
      </c>
      <c r="X352">
        <v>2</v>
      </c>
      <c r="Y352">
        <v>1</v>
      </c>
      <c r="Z352">
        <v>0</v>
      </c>
      <c r="AA352">
        <v>0</v>
      </c>
      <c r="AB352" s="1" t="s">
        <v>36</v>
      </c>
      <c r="AC352" t="s">
        <v>46</v>
      </c>
      <c r="AD352" t="s">
        <v>53</v>
      </c>
      <c r="AE352" s="2">
        <v>898.66666666666663</v>
      </c>
    </row>
    <row r="353" spans="1:31" x14ac:dyDescent="0.35">
      <c r="A353">
        <v>32</v>
      </c>
      <c r="B353" s="1" t="s">
        <v>39</v>
      </c>
      <c r="C353" s="1" t="s">
        <v>40</v>
      </c>
      <c r="D353">
        <v>2</v>
      </c>
      <c r="E353">
        <v>3</v>
      </c>
      <c r="F353" s="1" t="s">
        <v>49</v>
      </c>
      <c r="G353">
        <v>3</v>
      </c>
      <c r="H353" s="1" t="s">
        <v>33</v>
      </c>
      <c r="I353">
        <v>3</v>
      </c>
      <c r="J353">
        <v>1</v>
      </c>
      <c r="K353" s="1" t="s">
        <v>45</v>
      </c>
      <c r="L353">
        <v>2</v>
      </c>
      <c r="M353" s="1" t="s">
        <v>43</v>
      </c>
      <c r="N353">
        <v>2370</v>
      </c>
      <c r="O353">
        <v>1</v>
      </c>
      <c r="P353" s="1" t="s">
        <v>39</v>
      </c>
      <c r="Q353">
        <v>13</v>
      </c>
      <c r="R353">
        <v>3</v>
      </c>
      <c r="S353">
        <v>1</v>
      </c>
      <c r="T353">
        <v>8</v>
      </c>
      <c r="U353">
        <v>4</v>
      </c>
      <c r="V353">
        <v>3</v>
      </c>
      <c r="W353">
        <v>8</v>
      </c>
      <c r="X353">
        <v>0</v>
      </c>
      <c r="Y353">
        <v>0</v>
      </c>
      <c r="Z353">
        <v>7</v>
      </c>
      <c r="AA353">
        <v>0</v>
      </c>
      <c r="AB353" s="1" t="s">
        <v>48</v>
      </c>
      <c r="AC353" t="s">
        <v>46</v>
      </c>
      <c r="AD353" t="s">
        <v>38</v>
      </c>
      <c r="AE353" s="2">
        <v>296.25</v>
      </c>
    </row>
    <row r="354" spans="1:31" x14ac:dyDescent="0.35">
      <c r="A354">
        <v>48</v>
      </c>
      <c r="B354" s="1" t="s">
        <v>39</v>
      </c>
      <c r="C354" s="1" t="s">
        <v>31</v>
      </c>
      <c r="D354">
        <v>29</v>
      </c>
      <c r="E354">
        <v>1</v>
      </c>
      <c r="F354" s="1" t="s">
        <v>49</v>
      </c>
      <c r="G354">
        <v>1</v>
      </c>
      <c r="H354" s="1" t="s">
        <v>33</v>
      </c>
      <c r="I354">
        <v>3</v>
      </c>
      <c r="J354">
        <v>3</v>
      </c>
      <c r="K354" s="1" t="s">
        <v>55</v>
      </c>
      <c r="L354">
        <v>3</v>
      </c>
      <c r="M354" s="1" t="s">
        <v>43</v>
      </c>
      <c r="N354">
        <v>12504</v>
      </c>
      <c r="O354">
        <v>3</v>
      </c>
      <c r="P354" s="1" t="s">
        <v>39</v>
      </c>
      <c r="Q354">
        <v>21</v>
      </c>
      <c r="R354">
        <v>2</v>
      </c>
      <c r="S354">
        <v>1</v>
      </c>
      <c r="T354">
        <v>15</v>
      </c>
      <c r="U354">
        <v>3</v>
      </c>
      <c r="V354">
        <v>1</v>
      </c>
      <c r="W354">
        <v>0</v>
      </c>
      <c r="X354">
        <v>0</v>
      </c>
      <c r="Y354">
        <v>0</v>
      </c>
      <c r="Z354">
        <v>0</v>
      </c>
      <c r="AA354">
        <v>0</v>
      </c>
      <c r="AB354" s="1" t="s">
        <v>82</v>
      </c>
      <c r="AC354" t="s">
        <v>56</v>
      </c>
      <c r="AD354" t="s">
        <v>47</v>
      </c>
      <c r="AE354" s="2">
        <v>12504</v>
      </c>
    </row>
    <row r="355" spans="1:31" x14ac:dyDescent="0.35">
      <c r="A355">
        <v>37</v>
      </c>
      <c r="B355" s="1" t="s">
        <v>39</v>
      </c>
      <c r="C355" s="1" t="s">
        <v>40</v>
      </c>
      <c r="D355">
        <v>6</v>
      </c>
      <c r="E355">
        <v>3</v>
      </c>
      <c r="F355" s="1" t="s">
        <v>49</v>
      </c>
      <c r="G355">
        <v>3</v>
      </c>
      <c r="H355" s="1" t="s">
        <v>41</v>
      </c>
      <c r="I355">
        <v>4</v>
      </c>
      <c r="J355">
        <v>2</v>
      </c>
      <c r="K355" s="1" t="s">
        <v>42</v>
      </c>
      <c r="L355">
        <v>1</v>
      </c>
      <c r="M355" s="1" t="s">
        <v>50</v>
      </c>
      <c r="N355">
        <v>5974</v>
      </c>
      <c r="O355">
        <v>4</v>
      </c>
      <c r="P355" s="1" t="s">
        <v>30</v>
      </c>
      <c r="Q355">
        <v>13</v>
      </c>
      <c r="R355">
        <v>1</v>
      </c>
      <c r="S355">
        <v>2</v>
      </c>
      <c r="T355">
        <v>13</v>
      </c>
      <c r="U355">
        <v>2</v>
      </c>
      <c r="V355">
        <v>3</v>
      </c>
      <c r="W355">
        <v>7</v>
      </c>
      <c r="X355">
        <v>7</v>
      </c>
      <c r="Y355">
        <v>6</v>
      </c>
      <c r="Z355">
        <v>7</v>
      </c>
      <c r="AA355">
        <v>0</v>
      </c>
      <c r="AB355" s="1" t="s">
        <v>36</v>
      </c>
      <c r="AC355" t="s">
        <v>37</v>
      </c>
      <c r="AD355" t="s">
        <v>38</v>
      </c>
      <c r="AE355" s="2">
        <v>853.42857142857144</v>
      </c>
    </row>
    <row r="356" spans="1:31" x14ac:dyDescent="0.35">
      <c r="A356">
        <v>30</v>
      </c>
      <c r="B356" s="1" t="s">
        <v>39</v>
      </c>
      <c r="C356" s="1" t="s">
        <v>31</v>
      </c>
      <c r="D356">
        <v>25</v>
      </c>
      <c r="E356">
        <v>2</v>
      </c>
      <c r="F356" s="1" t="s">
        <v>61</v>
      </c>
      <c r="G356">
        <v>4</v>
      </c>
      <c r="H356" s="1" t="s">
        <v>33</v>
      </c>
      <c r="I356">
        <v>3</v>
      </c>
      <c r="J356">
        <v>2</v>
      </c>
      <c r="K356" s="1" t="s">
        <v>34</v>
      </c>
      <c r="L356">
        <v>3</v>
      </c>
      <c r="M356" s="1" t="s">
        <v>43</v>
      </c>
      <c r="N356">
        <v>4736</v>
      </c>
      <c r="O356">
        <v>7</v>
      </c>
      <c r="P356" s="1" t="s">
        <v>30</v>
      </c>
      <c r="Q356">
        <v>12</v>
      </c>
      <c r="R356">
        <v>2</v>
      </c>
      <c r="S356">
        <v>1</v>
      </c>
      <c r="T356">
        <v>4</v>
      </c>
      <c r="U356">
        <v>2</v>
      </c>
      <c r="V356">
        <v>4</v>
      </c>
      <c r="W356">
        <v>2</v>
      </c>
      <c r="X356">
        <v>2</v>
      </c>
      <c r="Y356">
        <v>2</v>
      </c>
      <c r="Z356">
        <v>2</v>
      </c>
      <c r="AA356">
        <v>0</v>
      </c>
      <c r="AB356" s="1" t="s">
        <v>48</v>
      </c>
      <c r="AC356" t="s">
        <v>37</v>
      </c>
      <c r="AD356" t="s">
        <v>47</v>
      </c>
      <c r="AE356" s="2">
        <v>2368</v>
      </c>
    </row>
    <row r="357" spans="1:31" x14ac:dyDescent="0.35">
      <c r="A357">
        <v>26</v>
      </c>
      <c r="B357" s="1" t="s">
        <v>39</v>
      </c>
      <c r="C357" s="1" t="s">
        <v>31</v>
      </c>
      <c r="D357">
        <v>1</v>
      </c>
      <c r="E357">
        <v>3</v>
      </c>
      <c r="F357" s="1" t="s">
        <v>32</v>
      </c>
      <c r="G357">
        <v>3</v>
      </c>
      <c r="H357" s="1" t="s">
        <v>41</v>
      </c>
      <c r="I357">
        <v>3</v>
      </c>
      <c r="J357">
        <v>2</v>
      </c>
      <c r="K357" s="1" t="s">
        <v>34</v>
      </c>
      <c r="L357">
        <v>3</v>
      </c>
      <c r="M357" s="1" t="s">
        <v>43</v>
      </c>
      <c r="N357">
        <v>5296</v>
      </c>
      <c r="O357">
        <v>1</v>
      </c>
      <c r="P357" s="1" t="s">
        <v>39</v>
      </c>
      <c r="Q357">
        <v>17</v>
      </c>
      <c r="R357">
        <v>2</v>
      </c>
      <c r="S357">
        <v>1</v>
      </c>
      <c r="T357">
        <v>8</v>
      </c>
      <c r="U357">
        <v>3</v>
      </c>
      <c r="V357">
        <v>3</v>
      </c>
      <c r="W357">
        <v>8</v>
      </c>
      <c r="X357">
        <v>7</v>
      </c>
      <c r="Y357">
        <v>7</v>
      </c>
      <c r="Z357">
        <v>7</v>
      </c>
      <c r="AA357">
        <v>0</v>
      </c>
      <c r="AB357" s="1" t="s">
        <v>48</v>
      </c>
      <c r="AC357" t="s">
        <v>37</v>
      </c>
      <c r="AD357" t="s">
        <v>38</v>
      </c>
      <c r="AE357" s="2">
        <v>662</v>
      </c>
    </row>
    <row r="358" spans="1:31" x14ac:dyDescent="0.35">
      <c r="A358">
        <v>42</v>
      </c>
      <c r="B358" s="1" t="s">
        <v>39</v>
      </c>
      <c r="C358" s="1" t="s">
        <v>40</v>
      </c>
      <c r="D358">
        <v>2</v>
      </c>
      <c r="E358">
        <v>4</v>
      </c>
      <c r="F358" s="1" t="s">
        <v>44</v>
      </c>
      <c r="G358">
        <v>1</v>
      </c>
      <c r="H358" s="1" t="s">
        <v>41</v>
      </c>
      <c r="I358">
        <v>2</v>
      </c>
      <c r="J358">
        <v>2</v>
      </c>
      <c r="K358" s="1" t="s">
        <v>52</v>
      </c>
      <c r="L358">
        <v>4</v>
      </c>
      <c r="M358" s="1" t="s">
        <v>35</v>
      </c>
      <c r="N358">
        <v>6781</v>
      </c>
      <c r="O358">
        <v>3</v>
      </c>
      <c r="P358" s="1" t="s">
        <v>39</v>
      </c>
      <c r="Q358">
        <v>23</v>
      </c>
      <c r="R358">
        <v>2</v>
      </c>
      <c r="S358">
        <v>0</v>
      </c>
      <c r="T358">
        <v>14</v>
      </c>
      <c r="U358">
        <v>6</v>
      </c>
      <c r="V358">
        <v>3</v>
      </c>
      <c r="W358">
        <v>1</v>
      </c>
      <c r="X358">
        <v>0</v>
      </c>
      <c r="Y358">
        <v>0</v>
      </c>
      <c r="Z358">
        <v>0</v>
      </c>
      <c r="AA358">
        <v>0</v>
      </c>
      <c r="AB358" s="1" t="s">
        <v>36</v>
      </c>
      <c r="AC358" t="s">
        <v>37</v>
      </c>
      <c r="AD358" t="s">
        <v>47</v>
      </c>
      <c r="AE358" s="2">
        <v>6781</v>
      </c>
    </row>
    <row r="359" spans="1:31" x14ac:dyDescent="0.35">
      <c r="A359">
        <v>21</v>
      </c>
      <c r="B359" s="1" t="s">
        <v>30</v>
      </c>
      <c r="C359" s="1" t="s">
        <v>31</v>
      </c>
      <c r="D359">
        <v>1</v>
      </c>
      <c r="E359">
        <v>1</v>
      </c>
      <c r="F359" s="1" t="s">
        <v>61</v>
      </c>
      <c r="G359">
        <v>1</v>
      </c>
      <c r="H359" s="1" t="s">
        <v>33</v>
      </c>
      <c r="I359">
        <v>2</v>
      </c>
      <c r="J359">
        <v>1</v>
      </c>
      <c r="K359" s="1" t="s">
        <v>58</v>
      </c>
      <c r="L359">
        <v>2</v>
      </c>
      <c r="M359" s="1" t="s">
        <v>35</v>
      </c>
      <c r="N359">
        <v>2174</v>
      </c>
      <c r="O359">
        <v>1</v>
      </c>
      <c r="P359" s="1" t="s">
        <v>30</v>
      </c>
      <c r="Q359">
        <v>11</v>
      </c>
      <c r="R359">
        <v>3</v>
      </c>
      <c r="S359">
        <v>0</v>
      </c>
      <c r="T359">
        <v>3</v>
      </c>
      <c r="U359">
        <v>3</v>
      </c>
      <c r="V359">
        <v>3</v>
      </c>
      <c r="W359">
        <v>3</v>
      </c>
      <c r="X359">
        <v>2</v>
      </c>
      <c r="Y359">
        <v>1</v>
      </c>
      <c r="Z359">
        <v>2</v>
      </c>
      <c r="AA359">
        <v>1</v>
      </c>
      <c r="AB359" s="1" t="s">
        <v>54</v>
      </c>
      <c r="AC359" t="s">
        <v>46</v>
      </c>
      <c r="AD359" t="s">
        <v>53</v>
      </c>
      <c r="AE359" s="2">
        <v>724.66666666666663</v>
      </c>
    </row>
    <row r="360" spans="1:31" x14ac:dyDescent="0.35">
      <c r="A360">
        <v>36</v>
      </c>
      <c r="B360" s="1" t="s">
        <v>39</v>
      </c>
      <c r="C360" s="1" t="s">
        <v>31</v>
      </c>
      <c r="D360">
        <v>1</v>
      </c>
      <c r="E360">
        <v>5</v>
      </c>
      <c r="F360" s="1" t="s">
        <v>49</v>
      </c>
      <c r="G360">
        <v>4</v>
      </c>
      <c r="H360" s="1" t="s">
        <v>33</v>
      </c>
      <c r="I360">
        <v>3</v>
      </c>
      <c r="J360">
        <v>2</v>
      </c>
      <c r="K360" s="1" t="s">
        <v>34</v>
      </c>
      <c r="L360">
        <v>4</v>
      </c>
      <c r="M360" s="1" t="s">
        <v>35</v>
      </c>
      <c r="N360">
        <v>6653</v>
      </c>
      <c r="O360">
        <v>4</v>
      </c>
      <c r="P360" s="1" t="s">
        <v>39</v>
      </c>
      <c r="Q360">
        <v>15</v>
      </c>
      <c r="R360">
        <v>2</v>
      </c>
      <c r="S360">
        <v>0</v>
      </c>
      <c r="T360">
        <v>7</v>
      </c>
      <c r="U360">
        <v>6</v>
      </c>
      <c r="V360">
        <v>3</v>
      </c>
      <c r="W360">
        <v>1</v>
      </c>
      <c r="X360">
        <v>0</v>
      </c>
      <c r="Y360">
        <v>0</v>
      </c>
      <c r="Z360">
        <v>0</v>
      </c>
      <c r="AA360">
        <v>0</v>
      </c>
      <c r="AB360" s="1" t="s">
        <v>36</v>
      </c>
      <c r="AC360" t="s">
        <v>37</v>
      </c>
      <c r="AD360" t="s">
        <v>47</v>
      </c>
      <c r="AE360" s="2">
        <v>6653</v>
      </c>
    </row>
    <row r="361" spans="1:31" x14ac:dyDescent="0.35">
      <c r="A361">
        <v>36</v>
      </c>
      <c r="B361" s="1" t="s">
        <v>39</v>
      </c>
      <c r="C361" s="1" t="s">
        <v>31</v>
      </c>
      <c r="D361">
        <v>3</v>
      </c>
      <c r="E361">
        <v>4</v>
      </c>
      <c r="F361" s="1" t="s">
        <v>49</v>
      </c>
      <c r="G361">
        <v>1</v>
      </c>
      <c r="H361" s="1" t="s">
        <v>41</v>
      </c>
      <c r="I361">
        <v>2</v>
      </c>
      <c r="J361">
        <v>3</v>
      </c>
      <c r="K361" s="1" t="s">
        <v>34</v>
      </c>
      <c r="L361">
        <v>4</v>
      </c>
      <c r="M361" s="1" t="s">
        <v>43</v>
      </c>
      <c r="N361">
        <v>9699</v>
      </c>
      <c r="O361">
        <v>4</v>
      </c>
      <c r="P361" s="1" t="s">
        <v>39</v>
      </c>
      <c r="Q361">
        <v>11</v>
      </c>
      <c r="R361">
        <v>1</v>
      </c>
      <c r="S361">
        <v>1</v>
      </c>
      <c r="T361">
        <v>16</v>
      </c>
      <c r="U361">
        <v>2</v>
      </c>
      <c r="V361">
        <v>3</v>
      </c>
      <c r="W361">
        <v>13</v>
      </c>
      <c r="X361">
        <v>9</v>
      </c>
      <c r="Y361">
        <v>1</v>
      </c>
      <c r="Z361">
        <v>12</v>
      </c>
      <c r="AA361">
        <v>0</v>
      </c>
      <c r="AB361" s="1" t="s">
        <v>36</v>
      </c>
      <c r="AC361" t="s">
        <v>37</v>
      </c>
      <c r="AD361" t="s">
        <v>57</v>
      </c>
      <c r="AE361" s="2">
        <v>746.07692307692309</v>
      </c>
    </row>
    <row r="362" spans="1:31" x14ac:dyDescent="0.35">
      <c r="A362">
        <v>57</v>
      </c>
      <c r="B362" s="1" t="s">
        <v>39</v>
      </c>
      <c r="C362" s="1" t="s">
        <v>40</v>
      </c>
      <c r="D362">
        <v>1</v>
      </c>
      <c r="E362">
        <v>4</v>
      </c>
      <c r="F362" s="1" t="s">
        <v>49</v>
      </c>
      <c r="G362">
        <v>4</v>
      </c>
      <c r="H362" s="1" t="s">
        <v>41</v>
      </c>
      <c r="I362">
        <v>3</v>
      </c>
      <c r="J362">
        <v>2</v>
      </c>
      <c r="K362" s="1" t="s">
        <v>52</v>
      </c>
      <c r="L362">
        <v>3</v>
      </c>
      <c r="M362" s="1" t="s">
        <v>43</v>
      </c>
      <c r="N362">
        <v>6755</v>
      </c>
      <c r="O362">
        <v>2</v>
      </c>
      <c r="P362" s="1" t="s">
        <v>39</v>
      </c>
      <c r="Q362">
        <v>11</v>
      </c>
      <c r="R362">
        <v>3</v>
      </c>
      <c r="S362">
        <v>0</v>
      </c>
      <c r="T362">
        <v>15</v>
      </c>
      <c r="U362">
        <v>2</v>
      </c>
      <c r="V362">
        <v>3</v>
      </c>
      <c r="W362">
        <v>3</v>
      </c>
      <c r="X362">
        <v>2</v>
      </c>
      <c r="Y362">
        <v>1</v>
      </c>
      <c r="Z362">
        <v>2</v>
      </c>
      <c r="AA362">
        <v>0</v>
      </c>
      <c r="AB362" s="1" t="s">
        <v>82</v>
      </c>
      <c r="AC362" t="s">
        <v>37</v>
      </c>
      <c r="AD362" t="s">
        <v>53</v>
      </c>
      <c r="AE362" s="2">
        <v>2251.6666666666665</v>
      </c>
    </row>
    <row r="363" spans="1:31" x14ac:dyDescent="0.35">
      <c r="A363">
        <v>40</v>
      </c>
      <c r="B363" s="1" t="s">
        <v>39</v>
      </c>
      <c r="C363" s="1" t="s">
        <v>40</v>
      </c>
      <c r="D363">
        <v>10</v>
      </c>
      <c r="E363">
        <v>4</v>
      </c>
      <c r="F363" s="1" t="s">
        <v>32</v>
      </c>
      <c r="G363">
        <v>4</v>
      </c>
      <c r="H363" s="1" t="s">
        <v>33</v>
      </c>
      <c r="I363">
        <v>4</v>
      </c>
      <c r="J363">
        <v>1</v>
      </c>
      <c r="K363" s="1" t="s">
        <v>45</v>
      </c>
      <c r="L363">
        <v>3</v>
      </c>
      <c r="M363" s="1" t="s">
        <v>43</v>
      </c>
      <c r="N363">
        <v>2213</v>
      </c>
      <c r="O363">
        <v>3</v>
      </c>
      <c r="P363" s="1" t="s">
        <v>30</v>
      </c>
      <c r="Q363">
        <v>13</v>
      </c>
      <c r="R363">
        <v>3</v>
      </c>
      <c r="S363">
        <v>1</v>
      </c>
      <c r="T363">
        <v>10</v>
      </c>
      <c r="U363">
        <v>3</v>
      </c>
      <c r="V363">
        <v>3</v>
      </c>
      <c r="W363">
        <v>7</v>
      </c>
      <c r="X363">
        <v>7</v>
      </c>
      <c r="Y363">
        <v>1</v>
      </c>
      <c r="Z363">
        <v>7</v>
      </c>
      <c r="AA363">
        <v>0</v>
      </c>
      <c r="AB363" s="1" t="s">
        <v>36</v>
      </c>
      <c r="AC363" t="s">
        <v>46</v>
      </c>
      <c r="AD363" t="s">
        <v>38</v>
      </c>
      <c r="AE363" s="2">
        <v>316.14285714285717</v>
      </c>
    </row>
    <row r="364" spans="1:31" x14ac:dyDescent="0.35">
      <c r="A364">
        <v>21</v>
      </c>
      <c r="B364" s="1" t="s">
        <v>39</v>
      </c>
      <c r="C364" s="1" t="s">
        <v>31</v>
      </c>
      <c r="D364">
        <v>9</v>
      </c>
      <c r="E364">
        <v>2</v>
      </c>
      <c r="F364" s="1" t="s">
        <v>49</v>
      </c>
      <c r="G364">
        <v>1</v>
      </c>
      <c r="H364" s="1" t="s">
        <v>41</v>
      </c>
      <c r="I364">
        <v>3</v>
      </c>
      <c r="J364">
        <v>1</v>
      </c>
      <c r="K364" s="1" t="s">
        <v>58</v>
      </c>
      <c r="L364">
        <v>4</v>
      </c>
      <c r="M364" s="1" t="s">
        <v>35</v>
      </c>
      <c r="N364">
        <v>2610</v>
      </c>
      <c r="O364">
        <v>1</v>
      </c>
      <c r="P364" s="1" t="s">
        <v>39</v>
      </c>
      <c r="Q364">
        <v>24</v>
      </c>
      <c r="R364">
        <v>3</v>
      </c>
      <c r="S364">
        <v>0</v>
      </c>
      <c r="T364">
        <v>3</v>
      </c>
      <c r="U364">
        <v>3</v>
      </c>
      <c r="V364">
        <v>2</v>
      </c>
      <c r="W364">
        <v>3</v>
      </c>
      <c r="X364">
        <v>2</v>
      </c>
      <c r="Y364">
        <v>2</v>
      </c>
      <c r="Z364">
        <v>2</v>
      </c>
      <c r="AA364">
        <v>0</v>
      </c>
      <c r="AB364" s="1" t="s">
        <v>54</v>
      </c>
      <c r="AC364" t="s">
        <v>46</v>
      </c>
      <c r="AD364" t="s">
        <v>53</v>
      </c>
      <c r="AE364" s="2">
        <v>870</v>
      </c>
    </row>
    <row r="365" spans="1:31" x14ac:dyDescent="0.35">
      <c r="A365">
        <v>33</v>
      </c>
      <c r="B365" s="1" t="s">
        <v>30</v>
      </c>
      <c r="C365" s="1" t="s">
        <v>31</v>
      </c>
      <c r="D365">
        <v>5</v>
      </c>
      <c r="E365">
        <v>3</v>
      </c>
      <c r="F365" s="1" t="s">
        <v>60</v>
      </c>
      <c r="G365">
        <v>4</v>
      </c>
      <c r="H365" s="1" t="s">
        <v>33</v>
      </c>
      <c r="I365">
        <v>3</v>
      </c>
      <c r="J365">
        <v>1</v>
      </c>
      <c r="K365" s="1" t="s">
        <v>58</v>
      </c>
      <c r="L365">
        <v>3</v>
      </c>
      <c r="M365" s="1" t="s">
        <v>35</v>
      </c>
      <c r="N365">
        <v>2851</v>
      </c>
      <c r="O365">
        <v>1</v>
      </c>
      <c r="P365" s="1" t="s">
        <v>30</v>
      </c>
      <c r="Q365">
        <v>13</v>
      </c>
      <c r="R365">
        <v>2</v>
      </c>
      <c r="S365">
        <v>0</v>
      </c>
      <c r="T365">
        <v>1</v>
      </c>
      <c r="U365">
        <v>2</v>
      </c>
      <c r="V365">
        <v>3</v>
      </c>
      <c r="W365">
        <v>1</v>
      </c>
      <c r="X365">
        <v>0</v>
      </c>
      <c r="Y365">
        <v>0</v>
      </c>
      <c r="Z365">
        <v>0</v>
      </c>
      <c r="AA365">
        <v>1</v>
      </c>
      <c r="AB365" s="1" t="s">
        <v>48</v>
      </c>
      <c r="AC365" t="s">
        <v>46</v>
      </c>
      <c r="AD365" t="s">
        <v>47</v>
      </c>
      <c r="AE365" s="2">
        <v>2851</v>
      </c>
    </row>
    <row r="366" spans="1:31" x14ac:dyDescent="0.35">
      <c r="A366">
        <v>37</v>
      </c>
      <c r="B366" s="1" t="s">
        <v>39</v>
      </c>
      <c r="C366" s="1" t="s">
        <v>40</v>
      </c>
      <c r="D366">
        <v>10</v>
      </c>
      <c r="E366">
        <v>3</v>
      </c>
      <c r="F366" s="1" t="s">
        <v>49</v>
      </c>
      <c r="G366">
        <v>3</v>
      </c>
      <c r="H366" s="1" t="s">
        <v>33</v>
      </c>
      <c r="I366">
        <v>3</v>
      </c>
      <c r="J366">
        <v>1</v>
      </c>
      <c r="K366" s="1" t="s">
        <v>45</v>
      </c>
      <c r="L366">
        <v>1</v>
      </c>
      <c r="M366" s="1" t="s">
        <v>43</v>
      </c>
      <c r="N366">
        <v>3452</v>
      </c>
      <c r="O366">
        <v>6</v>
      </c>
      <c r="P366" s="1" t="s">
        <v>39</v>
      </c>
      <c r="Q366">
        <v>20</v>
      </c>
      <c r="R366">
        <v>2</v>
      </c>
      <c r="S366">
        <v>1</v>
      </c>
      <c r="T366">
        <v>17</v>
      </c>
      <c r="U366">
        <v>3</v>
      </c>
      <c r="V366">
        <v>3</v>
      </c>
      <c r="W366">
        <v>5</v>
      </c>
      <c r="X366">
        <v>4</v>
      </c>
      <c r="Y366">
        <v>0</v>
      </c>
      <c r="Z366">
        <v>3</v>
      </c>
      <c r="AA366">
        <v>0</v>
      </c>
      <c r="AB366" s="1" t="s">
        <v>36</v>
      </c>
      <c r="AC366" t="s">
        <v>46</v>
      </c>
      <c r="AD366" t="s">
        <v>53</v>
      </c>
      <c r="AE366" s="2">
        <v>690.4</v>
      </c>
    </row>
    <row r="367" spans="1:31" x14ac:dyDescent="0.35">
      <c r="A367">
        <v>46</v>
      </c>
      <c r="B367" s="1" t="s">
        <v>39</v>
      </c>
      <c r="C367" s="1" t="s">
        <v>40</v>
      </c>
      <c r="D367">
        <v>7</v>
      </c>
      <c r="E367">
        <v>4</v>
      </c>
      <c r="F367" s="1" t="s">
        <v>49</v>
      </c>
      <c r="G367">
        <v>3</v>
      </c>
      <c r="H367" s="1" t="s">
        <v>33</v>
      </c>
      <c r="I367">
        <v>3</v>
      </c>
      <c r="J367">
        <v>2</v>
      </c>
      <c r="K367" s="1" t="s">
        <v>51</v>
      </c>
      <c r="L367">
        <v>3</v>
      </c>
      <c r="M367" s="1" t="s">
        <v>43</v>
      </c>
      <c r="N367">
        <v>5258</v>
      </c>
      <c r="O367">
        <v>2</v>
      </c>
      <c r="P367" s="1" t="s">
        <v>39</v>
      </c>
      <c r="Q367">
        <v>14</v>
      </c>
      <c r="R367">
        <v>3</v>
      </c>
      <c r="S367">
        <v>0</v>
      </c>
      <c r="T367">
        <v>7</v>
      </c>
      <c r="U367">
        <v>2</v>
      </c>
      <c r="V367">
        <v>4</v>
      </c>
      <c r="W367">
        <v>1</v>
      </c>
      <c r="X367">
        <v>0</v>
      </c>
      <c r="Y367">
        <v>0</v>
      </c>
      <c r="Z367">
        <v>0</v>
      </c>
      <c r="AA367">
        <v>0</v>
      </c>
      <c r="AB367" s="1" t="s">
        <v>82</v>
      </c>
      <c r="AC367" t="s">
        <v>37</v>
      </c>
      <c r="AD367" t="s">
        <v>47</v>
      </c>
      <c r="AE367" s="2">
        <v>5258</v>
      </c>
    </row>
    <row r="368" spans="1:31" x14ac:dyDescent="0.35">
      <c r="A368">
        <v>41</v>
      </c>
      <c r="B368" s="1" t="s">
        <v>30</v>
      </c>
      <c r="C368" s="1" t="s">
        <v>31</v>
      </c>
      <c r="D368">
        <v>4</v>
      </c>
      <c r="E368">
        <v>3</v>
      </c>
      <c r="F368" s="1" t="s">
        <v>60</v>
      </c>
      <c r="G368">
        <v>1</v>
      </c>
      <c r="H368" s="1" t="s">
        <v>41</v>
      </c>
      <c r="I368">
        <v>3</v>
      </c>
      <c r="J368">
        <v>2</v>
      </c>
      <c r="K368" s="1" t="s">
        <v>34</v>
      </c>
      <c r="L368">
        <v>2</v>
      </c>
      <c r="M368" s="1" t="s">
        <v>35</v>
      </c>
      <c r="N368">
        <v>9355</v>
      </c>
      <c r="O368">
        <v>1</v>
      </c>
      <c r="P368" s="1" t="s">
        <v>39</v>
      </c>
      <c r="Q368">
        <v>18</v>
      </c>
      <c r="R368">
        <v>3</v>
      </c>
      <c r="S368">
        <v>0</v>
      </c>
      <c r="T368">
        <v>8</v>
      </c>
      <c r="U368">
        <v>5</v>
      </c>
      <c r="V368">
        <v>3</v>
      </c>
      <c r="W368">
        <v>8</v>
      </c>
      <c r="X368">
        <v>7</v>
      </c>
      <c r="Y368">
        <v>7</v>
      </c>
      <c r="Z368">
        <v>7</v>
      </c>
      <c r="AA368">
        <v>1</v>
      </c>
      <c r="AB368" s="1" t="s">
        <v>36</v>
      </c>
      <c r="AC368" t="s">
        <v>37</v>
      </c>
      <c r="AD368" t="s">
        <v>38</v>
      </c>
      <c r="AE368" s="2">
        <v>1169.375</v>
      </c>
    </row>
    <row r="369" spans="1:31" x14ac:dyDescent="0.35">
      <c r="A369">
        <v>50</v>
      </c>
      <c r="B369" s="1" t="s">
        <v>39</v>
      </c>
      <c r="C369" s="1" t="s">
        <v>40</v>
      </c>
      <c r="D369">
        <v>10</v>
      </c>
      <c r="E369">
        <v>3</v>
      </c>
      <c r="F369" s="1" t="s">
        <v>61</v>
      </c>
      <c r="G369">
        <v>4</v>
      </c>
      <c r="H369" s="1" t="s">
        <v>41</v>
      </c>
      <c r="I369">
        <v>2</v>
      </c>
      <c r="J369">
        <v>3</v>
      </c>
      <c r="K369" s="1" t="s">
        <v>52</v>
      </c>
      <c r="L369">
        <v>4</v>
      </c>
      <c r="M369" s="1" t="s">
        <v>35</v>
      </c>
      <c r="N369">
        <v>10496</v>
      </c>
      <c r="O369">
        <v>6</v>
      </c>
      <c r="P369" s="1" t="s">
        <v>39</v>
      </c>
      <c r="Q369">
        <v>15</v>
      </c>
      <c r="R369">
        <v>4</v>
      </c>
      <c r="S369">
        <v>0</v>
      </c>
      <c r="T369">
        <v>20</v>
      </c>
      <c r="U369">
        <v>2</v>
      </c>
      <c r="V369">
        <v>3</v>
      </c>
      <c r="W369">
        <v>4</v>
      </c>
      <c r="X369">
        <v>3</v>
      </c>
      <c r="Y369">
        <v>1</v>
      </c>
      <c r="Z369">
        <v>3</v>
      </c>
      <c r="AA369">
        <v>0</v>
      </c>
      <c r="AB369" s="1" t="s">
        <v>82</v>
      </c>
      <c r="AC369" t="s">
        <v>56</v>
      </c>
      <c r="AD369" t="s">
        <v>53</v>
      </c>
      <c r="AE369" s="2">
        <v>2624</v>
      </c>
    </row>
    <row r="370" spans="1:31" x14ac:dyDescent="0.35">
      <c r="A370">
        <v>40</v>
      </c>
      <c r="B370" s="1" t="s">
        <v>30</v>
      </c>
      <c r="C370" s="1" t="s">
        <v>31</v>
      </c>
      <c r="D370">
        <v>22</v>
      </c>
      <c r="E370">
        <v>2</v>
      </c>
      <c r="F370" s="1" t="s">
        <v>60</v>
      </c>
      <c r="G370">
        <v>3</v>
      </c>
      <c r="H370" s="1" t="s">
        <v>41</v>
      </c>
      <c r="I370">
        <v>2</v>
      </c>
      <c r="J370">
        <v>2</v>
      </c>
      <c r="K370" s="1" t="s">
        <v>34</v>
      </c>
      <c r="L370">
        <v>3</v>
      </c>
      <c r="M370" s="1" t="s">
        <v>43</v>
      </c>
      <c r="N370">
        <v>6380</v>
      </c>
      <c r="O370">
        <v>2</v>
      </c>
      <c r="P370" s="1" t="s">
        <v>30</v>
      </c>
      <c r="Q370">
        <v>12</v>
      </c>
      <c r="R370">
        <v>1</v>
      </c>
      <c r="S370">
        <v>2</v>
      </c>
      <c r="T370">
        <v>8</v>
      </c>
      <c r="U370">
        <v>6</v>
      </c>
      <c r="V370">
        <v>3</v>
      </c>
      <c r="W370">
        <v>6</v>
      </c>
      <c r="X370">
        <v>4</v>
      </c>
      <c r="Y370">
        <v>1</v>
      </c>
      <c r="Z370">
        <v>0</v>
      </c>
      <c r="AA370">
        <v>1</v>
      </c>
      <c r="AB370" s="1" t="s">
        <v>36</v>
      </c>
      <c r="AC370" t="s">
        <v>37</v>
      </c>
      <c r="AD370" t="s">
        <v>38</v>
      </c>
      <c r="AE370" s="2">
        <v>1063.3333333333333</v>
      </c>
    </row>
    <row r="371" spans="1:31" x14ac:dyDescent="0.35">
      <c r="A371">
        <v>31</v>
      </c>
      <c r="B371" s="1" t="s">
        <v>39</v>
      </c>
      <c r="C371" s="1" t="s">
        <v>40</v>
      </c>
      <c r="D371">
        <v>9</v>
      </c>
      <c r="E371">
        <v>4</v>
      </c>
      <c r="F371" s="1" t="s">
        <v>32</v>
      </c>
      <c r="G371">
        <v>3</v>
      </c>
      <c r="H371" s="1" t="s">
        <v>41</v>
      </c>
      <c r="I371">
        <v>2</v>
      </c>
      <c r="J371">
        <v>1</v>
      </c>
      <c r="K371" s="1" t="s">
        <v>42</v>
      </c>
      <c r="L371">
        <v>2</v>
      </c>
      <c r="M371" s="1" t="s">
        <v>35</v>
      </c>
      <c r="N371">
        <v>2657</v>
      </c>
      <c r="O371">
        <v>0</v>
      </c>
      <c r="P371" s="1" t="s">
        <v>30</v>
      </c>
      <c r="Q371">
        <v>16</v>
      </c>
      <c r="R371">
        <v>4</v>
      </c>
      <c r="S371">
        <v>0</v>
      </c>
      <c r="T371">
        <v>3</v>
      </c>
      <c r="U371">
        <v>5</v>
      </c>
      <c r="V371">
        <v>3</v>
      </c>
      <c r="W371">
        <v>2</v>
      </c>
      <c r="X371">
        <v>2</v>
      </c>
      <c r="Y371">
        <v>2</v>
      </c>
      <c r="Z371">
        <v>2</v>
      </c>
      <c r="AA371">
        <v>0</v>
      </c>
      <c r="AB371" s="1" t="s">
        <v>48</v>
      </c>
      <c r="AC371" t="s">
        <v>46</v>
      </c>
      <c r="AD371" t="s">
        <v>47</v>
      </c>
      <c r="AE371" s="2">
        <v>1328.5</v>
      </c>
    </row>
    <row r="372" spans="1:31" x14ac:dyDescent="0.35">
      <c r="A372">
        <v>21</v>
      </c>
      <c r="B372" s="1" t="s">
        <v>30</v>
      </c>
      <c r="C372" s="1" t="s">
        <v>31</v>
      </c>
      <c r="D372">
        <v>12</v>
      </c>
      <c r="E372">
        <v>3</v>
      </c>
      <c r="F372" s="1" t="s">
        <v>32</v>
      </c>
      <c r="G372">
        <v>3</v>
      </c>
      <c r="H372" s="1" t="s">
        <v>33</v>
      </c>
      <c r="I372">
        <v>4</v>
      </c>
      <c r="J372">
        <v>1</v>
      </c>
      <c r="K372" s="1" t="s">
        <v>58</v>
      </c>
      <c r="L372">
        <v>2</v>
      </c>
      <c r="M372" s="1" t="s">
        <v>35</v>
      </c>
      <c r="N372">
        <v>2716</v>
      </c>
      <c r="O372">
        <v>1</v>
      </c>
      <c r="P372" s="1" t="s">
        <v>39</v>
      </c>
      <c r="Q372">
        <v>15</v>
      </c>
      <c r="R372">
        <v>4</v>
      </c>
      <c r="S372">
        <v>0</v>
      </c>
      <c r="T372">
        <v>1</v>
      </c>
      <c r="U372">
        <v>0</v>
      </c>
      <c r="V372">
        <v>3</v>
      </c>
      <c r="W372">
        <v>1</v>
      </c>
      <c r="X372">
        <v>0</v>
      </c>
      <c r="Y372">
        <v>0</v>
      </c>
      <c r="Z372">
        <v>0</v>
      </c>
      <c r="AA372">
        <v>1</v>
      </c>
      <c r="AB372" s="1" t="s">
        <v>54</v>
      </c>
      <c r="AC372" t="s">
        <v>46</v>
      </c>
      <c r="AD372" t="s">
        <v>47</v>
      </c>
      <c r="AE372" s="2">
        <v>2716</v>
      </c>
    </row>
    <row r="373" spans="1:31" x14ac:dyDescent="0.35">
      <c r="A373">
        <v>29</v>
      </c>
      <c r="B373" s="1" t="s">
        <v>39</v>
      </c>
      <c r="C373" s="1" t="s">
        <v>40</v>
      </c>
      <c r="D373">
        <v>23</v>
      </c>
      <c r="E373">
        <v>3</v>
      </c>
      <c r="F373" s="1" t="s">
        <v>32</v>
      </c>
      <c r="G373">
        <v>4</v>
      </c>
      <c r="H373" s="1" t="s">
        <v>41</v>
      </c>
      <c r="I373">
        <v>3</v>
      </c>
      <c r="J373">
        <v>1</v>
      </c>
      <c r="K373" s="1" t="s">
        <v>42</v>
      </c>
      <c r="L373">
        <v>4</v>
      </c>
      <c r="M373" s="1" t="s">
        <v>35</v>
      </c>
      <c r="N373">
        <v>2201</v>
      </c>
      <c r="O373">
        <v>9</v>
      </c>
      <c r="P373" s="1" t="s">
        <v>39</v>
      </c>
      <c r="Q373">
        <v>16</v>
      </c>
      <c r="R373">
        <v>4</v>
      </c>
      <c r="S373">
        <v>0</v>
      </c>
      <c r="T373">
        <v>6</v>
      </c>
      <c r="U373">
        <v>4</v>
      </c>
      <c r="V373">
        <v>3</v>
      </c>
      <c r="W373">
        <v>3</v>
      </c>
      <c r="X373">
        <v>2</v>
      </c>
      <c r="Y373">
        <v>1</v>
      </c>
      <c r="Z373">
        <v>2</v>
      </c>
      <c r="AA373">
        <v>0</v>
      </c>
      <c r="AB373" s="1" t="s">
        <v>48</v>
      </c>
      <c r="AC373" t="s">
        <v>46</v>
      </c>
      <c r="AD373" t="s">
        <v>53</v>
      </c>
      <c r="AE373" s="2">
        <v>733.66666666666663</v>
      </c>
    </row>
    <row r="374" spans="1:31" x14ac:dyDescent="0.35">
      <c r="A374">
        <v>35</v>
      </c>
      <c r="B374" s="1" t="s">
        <v>39</v>
      </c>
      <c r="C374" s="1" t="s">
        <v>40</v>
      </c>
      <c r="D374">
        <v>9</v>
      </c>
      <c r="E374">
        <v>4</v>
      </c>
      <c r="F374" s="1" t="s">
        <v>32</v>
      </c>
      <c r="G374">
        <v>3</v>
      </c>
      <c r="H374" s="1" t="s">
        <v>41</v>
      </c>
      <c r="I374">
        <v>2</v>
      </c>
      <c r="J374">
        <v>2</v>
      </c>
      <c r="K374" s="1" t="s">
        <v>52</v>
      </c>
      <c r="L374">
        <v>2</v>
      </c>
      <c r="M374" s="1" t="s">
        <v>35</v>
      </c>
      <c r="N374">
        <v>6540</v>
      </c>
      <c r="O374">
        <v>9</v>
      </c>
      <c r="P374" s="1" t="s">
        <v>39</v>
      </c>
      <c r="Q374">
        <v>19</v>
      </c>
      <c r="R374">
        <v>3</v>
      </c>
      <c r="S374">
        <v>0</v>
      </c>
      <c r="T374">
        <v>10</v>
      </c>
      <c r="U374">
        <v>5</v>
      </c>
      <c r="V374">
        <v>3</v>
      </c>
      <c r="W374">
        <v>1</v>
      </c>
      <c r="X374">
        <v>1</v>
      </c>
      <c r="Y374">
        <v>0</v>
      </c>
      <c r="Z374">
        <v>0</v>
      </c>
      <c r="AA374">
        <v>0</v>
      </c>
      <c r="AB374" s="1" t="s">
        <v>48</v>
      </c>
      <c r="AC374" t="s">
        <v>37</v>
      </c>
      <c r="AD374" t="s">
        <v>47</v>
      </c>
      <c r="AE374" s="2">
        <v>6540</v>
      </c>
    </row>
    <row r="375" spans="1:31" x14ac:dyDescent="0.35">
      <c r="A375">
        <v>27</v>
      </c>
      <c r="B375" s="1" t="s">
        <v>39</v>
      </c>
      <c r="C375" s="1" t="s">
        <v>40</v>
      </c>
      <c r="D375">
        <v>1</v>
      </c>
      <c r="E375">
        <v>2</v>
      </c>
      <c r="F375" s="1" t="s">
        <v>49</v>
      </c>
      <c r="G375">
        <v>4</v>
      </c>
      <c r="H375" s="1" t="s">
        <v>41</v>
      </c>
      <c r="I375">
        <v>3</v>
      </c>
      <c r="J375">
        <v>1</v>
      </c>
      <c r="K375" s="1" t="s">
        <v>45</v>
      </c>
      <c r="L375">
        <v>2</v>
      </c>
      <c r="M375" s="1" t="s">
        <v>50</v>
      </c>
      <c r="N375">
        <v>3816</v>
      </c>
      <c r="O375">
        <v>1</v>
      </c>
      <c r="P375" s="1" t="s">
        <v>39</v>
      </c>
      <c r="Q375">
        <v>11</v>
      </c>
      <c r="R375">
        <v>2</v>
      </c>
      <c r="S375">
        <v>1</v>
      </c>
      <c r="T375">
        <v>5</v>
      </c>
      <c r="U375">
        <v>2</v>
      </c>
      <c r="V375">
        <v>3</v>
      </c>
      <c r="W375">
        <v>5</v>
      </c>
      <c r="X375">
        <v>2</v>
      </c>
      <c r="Y375">
        <v>0</v>
      </c>
      <c r="Z375">
        <v>4</v>
      </c>
      <c r="AA375">
        <v>0</v>
      </c>
      <c r="AB375" s="1" t="s">
        <v>48</v>
      </c>
      <c r="AC375" t="s">
        <v>46</v>
      </c>
      <c r="AD375" t="s">
        <v>53</v>
      </c>
      <c r="AE375" s="2">
        <v>763.2</v>
      </c>
    </row>
    <row r="376" spans="1:31" x14ac:dyDescent="0.35">
      <c r="A376">
        <v>28</v>
      </c>
      <c r="B376" s="1" t="s">
        <v>39</v>
      </c>
      <c r="C376" s="1" t="s">
        <v>31</v>
      </c>
      <c r="D376">
        <v>9</v>
      </c>
      <c r="E376">
        <v>4</v>
      </c>
      <c r="F376" s="1" t="s">
        <v>32</v>
      </c>
      <c r="G376">
        <v>2</v>
      </c>
      <c r="H376" s="1" t="s">
        <v>41</v>
      </c>
      <c r="I376">
        <v>3</v>
      </c>
      <c r="J376">
        <v>2</v>
      </c>
      <c r="K376" s="1" t="s">
        <v>34</v>
      </c>
      <c r="L376">
        <v>4</v>
      </c>
      <c r="M376" s="1" t="s">
        <v>35</v>
      </c>
      <c r="N376">
        <v>5253</v>
      </c>
      <c r="O376">
        <v>1</v>
      </c>
      <c r="P376" s="1" t="s">
        <v>39</v>
      </c>
      <c r="Q376">
        <v>16</v>
      </c>
      <c r="R376">
        <v>4</v>
      </c>
      <c r="S376">
        <v>0</v>
      </c>
      <c r="T376">
        <v>7</v>
      </c>
      <c r="U376">
        <v>1</v>
      </c>
      <c r="V376">
        <v>3</v>
      </c>
      <c r="W376">
        <v>7</v>
      </c>
      <c r="X376">
        <v>5</v>
      </c>
      <c r="Y376">
        <v>0</v>
      </c>
      <c r="Z376">
        <v>7</v>
      </c>
      <c r="AA376">
        <v>0</v>
      </c>
      <c r="AB376" s="1" t="s">
        <v>48</v>
      </c>
      <c r="AC376" t="s">
        <v>37</v>
      </c>
      <c r="AD376" t="s">
        <v>38</v>
      </c>
      <c r="AE376" s="2">
        <v>750.42857142857144</v>
      </c>
    </row>
    <row r="377" spans="1:31" x14ac:dyDescent="0.35">
      <c r="A377">
        <v>49</v>
      </c>
      <c r="B377" s="1" t="s">
        <v>39</v>
      </c>
      <c r="C377" s="1" t="s">
        <v>40</v>
      </c>
      <c r="D377">
        <v>7</v>
      </c>
      <c r="E377">
        <v>3</v>
      </c>
      <c r="F377" s="1" t="s">
        <v>44</v>
      </c>
      <c r="G377">
        <v>2</v>
      </c>
      <c r="H377" s="1" t="s">
        <v>41</v>
      </c>
      <c r="I377">
        <v>2</v>
      </c>
      <c r="J377">
        <v>3</v>
      </c>
      <c r="K377" s="1" t="s">
        <v>52</v>
      </c>
      <c r="L377">
        <v>3</v>
      </c>
      <c r="M377" s="1" t="s">
        <v>35</v>
      </c>
      <c r="N377">
        <v>10965</v>
      </c>
      <c r="O377">
        <v>8</v>
      </c>
      <c r="P377" s="1" t="s">
        <v>39</v>
      </c>
      <c r="Q377">
        <v>24</v>
      </c>
      <c r="R377">
        <v>3</v>
      </c>
      <c r="S377">
        <v>0</v>
      </c>
      <c r="T377">
        <v>26</v>
      </c>
      <c r="U377">
        <v>2</v>
      </c>
      <c r="V377">
        <v>3</v>
      </c>
      <c r="W377">
        <v>5</v>
      </c>
      <c r="X377">
        <v>2</v>
      </c>
      <c r="Y377">
        <v>0</v>
      </c>
      <c r="Z377">
        <v>0</v>
      </c>
      <c r="AA377">
        <v>0</v>
      </c>
      <c r="AB377" s="1" t="s">
        <v>82</v>
      </c>
      <c r="AC377" t="s">
        <v>56</v>
      </c>
      <c r="AD377" t="s">
        <v>53</v>
      </c>
      <c r="AE377" s="2">
        <v>2193</v>
      </c>
    </row>
    <row r="378" spans="1:31" x14ac:dyDescent="0.35">
      <c r="A378">
        <v>51</v>
      </c>
      <c r="B378" s="1" t="s">
        <v>39</v>
      </c>
      <c r="C378" s="1" t="s">
        <v>31</v>
      </c>
      <c r="D378">
        <v>14</v>
      </c>
      <c r="E378">
        <v>2</v>
      </c>
      <c r="F378" s="1" t="s">
        <v>32</v>
      </c>
      <c r="G378">
        <v>3</v>
      </c>
      <c r="H378" s="1" t="s">
        <v>33</v>
      </c>
      <c r="I378">
        <v>3</v>
      </c>
      <c r="J378">
        <v>2</v>
      </c>
      <c r="K378" s="1" t="s">
        <v>34</v>
      </c>
      <c r="L378">
        <v>4</v>
      </c>
      <c r="M378" s="1" t="s">
        <v>43</v>
      </c>
      <c r="N378">
        <v>4936</v>
      </c>
      <c r="O378">
        <v>4</v>
      </c>
      <c r="P378" s="1" t="s">
        <v>39</v>
      </c>
      <c r="Q378">
        <v>11</v>
      </c>
      <c r="R378">
        <v>3</v>
      </c>
      <c r="S378">
        <v>1</v>
      </c>
      <c r="T378">
        <v>18</v>
      </c>
      <c r="U378">
        <v>2</v>
      </c>
      <c r="V378">
        <v>2</v>
      </c>
      <c r="W378">
        <v>7</v>
      </c>
      <c r="X378">
        <v>7</v>
      </c>
      <c r="Y378">
        <v>0</v>
      </c>
      <c r="Z378">
        <v>7</v>
      </c>
      <c r="AA378">
        <v>0</v>
      </c>
      <c r="AB378" s="1" t="s">
        <v>82</v>
      </c>
      <c r="AC378" t="s">
        <v>37</v>
      </c>
      <c r="AD378" t="s">
        <v>38</v>
      </c>
      <c r="AE378" s="2">
        <v>705.14285714285711</v>
      </c>
    </row>
    <row r="379" spans="1:31" x14ac:dyDescent="0.35">
      <c r="A379">
        <v>36</v>
      </c>
      <c r="B379" s="1" t="s">
        <v>39</v>
      </c>
      <c r="C379" s="1" t="s">
        <v>40</v>
      </c>
      <c r="D379">
        <v>2</v>
      </c>
      <c r="E379">
        <v>3</v>
      </c>
      <c r="F379" s="1" t="s">
        <v>32</v>
      </c>
      <c r="G379">
        <v>4</v>
      </c>
      <c r="H379" s="1" t="s">
        <v>33</v>
      </c>
      <c r="I379">
        <v>3</v>
      </c>
      <c r="J379">
        <v>1</v>
      </c>
      <c r="K379" s="1" t="s">
        <v>42</v>
      </c>
      <c r="L379">
        <v>3</v>
      </c>
      <c r="M379" s="1" t="s">
        <v>43</v>
      </c>
      <c r="N379">
        <v>2543</v>
      </c>
      <c r="O379">
        <v>4</v>
      </c>
      <c r="P379" s="1" t="s">
        <v>39</v>
      </c>
      <c r="Q379">
        <v>13</v>
      </c>
      <c r="R379">
        <v>2</v>
      </c>
      <c r="S379">
        <v>1</v>
      </c>
      <c r="T379">
        <v>6</v>
      </c>
      <c r="U379">
        <v>3</v>
      </c>
      <c r="V379">
        <v>3</v>
      </c>
      <c r="W379">
        <v>2</v>
      </c>
      <c r="X379">
        <v>2</v>
      </c>
      <c r="Y379">
        <v>2</v>
      </c>
      <c r="Z379">
        <v>2</v>
      </c>
      <c r="AA379">
        <v>0</v>
      </c>
      <c r="AB379" s="1" t="s">
        <v>36</v>
      </c>
      <c r="AC379" t="s">
        <v>46</v>
      </c>
      <c r="AD379" t="s">
        <v>47</v>
      </c>
      <c r="AE379" s="2">
        <v>1271.5</v>
      </c>
    </row>
    <row r="380" spans="1:31" x14ac:dyDescent="0.35">
      <c r="A380">
        <v>34</v>
      </c>
      <c r="B380" s="1" t="s">
        <v>30</v>
      </c>
      <c r="C380" s="1" t="s">
        <v>31</v>
      </c>
      <c r="D380">
        <v>19</v>
      </c>
      <c r="E380">
        <v>3</v>
      </c>
      <c r="F380" s="1" t="s">
        <v>60</v>
      </c>
      <c r="G380">
        <v>1</v>
      </c>
      <c r="H380" s="1" t="s">
        <v>41</v>
      </c>
      <c r="I380">
        <v>4</v>
      </c>
      <c r="J380">
        <v>2</v>
      </c>
      <c r="K380" s="1" t="s">
        <v>34</v>
      </c>
      <c r="L380">
        <v>4</v>
      </c>
      <c r="M380" s="1" t="s">
        <v>35</v>
      </c>
      <c r="N380">
        <v>5304</v>
      </c>
      <c r="O380">
        <v>8</v>
      </c>
      <c r="P380" s="1" t="s">
        <v>30</v>
      </c>
      <c r="Q380">
        <v>13</v>
      </c>
      <c r="R380">
        <v>2</v>
      </c>
      <c r="S380">
        <v>0</v>
      </c>
      <c r="T380">
        <v>9</v>
      </c>
      <c r="U380">
        <v>3</v>
      </c>
      <c r="V380">
        <v>2</v>
      </c>
      <c r="W380">
        <v>5</v>
      </c>
      <c r="X380">
        <v>2</v>
      </c>
      <c r="Y380">
        <v>0</v>
      </c>
      <c r="Z380">
        <v>4</v>
      </c>
      <c r="AA380">
        <v>1</v>
      </c>
      <c r="AB380" s="1" t="s">
        <v>48</v>
      </c>
      <c r="AC380" t="s">
        <v>37</v>
      </c>
      <c r="AD380" t="s">
        <v>53</v>
      </c>
      <c r="AE380" s="2">
        <v>1060.8</v>
      </c>
    </row>
    <row r="381" spans="1:31" x14ac:dyDescent="0.35">
      <c r="A381">
        <v>55</v>
      </c>
      <c r="B381" s="1" t="s">
        <v>39</v>
      </c>
      <c r="C381" s="1" t="s">
        <v>40</v>
      </c>
      <c r="D381">
        <v>2</v>
      </c>
      <c r="E381">
        <v>3</v>
      </c>
      <c r="F381" s="1" t="s">
        <v>32</v>
      </c>
      <c r="G381">
        <v>3</v>
      </c>
      <c r="H381" s="1" t="s">
        <v>33</v>
      </c>
      <c r="I381">
        <v>3</v>
      </c>
      <c r="J381">
        <v>4</v>
      </c>
      <c r="K381" s="1" t="s">
        <v>55</v>
      </c>
      <c r="L381">
        <v>4</v>
      </c>
      <c r="M381" s="1" t="s">
        <v>35</v>
      </c>
      <c r="N381">
        <v>16659</v>
      </c>
      <c r="O381">
        <v>2</v>
      </c>
      <c r="P381" s="1" t="s">
        <v>30</v>
      </c>
      <c r="Q381">
        <v>13</v>
      </c>
      <c r="R381">
        <v>3</v>
      </c>
      <c r="S381">
        <v>0</v>
      </c>
      <c r="T381">
        <v>30</v>
      </c>
      <c r="U381">
        <v>2</v>
      </c>
      <c r="V381">
        <v>3</v>
      </c>
      <c r="W381">
        <v>5</v>
      </c>
      <c r="X381">
        <v>4</v>
      </c>
      <c r="Y381">
        <v>1</v>
      </c>
      <c r="Z381">
        <v>2</v>
      </c>
      <c r="AA381">
        <v>0</v>
      </c>
      <c r="AB381" s="1" t="s">
        <v>82</v>
      </c>
      <c r="AC381" t="s">
        <v>56</v>
      </c>
      <c r="AD381" t="s">
        <v>53</v>
      </c>
      <c r="AE381" s="2">
        <v>3331.8</v>
      </c>
    </row>
    <row r="382" spans="1:31" x14ac:dyDescent="0.35">
      <c r="A382">
        <v>24</v>
      </c>
      <c r="B382" s="1" t="s">
        <v>39</v>
      </c>
      <c r="C382" s="1" t="s">
        <v>31</v>
      </c>
      <c r="D382">
        <v>10</v>
      </c>
      <c r="E382">
        <v>4</v>
      </c>
      <c r="F382" s="1" t="s">
        <v>60</v>
      </c>
      <c r="G382">
        <v>4</v>
      </c>
      <c r="H382" s="1" t="s">
        <v>33</v>
      </c>
      <c r="I382">
        <v>3</v>
      </c>
      <c r="J382">
        <v>2</v>
      </c>
      <c r="K382" s="1" t="s">
        <v>34</v>
      </c>
      <c r="L382">
        <v>3</v>
      </c>
      <c r="M382" s="1" t="s">
        <v>50</v>
      </c>
      <c r="N382">
        <v>4260</v>
      </c>
      <c r="O382">
        <v>1</v>
      </c>
      <c r="P382" s="1" t="s">
        <v>30</v>
      </c>
      <c r="Q382">
        <v>12</v>
      </c>
      <c r="R382">
        <v>4</v>
      </c>
      <c r="S382">
        <v>1</v>
      </c>
      <c r="T382">
        <v>5</v>
      </c>
      <c r="U382">
        <v>2</v>
      </c>
      <c r="V382">
        <v>4</v>
      </c>
      <c r="W382">
        <v>5</v>
      </c>
      <c r="X382">
        <v>2</v>
      </c>
      <c r="Y382">
        <v>0</v>
      </c>
      <c r="Z382">
        <v>3</v>
      </c>
      <c r="AA382">
        <v>0</v>
      </c>
      <c r="AB382" s="1" t="s">
        <v>54</v>
      </c>
      <c r="AC382" t="s">
        <v>37</v>
      </c>
      <c r="AD382" t="s">
        <v>53</v>
      </c>
      <c r="AE382" s="2">
        <v>852</v>
      </c>
    </row>
    <row r="383" spans="1:31" x14ac:dyDescent="0.35">
      <c r="A383">
        <v>30</v>
      </c>
      <c r="B383" s="1" t="s">
        <v>39</v>
      </c>
      <c r="C383" s="1" t="s">
        <v>31</v>
      </c>
      <c r="D383">
        <v>2</v>
      </c>
      <c r="E383">
        <v>1</v>
      </c>
      <c r="F383" s="1" t="s">
        <v>61</v>
      </c>
      <c r="G383">
        <v>3</v>
      </c>
      <c r="H383" s="1" t="s">
        <v>41</v>
      </c>
      <c r="I383">
        <v>3</v>
      </c>
      <c r="J383">
        <v>1</v>
      </c>
      <c r="K383" s="1" t="s">
        <v>58</v>
      </c>
      <c r="L383">
        <v>2</v>
      </c>
      <c r="M383" s="1" t="s">
        <v>43</v>
      </c>
      <c r="N383">
        <v>2476</v>
      </c>
      <c r="O383">
        <v>1</v>
      </c>
      <c r="P383" s="1" t="s">
        <v>39</v>
      </c>
      <c r="Q383">
        <v>18</v>
      </c>
      <c r="R383">
        <v>1</v>
      </c>
      <c r="S383">
        <v>1</v>
      </c>
      <c r="T383">
        <v>1</v>
      </c>
      <c r="U383">
        <v>3</v>
      </c>
      <c r="V383">
        <v>3</v>
      </c>
      <c r="W383">
        <v>1</v>
      </c>
      <c r="X383">
        <v>0</v>
      </c>
      <c r="Y383">
        <v>0</v>
      </c>
      <c r="Z383">
        <v>0</v>
      </c>
      <c r="AA383">
        <v>0</v>
      </c>
      <c r="AB383" s="1" t="s">
        <v>48</v>
      </c>
      <c r="AC383" t="s">
        <v>46</v>
      </c>
      <c r="AD383" t="s">
        <v>47</v>
      </c>
      <c r="AE383" s="2">
        <v>2476</v>
      </c>
    </row>
    <row r="384" spans="1:31" x14ac:dyDescent="0.35">
      <c r="A384">
        <v>26</v>
      </c>
      <c r="B384" s="1" t="s">
        <v>30</v>
      </c>
      <c r="C384" s="1" t="s">
        <v>40</v>
      </c>
      <c r="D384">
        <v>3</v>
      </c>
      <c r="E384">
        <v>1</v>
      </c>
      <c r="F384" s="1" t="s">
        <v>61</v>
      </c>
      <c r="G384">
        <v>3</v>
      </c>
      <c r="H384" s="1" t="s">
        <v>41</v>
      </c>
      <c r="I384">
        <v>3</v>
      </c>
      <c r="J384">
        <v>1</v>
      </c>
      <c r="K384" s="1" t="s">
        <v>42</v>
      </c>
      <c r="L384">
        <v>1</v>
      </c>
      <c r="M384" s="1" t="s">
        <v>35</v>
      </c>
      <c r="N384">
        <v>3102</v>
      </c>
      <c r="O384">
        <v>0</v>
      </c>
      <c r="P384" s="1" t="s">
        <v>39</v>
      </c>
      <c r="Q384">
        <v>22</v>
      </c>
      <c r="R384">
        <v>3</v>
      </c>
      <c r="S384">
        <v>0</v>
      </c>
      <c r="T384">
        <v>7</v>
      </c>
      <c r="U384">
        <v>2</v>
      </c>
      <c r="V384">
        <v>3</v>
      </c>
      <c r="W384">
        <v>6</v>
      </c>
      <c r="X384">
        <v>4</v>
      </c>
      <c r="Y384">
        <v>0</v>
      </c>
      <c r="Z384">
        <v>4</v>
      </c>
      <c r="AA384">
        <v>1</v>
      </c>
      <c r="AB384" s="1" t="s">
        <v>48</v>
      </c>
      <c r="AC384" t="s">
        <v>46</v>
      </c>
      <c r="AD384" t="s">
        <v>38</v>
      </c>
      <c r="AE384" s="2">
        <v>517</v>
      </c>
    </row>
    <row r="385" spans="1:31" x14ac:dyDescent="0.35">
      <c r="A385">
        <v>22</v>
      </c>
      <c r="B385" s="1" t="s">
        <v>39</v>
      </c>
      <c r="C385" s="1" t="s">
        <v>40</v>
      </c>
      <c r="D385">
        <v>11</v>
      </c>
      <c r="E385">
        <v>3</v>
      </c>
      <c r="F385" s="1" t="s">
        <v>49</v>
      </c>
      <c r="G385">
        <v>1</v>
      </c>
      <c r="H385" s="1" t="s">
        <v>33</v>
      </c>
      <c r="I385">
        <v>3</v>
      </c>
      <c r="J385">
        <v>1</v>
      </c>
      <c r="K385" s="1" t="s">
        <v>42</v>
      </c>
      <c r="L385">
        <v>2</v>
      </c>
      <c r="M385" s="1" t="s">
        <v>43</v>
      </c>
      <c r="N385">
        <v>2244</v>
      </c>
      <c r="O385">
        <v>1</v>
      </c>
      <c r="P385" s="1" t="s">
        <v>39</v>
      </c>
      <c r="Q385">
        <v>13</v>
      </c>
      <c r="R385">
        <v>4</v>
      </c>
      <c r="S385">
        <v>1</v>
      </c>
      <c r="T385">
        <v>2</v>
      </c>
      <c r="U385">
        <v>1</v>
      </c>
      <c r="V385">
        <v>3</v>
      </c>
      <c r="W385">
        <v>2</v>
      </c>
      <c r="X385">
        <v>1</v>
      </c>
      <c r="Y385">
        <v>1</v>
      </c>
      <c r="Z385">
        <v>2</v>
      </c>
      <c r="AA385">
        <v>0</v>
      </c>
      <c r="AB385" s="1" t="s">
        <v>54</v>
      </c>
      <c r="AC385" t="s">
        <v>46</v>
      </c>
      <c r="AD385" t="s">
        <v>47</v>
      </c>
      <c r="AE385" s="2">
        <v>1122</v>
      </c>
    </row>
    <row r="386" spans="1:31" x14ac:dyDescent="0.35">
      <c r="A386">
        <v>36</v>
      </c>
      <c r="B386" s="1" t="s">
        <v>39</v>
      </c>
      <c r="C386" s="1" t="s">
        <v>31</v>
      </c>
      <c r="D386">
        <v>2</v>
      </c>
      <c r="E386">
        <v>2</v>
      </c>
      <c r="F386" s="1" t="s">
        <v>49</v>
      </c>
      <c r="G386">
        <v>2</v>
      </c>
      <c r="H386" s="1" t="s">
        <v>41</v>
      </c>
      <c r="I386">
        <v>2</v>
      </c>
      <c r="J386">
        <v>3</v>
      </c>
      <c r="K386" s="1" t="s">
        <v>34</v>
      </c>
      <c r="L386">
        <v>3</v>
      </c>
      <c r="M386" s="1" t="s">
        <v>43</v>
      </c>
      <c r="N386">
        <v>7596</v>
      </c>
      <c r="O386">
        <v>1</v>
      </c>
      <c r="P386" s="1" t="s">
        <v>39</v>
      </c>
      <c r="Q386">
        <v>13</v>
      </c>
      <c r="R386">
        <v>2</v>
      </c>
      <c r="S386">
        <v>2</v>
      </c>
      <c r="T386">
        <v>10</v>
      </c>
      <c r="U386">
        <v>2</v>
      </c>
      <c r="V386">
        <v>3</v>
      </c>
      <c r="W386">
        <v>10</v>
      </c>
      <c r="X386">
        <v>9</v>
      </c>
      <c r="Y386">
        <v>9</v>
      </c>
      <c r="Z386">
        <v>0</v>
      </c>
      <c r="AA386">
        <v>0</v>
      </c>
      <c r="AB386" s="1" t="s">
        <v>36</v>
      </c>
      <c r="AC386" t="s">
        <v>37</v>
      </c>
      <c r="AD386" t="s">
        <v>38</v>
      </c>
      <c r="AE386" s="2">
        <v>759.6</v>
      </c>
    </row>
    <row r="387" spans="1:31" x14ac:dyDescent="0.35">
      <c r="A387">
        <v>30</v>
      </c>
      <c r="B387" s="1" t="s">
        <v>30</v>
      </c>
      <c r="C387" s="1" t="s">
        <v>40</v>
      </c>
      <c r="D387">
        <v>4</v>
      </c>
      <c r="E387">
        <v>3</v>
      </c>
      <c r="F387" s="1" t="s">
        <v>61</v>
      </c>
      <c r="G387">
        <v>3</v>
      </c>
      <c r="H387" s="1" t="s">
        <v>41</v>
      </c>
      <c r="I387">
        <v>3</v>
      </c>
      <c r="J387">
        <v>1</v>
      </c>
      <c r="K387" s="1" t="s">
        <v>42</v>
      </c>
      <c r="L387">
        <v>4</v>
      </c>
      <c r="M387" s="1" t="s">
        <v>35</v>
      </c>
      <c r="N387">
        <v>2285</v>
      </c>
      <c r="O387">
        <v>9</v>
      </c>
      <c r="P387" s="1" t="s">
        <v>30</v>
      </c>
      <c r="Q387">
        <v>23</v>
      </c>
      <c r="R387">
        <v>3</v>
      </c>
      <c r="S387">
        <v>0</v>
      </c>
      <c r="T387">
        <v>3</v>
      </c>
      <c r="U387">
        <v>4</v>
      </c>
      <c r="V387">
        <v>3</v>
      </c>
      <c r="W387">
        <v>1</v>
      </c>
      <c r="X387">
        <v>0</v>
      </c>
      <c r="Y387">
        <v>0</v>
      </c>
      <c r="Z387">
        <v>0</v>
      </c>
      <c r="AA387">
        <v>1</v>
      </c>
      <c r="AB387" s="1" t="s">
        <v>48</v>
      </c>
      <c r="AC387" t="s">
        <v>46</v>
      </c>
      <c r="AD387" t="s">
        <v>47</v>
      </c>
      <c r="AE387" s="2">
        <v>2285</v>
      </c>
    </row>
    <row r="388" spans="1:31" x14ac:dyDescent="0.35">
      <c r="A388">
        <v>37</v>
      </c>
      <c r="B388" s="1" t="s">
        <v>39</v>
      </c>
      <c r="C388" s="1" t="s">
        <v>40</v>
      </c>
      <c r="D388">
        <v>14</v>
      </c>
      <c r="E388">
        <v>3</v>
      </c>
      <c r="F388" s="1" t="s">
        <v>32</v>
      </c>
      <c r="G388">
        <v>4</v>
      </c>
      <c r="H388" s="1" t="s">
        <v>33</v>
      </c>
      <c r="I388">
        <v>3</v>
      </c>
      <c r="J388">
        <v>1</v>
      </c>
      <c r="K388" s="1" t="s">
        <v>45</v>
      </c>
      <c r="L388">
        <v>1</v>
      </c>
      <c r="M388" s="1" t="s">
        <v>50</v>
      </c>
      <c r="N388">
        <v>3034</v>
      </c>
      <c r="O388">
        <v>1</v>
      </c>
      <c r="P388" s="1" t="s">
        <v>39</v>
      </c>
      <c r="Q388">
        <v>12</v>
      </c>
      <c r="R388">
        <v>3</v>
      </c>
      <c r="S388">
        <v>1</v>
      </c>
      <c r="T388">
        <v>18</v>
      </c>
      <c r="U388">
        <v>2</v>
      </c>
      <c r="V388">
        <v>2</v>
      </c>
      <c r="W388">
        <v>18</v>
      </c>
      <c r="X388">
        <v>7</v>
      </c>
      <c r="Y388">
        <v>12</v>
      </c>
      <c r="Z388">
        <v>17</v>
      </c>
      <c r="AA388">
        <v>0</v>
      </c>
      <c r="AB388" s="1" t="s">
        <v>36</v>
      </c>
      <c r="AC388" t="s">
        <v>46</v>
      </c>
      <c r="AD388" t="s">
        <v>57</v>
      </c>
      <c r="AE388" s="2">
        <v>168.55555555555554</v>
      </c>
    </row>
    <row r="389" spans="1:31" x14ac:dyDescent="0.35">
      <c r="A389">
        <v>40</v>
      </c>
      <c r="B389" s="1" t="s">
        <v>39</v>
      </c>
      <c r="C389" s="1" t="s">
        <v>31</v>
      </c>
      <c r="D389">
        <v>2</v>
      </c>
      <c r="E389">
        <v>2</v>
      </c>
      <c r="F389" s="1" t="s">
        <v>60</v>
      </c>
      <c r="G389">
        <v>4</v>
      </c>
      <c r="H389" s="1" t="s">
        <v>33</v>
      </c>
      <c r="I389">
        <v>3</v>
      </c>
      <c r="J389">
        <v>2</v>
      </c>
      <c r="K389" s="1" t="s">
        <v>34</v>
      </c>
      <c r="L389">
        <v>2</v>
      </c>
      <c r="M389" s="1" t="s">
        <v>50</v>
      </c>
      <c r="N389">
        <v>5715</v>
      </c>
      <c r="O389">
        <v>7</v>
      </c>
      <c r="P389" s="1" t="s">
        <v>39</v>
      </c>
      <c r="Q389">
        <v>12</v>
      </c>
      <c r="R389">
        <v>3</v>
      </c>
      <c r="S389">
        <v>2</v>
      </c>
      <c r="T389">
        <v>8</v>
      </c>
      <c r="U389">
        <v>5</v>
      </c>
      <c r="V389">
        <v>3</v>
      </c>
      <c r="W389">
        <v>5</v>
      </c>
      <c r="X389">
        <v>4</v>
      </c>
      <c r="Y389">
        <v>1</v>
      </c>
      <c r="Z389">
        <v>3</v>
      </c>
      <c r="AA389">
        <v>0</v>
      </c>
      <c r="AB389" s="1" t="s">
        <v>36</v>
      </c>
      <c r="AC389" t="s">
        <v>37</v>
      </c>
      <c r="AD389" t="s">
        <v>53</v>
      </c>
      <c r="AE389" s="2">
        <v>1143</v>
      </c>
    </row>
    <row r="390" spans="1:31" x14ac:dyDescent="0.35">
      <c r="A390">
        <v>42</v>
      </c>
      <c r="B390" s="1" t="s">
        <v>39</v>
      </c>
      <c r="C390" s="1" t="s">
        <v>40</v>
      </c>
      <c r="D390">
        <v>1</v>
      </c>
      <c r="E390">
        <v>4</v>
      </c>
      <c r="F390" s="1" t="s">
        <v>32</v>
      </c>
      <c r="G390">
        <v>2</v>
      </c>
      <c r="H390" s="1" t="s">
        <v>33</v>
      </c>
      <c r="I390">
        <v>3</v>
      </c>
      <c r="J390">
        <v>1</v>
      </c>
      <c r="K390" s="1" t="s">
        <v>45</v>
      </c>
      <c r="L390">
        <v>1</v>
      </c>
      <c r="M390" s="1" t="s">
        <v>50</v>
      </c>
      <c r="N390">
        <v>2576</v>
      </c>
      <c r="O390">
        <v>3</v>
      </c>
      <c r="P390" s="1" t="s">
        <v>39</v>
      </c>
      <c r="Q390">
        <v>16</v>
      </c>
      <c r="R390">
        <v>2</v>
      </c>
      <c r="S390">
        <v>1</v>
      </c>
      <c r="T390">
        <v>8</v>
      </c>
      <c r="U390">
        <v>5</v>
      </c>
      <c r="V390">
        <v>3</v>
      </c>
      <c r="W390">
        <v>5</v>
      </c>
      <c r="X390">
        <v>2</v>
      </c>
      <c r="Y390">
        <v>1</v>
      </c>
      <c r="Z390">
        <v>2</v>
      </c>
      <c r="AA390">
        <v>0</v>
      </c>
      <c r="AB390" s="1" t="s">
        <v>36</v>
      </c>
      <c r="AC390" t="s">
        <v>46</v>
      </c>
      <c r="AD390" t="s">
        <v>53</v>
      </c>
      <c r="AE390" s="2">
        <v>515.20000000000005</v>
      </c>
    </row>
    <row r="391" spans="1:31" x14ac:dyDescent="0.35">
      <c r="A391">
        <v>37</v>
      </c>
      <c r="B391" s="1" t="s">
        <v>39</v>
      </c>
      <c r="C391" s="1" t="s">
        <v>40</v>
      </c>
      <c r="D391">
        <v>10</v>
      </c>
      <c r="E391">
        <v>4</v>
      </c>
      <c r="F391" s="1" t="s">
        <v>32</v>
      </c>
      <c r="G391">
        <v>3</v>
      </c>
      <c r="H391" s="1" t="s">
        <v>41</v>
      </c>
      <c r="I391">
        <v>3</v>
      </c>
      <c r="J391">
        <v>2</v>
      </c>
      <c r="K391" s="1" t="s">
        <v>51</v>
      </c>
      <c r="L391">
        <v>2</v>
      </c>
      <c r="M391" s="1" t="s">
        <v>35</v>
      </c>
      <c r="N391">
        <v>4197</v>
      </c>
      <c r="O391">
        <v>2</v>
      </c>
      <c r="P391" s="1" t="s">
        <v>30</v>
      </c>
      <c r="Q391">
        <v>12</v>
      </c>
      <c r="R391">
        <v>4</v>
      </c>
      <c r="S391">
        <v>0</v>
      </c>
      <c r="T391">
        <v>18</v>
      </c>
      <c r="U391">
        <v>2</v>
      </c>
      <c r="V391">
        <v>2</v>
      </c>
      <c r="W391">
        <v>1</v>
      </c>
      <c r="X391">
        <v>0</v>
      </c>
      <c r="Y391">
        <v>0</v>
      </c>
      <c r="Z391">
        <v>1</v>
      </c>
      <c r="AA391">
        <v>0</v>
      </c>
      <c r="AB391" s="1" t="s">
        <v>36</v>
      </c>
      <c r="AC391" t="s">
        <v>37</v>
      </c>
      <c r="AD391" t="s">
        <v>47</v>
      </c>
      <c r="AE391" s="2">
        <v>4197</v>
      </c>
    </row>
    <row r="392" spans="1:31" x14ac:dyDescent="0.35">
      <c r="A392">
        <v>43</v>
      </c>
      <c r="B392" s="1" t="s">
        <v>39</v>
      </c>
      <c r="C392" s="1" t="s">
        <v>40</v>
      </c>
      <c r="D392">
        <v>12</v>
      </c>
      <c r="E392">
        <v>3</v>
      </c>
      <c r="F392" s="1" t="s">
        <v>32</v>
      </c>
      <c r="G392">
        <v>1</v>
      </c>
      <c r="H392" s="1" t="s">
        <v>41</v>
      </c>
      <c r="I392">
        <v>2</v>
      </c>
      <c r="J392">
        <v>4</v>
      </c>
      <c r="K392" s="1" t="s">
        <v>59</v>
      </c>
      <c r="L392">
        <v>2</v>
      </c>
      <c r="M392" s="1" t="s">
        <v>50</v>
      </c>
      <c r="N392">
        <v>14336</v>
      </c>
      <c r="O392">
        <v>1</v>
      </c>
      <c r="P392" s="1" t="s">
        <v>39</v>
      </c>
      <c r="Q392">
        <v>11</v>
      </c>
      <c r="R392">
        <v>3</v>
      </c>
      <c r="S392">
        <v>1</v>
      </c>
      <c r="T392">
        <v>25</v>
      </c>
      <c r="U392">
        <v>3</v>
      </c>
      <c r="V392">
        <v>3</v>
      </c>
      <c r="W392">
        <v>25</v>
      </c>
      <c r="X392">
        <v>10</v>
      </c>
      <c r="Y392">
        <v>3</v>
      </c>
      <c r="Z392">
        <v>9</v>
      </c>
      <c r="AA392">
        <v>0</v>
      </c>
      <c r="AB392" s="1" t="s">
        <v>36</v>
      </c>
      <c r="AC392" t="s">
        <v>56</v>
      </c>
      <c r="AD392" t="s">
        <v>57</v>
      </c>
      <c r="AE392" s="2">
        <v>573.44000000000005</v>
      </c>
    </row>
    <row r="393" spans="1:31" x14ac:dyDescent="0.35">
      <c r="A393">
        <v>40</v>
      </c>
      <c r="B393" s="1" t="s">
        <v>39</v>
      </c>
      <c r="C393" s="1" t="s">
        <v>40</v>
      </c>
      <c r="D393">
        <v>2</v>
      </c>
      <c r="E393">
        <v>3</v>
      </c>
      <c r="F393" s="1" t="s">
        <v>49</v>
      </c>
      <c r="G393">
        <v>2</v>
      </c>
      <c r="H393" s="1" t="s">
        <v>33</v>
      </c>
      <c r="I393">
        <v>2</v>
      </c>
      <c r="J393">
        <v>2</v>
      </c>
      <c r="K393" s="1" t="s">
        <v>45</v>
      </c>
      <c r="L393">
        <v>3</v>
      </c>
      <c r="M393" s="1" t="s">
        <v>43</v>
      </c>
      <c r="N393">
        <v>3448</v>
      </c>
      <c r="O393">
        <v>6</v>
      </c>
      <c r="P393" s="1" t="s">
        <v>39</v>
      </c>
      <c r="Q393">
        <v>22</v>
      </c>
      <c r="R393">
        <v>2</v>
      </c>
      <c r="S393">
        <v>1</v>
      </c>
      <c r="T393">
        <v>20</v>
      </c>
      <c r="U393">
        <v>3</v>
      </c>
      <c r="V393">
        <v>3</v>
      </c>
      <c r="W393">
        <v>1</v>
      </c>
      <c r="X393">
        <v>0</v>
      </c>
      <c r="Y393">
        <v>0</v>
      </c>
      <c r="Z393">
        <v>0</v>
      </c>
      <c r="AA393">
        <v>0</v>
      </c>
      <c r="AB393" s="1" t="s">
        <v>36</v>
      </c>
      <c r="AC393" t="s">
        <v>46</v>
      </c>
      <c r="AD393" t="s">
        <v>47</v>
      </c>
      <c r="AE393" s="2">
        <v>3448</v>
      </c>
    </row>
    <row r="394" spans="1:31" x14ac:dyDescent="0.35">
      <c r="A394">
        <v>54</v>
      </c>
      <c r="B394" s="1" t="s">
        <v>39</v>
      </c>
      <c r="C394" s="1" t="s">
        <v>40</v>
      </c>
      <c r="D394">
        <v>5</v>
      </c>
      <c r="E394">
        <v>2</v>
      </c>
      <c r="F394" s="1" t="s">
        <v>49</v>
      </c>
      <c r="G394">
        <v>1</v>
      </c>
      <c r="H394" s="1" t="s">
        <v>41</v>
      </c>
      <c r="I394">
        <v>3</v>
      </c>
      <c r="J394">
        <v>5</v>
      </c>
      <c r="K394" s="1" t="s">
        <v>59</v>
      </c>
      <c r="L394">
        <v>1</v>
      </c>
      <c r="M394" s="1" t="s">
        <v>43</v>
      </c>
      <c r="N394">
        <v>19406</v>
      </c>
      <c r="O394">
        <v>4</v>
      </c>
      <c r="P394" s="1" t="s">
        <v>39</v>
      </c>
      <c r="Q394">
        <v>11</v>
      </c>
      <c r="R394">
        <v>3</v>
      </c>
      <c r="S394">
        <v>1</v>
      </c>
      <c r="T394">
        <v>24</v>
      </c>
      <c r="U394">
        <v>4</v>
      </c>
      <c r="V394">
        <v>2</v>
      </c>
      <c r="W394">
        <v>4</v>
      </c>
      <c r="X394">
        <v>2</v>
      </c>
      <c r="Y394">
        <v>1</v>
      </c>
      <c r="Z394">
        <v>2</v>
      </c>
      <c r="AA394">
        <v>0</v>
      </c>
      <c r="AB394" s="1" t="s">
        <v>82</v>
      </c>
      <c r="AC394" t="s">
        <v>56</v>
      </c>
      <c r="AD394" t="s">
        <v>53</v>
      </c>
      <c r="AE394" s="2">
        <v>4851.5</v>
      </c>
    </row>
    <row r="395" spans="1:31" x14ac:dyDescent="0.35">
      <c r="A395">
        <v>34</v>
      </c>
      <c r="B395" s="1" t="s">
        <v>39</v>
      </c>
      <c r="C395" s="1" t="s">
        <v>31</v>
      </c>
      <c r="D395">
        <v>4</v>
      </c>
      <c r="E395">
        <v>4</v>
      </c>
      <c r="F395" s="1" t="s">
        <v>60</v>
      </c>
      <c r="G395">
        <v>3</v>
      </c>
      <c r="H395" s="1" t="s">
        <v>33</v>
      </c>
      <c r="I395">
        <v>3</v>
      </c>
      <c r="J395">
        <v>2</v>
      </c>
      <c r="K395" s="1" t="s">
        <v>34</v>
      </c>
      <c r="L395">
        <v>3</v>
      </c>
      <c r="M395" s="1" t="s">
        <v>43</v>
      </c>
      <c r="N395">
        <v>6538</v>
      </c>
      <c r="O395">
        <v>9</v>
      </c>
      <c r="P395" s="1" t="s">
        <v>39</v>
      </c>
      <c r="Q395">
        <v>15</v>
      </c>
      <c r="R395">
        <v>1</v>
      </c>
      <c r="S395">
        <v>1</v>
      </c>
      <c r="T395">
        <v>6</v>
      </c>
      <c r="U395">
        <v>3</v>
      </c>
      <c r="V395">
        <v>3</v>
      </c>
      <c r="W395">
        <v>3</v>
      </c>
      <c r="X395">
        <v>2</v>
      </c>
      <c r="Y395">
        <v>1</v>
      </c>
      <c r="Z395">
        <v>2</v>
      </c>
      <c r="AA395">
        <v>0</v>
      </c>
      <c r="AB395" s="1" t="s">
        <v>48</v>
      </c>
      <c r="AC395" t="s">
        <v>37</v>
      </c>
      <c r="AD395" t="s">
        <v>53</v>
      </c>
      <c r="AE395" s="2">
        <v>2179.3333333333335</v>
      </c>
    </row>
    <row r="396" spans="1:31" x14ac:dyDescent="0.35">
      <c r="A396">
        <v>31</v>
      </c>
      <c r="B396" s="1" t="s">
        <v>39</v>
      </c>
      <c r="C396" s="1" t="s">
        <v>40</v>
      </c>
      <c r="D396">
        <v>7</v>
      </c>
      <c r="E396">
        <v>2</v>
      </c>
      <c r="F396" s="1" t="s">
        <v>49</v>
      </c>
      <c r="G396">
        <v>2</v>
      </c>
      <c r="H396" s="1" t="s">
        <v>33</v>
      </c>
      <c r="I396">
        <v>3</v>
      </c>
      <c r="J396">
        <v>2</v>
      </c>
      <c r="K396" s="1" t="s">
        <v>51</v>
      </c>
      <c r="L396">
        <v>1</v>
      </c>
      <c r="M396" s="1" t="s">
        <v>43</v>
      </c>
      <c r="N396">
        <v>4306</v>
      </c>
      <c r="O396">
        <v>1</v>
      </c>
      <c r="P396" s="1" t="s">
        <v>39</v>
      </c>
      <c r="Q396">
        <v>12</v>
      </c>
      <c r="R396">
        <v>2</v>
      </c>
      <c r="S396">
        <v>1</v>
      </c>
      <c r="T396">
        <v>13</v>
      </c>
      <c r="U396">
        <v>5</v>
      </c>
      <c r="V396">
        <v>1</v>
      </c>
      <c r="W396">
        <v>13</v>
      </c>
      <c r="X396">
        <v>10</v>
      </c>
      <c r="Y396">
        <v>3</v>
      </c>
      <c r="Z396">
        <v>12</v>
      </c>
      <c r="AA396">
        <v>0</v>
      </c>
      <c r="AB396" s="1" t="s">
        <v>48</v>
      </c>
      <c r="AC396" t="s">
        <v>37</v>
      </c>
      <c r="AD396" t="s">
        <v>57</v>
      </c>
      <c r="AE396" s="2">
        <v>331.23076923076923</v>
      </c>
    </row>
    <row r="397" spans="1:31" x14ac:dyDescent="0.35">
      <c r="A397">
        <v>43</v>
      </c>
      <c r="B397" s="1" t="s">
        <v>39</v>
      </c>
      <c r="C397" s="1" t="s">
        <v>40</v>
      </c>
      <c r="D397">
        <v>21</v>
      </c>
      <c r="E397">
        <v>3</v>
      </c>
      <c r="F397" s="1" t="s">
        <v>49</v>
      </c>
      <c r="G397">
        <v>4</v>
      </c>
      <c r="H397" s="1" t="s">
        <v>41</v>
      </c>
      <c r="I397">
        <v>3</v>
      </c>
      <c r="J397">
        <v>1</v>
      </c>
      <c r="K397" s="1" t="s">
        <v>45</v>
      </c>
      <c r="L397">
        <v>4</v>
      </c>
      <c r="M397" s="1" t="s">
        <v>43</v>
      </c>
      <c r="N397">
        <v>2258</v>
      </c>
      <c r="O397">
        <v>7</v>
      </c>
      <c r="P397" s="1" t="s">
        <v>39</v>
      </c>
      <c r="Q397">
        <v>20</v>
      </c>
      <c r="R397">
        <v>1</v>
      </c>
      <c r="S397">
        <v>1</v>
      </c>
      <c r="T397">
        <v>8</v>
      </c>
      <c r="U397">
        <v>1</v>
      </c>
      <c r="V397">
        <v>3</v>
      </c>
      <c r="W397">
        <v>3</v>
      </c>
      <c r="X397">
        <v>2</v>
      </c>
      <c r="Y397">
        <v>1</v>
      </c>
      <c r="Z397">
        <v>2</v>
      </c>
      <c r="AA397">
        <v>0</v>
      </c>
      <c r="AB397" s="1" t="s">
        <v>36</v>
      </c>
      <c r="AC397" t="s">
        <v>46</v>
      </c>
      <c r="AD397" t="s">
        <v>53</v>
      </c>
      <c r="AE397" s="2">
        <v>752.66666666666663</v>
      </c>
    </row>
    <row r="398" spans="1:31" x14ac:dyDescent="0.35">
      <c r="A398">
        <v>43</v>
      </c>
      <c r="B398" s="1" t="s">
        <v>39</v>
      </c>
      <c r="C398" s="1" t="s">
        <v>40</v>
      </c>
      <c r="D398">
        <v>8</v>
      </c>
      <c r="E398">
        <v>4</v>
      </c>
      <c r="F398" s="1" t="s">
        <v>44</v>
      </c>
      <c r="G398">
        <v>3</v>
      </c>
      <c r="H398" s="1" t="s">
        <v>33</v>
      </c>
      <c r="I398">
        <v>3</v>
      </c>
      <c r="J398">
        <v>2</v>
      </c>
      <c r="K398" s="1" t="s">
        <v>52</v>
      </c>
      <c r="L398">
        <v>3</v>
      </c>
      <c r="M398" s="1" t="s">
        <v>50</v>
      </c>
      <c r="N398">
        <v>4522</v>
      </c>
      <c r="O398">
        <v>4</v>
      </c>
      <c r="P398" s="1" t="s">
        <v>30</v>
      </c>
      <c r="Q398">
        <v>14</v>
      </c>
      <c r="R398">
        <v>4</v>
      </c>
      <c r="S398">
        <v>0</v>
      </c>
      <c r="T398">
        <v>8</v>
      </c>
      <c r="U398">
        <v>3</v>
      </c>
      <c r="V398">
        <v>3</v>
      </c>
      <c r="W398">
        <v>5</v>
      </c>
      <c r="X398">
        <v>2</v>
      </c>
      <c r="Y398">
        <v>0</v>
      </c>
      <c r="Z398">
        <v>2</v>
      </c>
      <c r="AA398">
        <v>0</v>
      </c>
      <c r="AB398" s="1" t="s">
        <v>36</v>
      </c>
      <c r="AC398" t="s">
        <v>37</v>
      </c>
      <c r="AD398" t="s">
        <v>53</v>
      </c>
      <c r="AE398" s="2">
        <v>904.4</v>
      </c>
    </row>
    <row r="399" spans="1:31" x14ac:dyDescent="0.35">
      <c r="A399">
        <v>25</v>
      </c>
      <c r="B399" s="1" t="s">
        <v>39</v>
      </c>
      <c r="C399" s="1" t="s">
        <v>31</v>
      </c>
      <c r="D399">
        <v>4</v>
      </c>
      <c r="E399">
        <v>2</v>
      </c>
      <c r="F399" s="1" t="s">
        <v>32</v>
      </c>
      <c r="G399">
        <v>2</v>
      </c>
      <c r="H399" s="1" t="s">
        <v>33</v>
      </c>
      <c r="I399">
        <v>2</v>
      </c>
      <c r="J399">
        <v>2</v>
      </c>
      <c r="K399" s="1" t="s">
        <v>34</v>
      </c>
      <c r="L399">
        <v>4</v>
      </c>
      <c r="M399" s="1" t="s">
        <v>35</v>
      </c>
      <c r="N399">
        <v>4487</v>
      </c>
      <c r="O399">
        <v>1</v>
      </c>
      <c r="P399" s="1" t="s">
        <v>30</v>
      </c>
      <c r="Q399">
        <v>11</v>
      </c>
      <c r="R399">
        <v>2</v>
      </c>
      <c r="S399">
        <v>0</v>
      </c>
      <c r="T399">
        <v>5</v>
      </c>
      <c r="U399">
        <v>3</v>
      </c>
      <c r="V399">
        <v>3</v>
      </c>
      <c r="W399">
        <v>5</v>
      </c>
      <c r="X399">
        <v>4</v>
      </c>
      <c r="Y399">
        <v>1</v>
      </c>
      <c r="Z399">
        <v>3</v>
      </c>
      <c r="AA399">
        <v>0</v>
      </c>
      <c r="AB399" s="1" t="s">
        <v>54</v>
      </c>
      <c r="AC399" t="s">
        <v>37</v>
      </c>
      <c r="AD399" t="s">
        <v>53</v>
      </c>
      <c r="AE399" s="2">
        <v>897.4</v>
      </c>
    </row>
    <row r="400" spans="1:31" x14ac:dyDescent="0.35">
      <c r="A400">
        <v>37</v>
      </c>
      <c r="B400" s="1" t="s">
        <v>39</v>
      </c>
      <c r="C400" s="1" t="s">
        <v>40</v>
      </c>
      <c r="D400">
        <v>25</v>
      </c>
      <c r="E400">
        <v>5</v>
      </c>
      <c r="F400" s="1" t="s">
        <v>49</v>
      </c>
      <c r="G400">
        <v>2</v>
      </c>
      <c r="H400" s="1" t="s">
        <v>33</v>
      </c>
      <c r="I400">
        <v>3</v>
      </c>
      <c r="J400">
        <v>2</v>
      </c>
      <c r="K400" s="1" t="s">
        <v>42</v>
      </c>
      <c r="L400">
        <v>3</v>
      </c>
      <c r="M400" s="1" t="s">
        <v>43</v>
      </c>
      <c r="N400">
        <v>4449</v>
      </c>
      <c r="O400">
        <v>3</v>
      </c>
      <c r="P400" s="1" t="s">
        <v>30</v>
      </c>
      <c r="Q400">
        <v>15</v>
      </c>
      <c r="R400">
        <v>1</v>
      </c>
      <c r="S400">
        <v>2</v>
      </c>
      <c r="T400">
        <v>15</v>
      </c>
      <c r="U400">
        <v>2</v>
      </c>
      <c r="V400">
        <v>3</v>
      </c>
      <c r="W400">
        <v>13</v>
      </c>
      <c r="X400">
        <v>11</v>
      </c>
      <c r="Y400">
        <v>10</v>
      </c>
      <c r="Z400">
        <v>7</v>
      </c>
      <c r="AA400">
        <v>0</v>
      </c>
      <c r="AB400" s="1" t="s">
        <v>36</v>
      </c>
      <c r="AC400" t="s">
        <v>37</v>
      </c>
      <c r="AD400" t="s">
        <v>57</v>
      </c>
      <c r="AE400" s="2">
        <v>342.23076923076923</v>
      </c>
    </row>
    <row r="401" spans="1:31" x14ac:dyDescent="0.35">
      <c r="A401">
        <v>31</v>
      </c>
      <c r="B401" s="1" t="s">
        <v>39</v>
      </c>
      <c r="C401" s="1" t="s">
        <v>40</v>
      </c>
      <c r="D401">
        <v>1</v>
      </c>
      <c r="E401">
        <v>2</v>
      </c>
      <c r="F401" s="1" t="s">
        <v>32</v>
      </c>
      <c r="G401">
        <v>4</v>
      </c>
      <c r="H401" s="1" t="s">
        <v>41</v>
      </c>
      <c r="I401">
        <v>2</v>
      </c>
      <c r="J401">
        <v>1</v>
      </c>
      <c r="K401" s="1" t="s">
        <v>45</v>
      </c>
      <c r="L401">
        <v>1</v>
      </c>
      <c r="M401" s="1" t="s">
        <v>43</v>
      </c>
      <c r="N401">
        <v>2218</v>
      </c>
      <c r="O401">
        <v>1</v>
      </c>
      <c r="P401" s="1" t="s">
        <v>39</v>
      </c>
      <c r="Q401">
        <v>12</v>
      </c>
      <c r="R401">
        <v>3</v>
      </c>
      <c r="S401">
        <v>1</v>
      </c>
      <c r="T401">
        <v>4</v>
      </c>
      <c r="U401">
        <v>3</v>
      </c>
      <c r="V401">
        <v>3</v>
      </c>
      <c r="W401">
        <v>4</v>
      </c>
      <c r="X401">
        <v>2</v>
      </c>
      <c r="Y401">
        <v>3</v>
      </c>
      <c r="Z401">
        <v>2</v>
      </c>
      <c r="AA401">
        <v>0</v>
      </c>
      <c r="AB401" s="1" t="s">
        <v>48</v>
      </c>
      <c r="AC401" t="s">
        <v>46</v>
      </c>
      <c r="AD401" t="s">
        <v>53</v>
      </c>
      <c r="AE401" s="2">
        <v>554.5</v>
      </c>
    </row>
    <row r="402" spans="1:31" x14ac:dyDescent="0.35">
      <c r="A402">
        <v>39</v>
      </c>
      <c r="B402" s="1" t="s">
        <v>39</v>
      </c>
      <c r="C402" s="1" t="s">
        <v>40</v>
      </c>
      <c r="D402">
        <v>1</v>
      </c>
      <c r="E402">
        <v>1</v>
      </c>
      <c r="F402" s="1" t="s">
        <v>32</v>
      </c>
      <c r="G402">
        <v>2</v>
      </c>
      <c r="H402" s="1" t="s">
        <v>41</v>
      </c>
      <c r="I402">
        <v>3</v>
      </c>
      <c r="J402">
        <v>5</v>
      </c>
      <c r="K402" s="1" t="s">
        <v>55</v>
      </c>
      <c r="L402">
        <v>3</v>
      </c>
      <c r="M402" s="1" t="s">
        <v>50</v>
      </c>
      <c r="N402">
        <v>19197</v>
      </c>
      <c r="O402">
        <v>1</v>
      </c>
      <c r="P402" s="1" t="s">
        <v>30</v>
      </c>
      <c r="Q402">
        <v>14</v>
      </c>
      <c r="R402">
        <v>3</v>
      </c>
      <c r="S402">
        <v>1</v>
      </c>
      <c r="T402">
        <v>21</v>
      </c>
      <c r="U402">
        <v>3</v>
      </c>
      <c r="V402">
        <v>3</v>
      </c>
      <c r="W402">
        <v>21</v>
      </c>
      <c r="X402">
        <v>8</v>
      </c>
      <c r="Y402">
        <v>1</v>
      </c>
      <c r="Z402">
        <v>6</v>
      </c>
      <c r="AA402">
        <v>0</v>
      </c>
      <c r="AB402" s="1" t="s">
        <v>36</v>
      </c>
      <c r="AC402" t="s">
        <v>56</v>
      </c>
      <c r="AD402" t="s">
        <v>57</v>
      </c>
      <c r="AE402" s="2">
        <v>914.14285714285711</v>
      </c>
    </row>
    <row r="403" spans="1:31" x14ac:dyDescent="0.35">
      <c r="A403">
        <v>56</v>
      </c>
      <c r="B403" s="1" t="s">
        <v>39</v>
      </c>
      <c r="C403" s="1" t="s">
        <v>31</v>
      </c>
      <c r="D403">
        <v>6</v>
      </c>
      <c r="E403">
        <v>3</v>
      </c>
      <c r="F403" s="1" t="s">
        <v>32</v>
      </c>
      <c r="G403">
        <v>3</v>
      </c>
      <c r="H403" s="1" t="s">
        <v>33</v>
      </c>
      <c r="I403">
        <v>4</v>
      </c>
      <c r="J403">
        <v>4</v>
      </c>
      <c r="K403" s="1" t="s">
        <v>34</v>
      </c>
      <c r="L403">
        <v>1</v>
      </c>
      <c r="M403" s="1" t="s">
        <v>43</v>
      </c>
      <c r="N403">
        <v>13212</v>
      </c>
      <c r="O403">
        <v>9</v>
      </c>
      <c r="P403" s="1" t="s">
        <v>39</v>
      </c>
      <c r="Q403">
        <v>11</v>
      </c>
      <c r="R403">
        <v>4</v>
      </c>
      <c r="S403">
        <v>3</v>
      </c>
      <c r="T403">
        <v>36</v>
      </c>
      <c r="U403">
        <v>0</v>
      </c>
      <c r="V403">
        <v>2</v>
      </c>
      <c r="W403">
        <v>7</v>
      </c>
      <c r="X403">
        <v>7</v>
      </c>
      <c r="Y403">
        <v>7</v>
      </c>
      <c r="Z403">
        <v>7</v>
      </c>
      <c r="AA403">
        <v>0</v>
      </c>
      <c r="AB403" s="1" t="s">
        <v>82</v>
      </c>
      <c r="AC403" t="s">
        <v>56</v>
      </c>
      <c r="AD403" t="s">
        <v>38</v>
      </c>
      <c r="AE403" s="2">
        <v>1887.4285714285713</v>
      </c>
    </row>
    <row r="404" spans="1:31" x14ac:dyDescent="0.35">
      <c r="A404">
        <v>30</v>
      </c>
      <c r="B404" s="1" t="s">
        <v>39</v>
      </c>
      <c r="C404" s="1" t="s">
        <v>31</v>
      </c>
      <c r="D404">
        <v>12</v>
      </c>
      <c r="E404">
        <v>3</v>
      </c>
      <c r="F404" s="1" t="s">
        <v>61</v>
      </c>
      <c r="G404">
        <v>2</v>
      </c>
      <c r="H404" s="1" t="s">
        <v>33</v>
      </c>
      <c r="I404">
        <v>3</v>
      </c>
      <c r="J404">
        <v>2</v>
      </c>
      <c r="K404" s="1" t="s">
        <v>34</v>
      </c>
      <c r="L404">
        <v>3</v>
      </c>
      <c r="M404" s="1" t="s">
        <v>35</v>
      </c>
      <c r="N404">
        <v>6577</v>
      </c>
      <c r="O404">
        <v>0</v>
      </c>
      <c r="P404" s="1" t="s">
        <v>39</v>
      </c>
      <c r="Q404">
        <v>11</v>
      </c>
      <c r="R404">
        <v>2</v>
      </c>
      <c r="S404">
        <v>0</v>
      </c>
      <c r="T404">
        <v>6</v>
      </c>
      <c r="U404">
        <v>6</v>
      </c>
      <c r="V404">
        <v>3</v>
      </c>
      <c r="W404">
        <v>5</v>
      </c>
      <c r="X404">
        <v>4</v>
      </c>
      <c r="Y404">
        <v>4</v>
      </c>
      <c r="Z404">
        <v>4</v>
      </c>
      <c r="AA404">
        <v>0</v>
      </c>
      <c r="AB404" s="1" t="s">
        <v>48</v>
      </c>
      <c r="AC404" t="s">
        <v>37</v>
      </c>
      <c r="AD404" t="s">
        <v>53</v>
      </c>
      <c r="AE404" s="2">
        <v>1315.4</v>
      </c>
    </row>
    <row r="405" spans="1:31" x14ac:dyDescent="0.35">
      <c r="A405">
        <v>41</v>
      </c>
      <c r="B405" s="1" t="s">
        <v>39</v>
      </c>
      <c r="C405" s="1" t="s">
        <v>31</v>
      </c>
      <c r="D405">
        <v>1</v>
      </c>
      <c r="E405">
        <v>3</v>
      </c>
      <c r="F405" s="1" t="s">
        <v>60</v>
      </c>
      <c r="G405">
        <v>2</v>
      </c>
      <c r="H405" s="1" t="s">
        <v>41</v>
      </c>
      <c r="I405">
        <v>4</v>
      </c>
      <c r="J405">
        <v>3</v>
      </c>
      <c r="K405" s="1" t="s">
        <v>34</v>
      </c>
      <c r="L405">
        <v>1</v>
      </c>
      <c r="M405" s="1" t="s">
        <v>43</v>
      </c>
      <c r="N405">
        <v>8392</v>
      </c>
      <c r="O405">
        <v>1</v>
      </c>
      <c r="P405" s="1" t="s">
        <v>39</v>
      </c>
      <c r="Q405">
        <v>16</v>
      </c>
      <c r="R405">
        <v>3</v>
      </c>
      <c r="S405">
        <v>1</v>
      </c>
      <c r="T405">
        <v>10</v>
      </c>
      <c r="U405">
        <v>2</v>
      </c>
      <c r="V405">
        <v>3</v>
      </c>
      <c r="W405">
        <v>10</v>
      </c>
      <c r="X405">
        <v>7</v>
      </c>
      <c r="Y405">
        <v>0</v>
      </c>
      <c r="Z405">
        <v>7</v>
      </c>
      <c r="AA405">
        <v>0</v>
      </c>
      <c r="AB405" s="1" t="s">
        <v>36</v>
      </c>
      <c r="AC405" t="s">
        <v>37</v>
      </c>
      <c r="AD405" t="s">
        <v>38</v>
      </c>
      <c r="AE405" s="2">
        <v>839.2</v>
      </c>
    </row>
    <row r="406" spans="1:31" x14ac:dyDescent="0.35">
      <c r="A406">
        <v>28</v>
      </c>
      <c r="B406" s="1" t="s">
        <v>39</v>
      </c>
      <c r="C406" s="1" t="s">
        <v>40</v>
      </c>
      <c r="D406">
        <v>17</v>
      </c>
      <c r="E406">
        <v>2</v>
      </c>
      <c r="F406" s="1" t="s">
        <v>49</v>
      </c>
      <c r="G406">
        <v>3</v>
      </c>
      <c r="H406" s="1" t="s">
        <v>41</v>
      </c>
      <c r="I406">
        <v>3</v>
      </c>
      <c r="J406">
        <v>2</v>
      </c>
      <c r="K406" s="1" t="s">
        <v>45</v>
      </c>
      <c r="L406">
        <v>1</v>
      </c>
      <c r="M406" s="1" t="s">
        <v>50</v>
      </c>
      <c r="N406">
        <v>4558</v>
      </c>
      <c r="O406">
        <v>1</v>
      </c>
      <c r="P406" s="1" t="s">
        <v>39</v>
      </c>
      <c r="Q406">
        <v>12</v>
      </c>
      <c r="R406">
        <v>4</v>
      </c>
      <c r="S406">
        <v>1</v>
      </c>
      <c r="T406">
        <v>10</v>
      </c>
      <c r="U406">
        <v>2</v>
      </c>
      <c r="V406">
        <v>3</v>
      </c>
      <c r="W406">
        <v>10</v>
      </c>
      <c r="X406">
        <v>0</v>
      </c>
      <c r="Y406">
        <v>1</v>
      </c>
      <c r="Z406">
        <v>8</v>
      </c>
      <c r="AA406">
        <v>0</v>
      </c>
      <c r="AB406" s="1" t="s">
        <v>48</v>
      </c>
      <c r="AC406" t="s">
        <v>37</v>
      </c>
      <c r="AD406" t="s">
        <v>38</v>
      </c>
      <c r="AE406" s="2">
        <v>455.8</v>
      </c>
    </row>
    <row r="407" spans="1:31" x14ac:dyDescent="0.35">
      <c r="A407">
        <v>25</v>
      </c>
      <c r="B407" s="1" t="s">
        <v>30</v>
      </c>
      <c r="C407" s="1" t="s">
        <v>40</v>
      </c>
      <c r="D407">
        <v>3</v>
      </c>
      <c r="E407">
        <v>3</v>
      </c>
      <c r="F407" s="1" t="s">
        <v>49</v>
      </c>
      <c r="G407">
        <v>1</v>
      </c>
      <c r="H407" s="1" t="s">
        <v>41</v>
      </c>
      <c r="I407">
        <v>3</v>
      </c>
      <c r="J407">
        <v>1</v>
      </c>
      <c r="K407" s="1" t="s">
        <v>45</v>
      </c>
      <c r="L407">
        <v>1</v>
      </c>
      <c r="M407" s="1" t="s">
        <v>43</v>
      </c>
      <c r="N407">
        <v>4031</v>
      </c>
      <c r="O407">
        <v>5</v>
      </c>
      <c r="P407" s="1" t="s">
        <v>39</v>
      </c>
      <c r="Q407">
        <v>13</v>
      </c>
      <c r="R407">
        <v>3</v>
      </c>
      <c r="S407">
        <v>1</v>
      </c>
      <c r="T407">
        <v>6</v>
      </c>
      <c r="U407">
        <v>5</v>
      </c>
      <c r="V407">
        <v>3</v>
      </c>
      <c r="W407">
        <v>2</v>
      </c>
      <c r="X407">
        <v>2</v>
      </c>
      <c r="Y407">
        <v>0</v>
      </c>
      <c r="Z407">
        <v>2</v>
      </c>
      <c r="AA407">
        <v>1</v>
      </c>
      <c r="AB407" s="1" t="s">
        <v>54</v>
      </c>
      <c r="AC407" t="s">
        <v>37</v>
      </c>
      <c r="AD407" t="s">
        <v>47</v>
      </c>
      <c r="AE407" s="2">
        <v>2015.5</v>
      </c>
    </row>
    <row r="408" spans="1:31" x14ac:dyDescent="0.35">
      <c r="A408">
        <v>52</v>
      </c>
      <c r="B408" s="1" t="s">
        <v>39</v>
      </c>
      <c r="C408" s="1" t="s">
        <v>40</v>
      </c>
      <c r="D408">
        <v>3</v>
      </c>
      <c r="E408">
        <v>3</v>
      </c>
      <c r="F408" s="1" t="s">
        <v>49</v>
      </c>
      <c r="G408">
        <v>4</v>
      </c>
      <c r="H408" s="1" t="s">
        <v>41</v>
      </c>
      <c r="I408">
        <v>2</v>
      </c>
      <c r="J408">
        <v>3</v>
      </c>
      <c r="K408" s="1" t="s">
        <v>51</v>
      </c>
      <c r="L408">
        <v>3</v>
      </c>
      <c r="M408" s="1" t="s">
        <v>43</v>
      </c>
      <c r="N408">
        <v>7969</v>
      </c>
      <c r="O408">
        <v>2</v>
      </c>
      <c r="P408" s="1" t="s">
        <v>30</v>
      </c>
      <c r="Q408">
        <v>14</v>
      </c>
      <c r="R408">
        <v>3</v>
      </c>
      <c r="S408">
        <v>0</v>
      </c>
      <c r="T408">
        <v>28</v>
      </c>
      <c r="U408">
        <v>4</v>
      </c>
      <c r="V408">
        <v>3</v>
      </c>
      <c r="W408">
        <v>5</v>
      </c>
      <c r="X408">
        <v>4</v>
      </c>
      <c r="Y408">
        <v>0</v>
      </c>
      <c r="Z408">
        <v>4</v>
      </c>
      <c r="AA408">
        <v>0</v>
      </c>
      <c r="AB408" s="1" t="s">
        <v>82</v>
      </c>
      <c r="AC408" t="s">
        <v>37</v>
      </c>
      <c r="AD408" t="s">
        <v>53</v>
      </c>
      <c r="AE408" s="2">
        <v>1593.8</v>
      </c>
    </row>
    <row r="409" spans="1:31" x14ac:dyDescent="0.35">
      <c r="A409">
        <v>45</v>
      </c>
      <c r="B409" s="1" t="s">
        <v>39</v>
      </c>
      <c r="C409" s="1" t="s">
        <v>40</v>
      </c>
      <c r="D409">
        <v>10</v>
      </c>
      <c r="E409">
        <v>2</v>
      </c>
      <c r="F409" s="1" t="s">
        <v>32</v>
      </c>
      <c r="G409">
        <v>1</v>
      </c>
      <c r="H409" s="1" t="s">
        <v>41</v>
      </c>
      <c r="I409">
        <v>3</v>
      </c>
      <c r="J409">
        <v>1</v>
      </c>
      <c r="K409" s="1" t="s">
        <v>42</v>
      </c>
      <c r="L409">
        <v>4</v>
      </c>
      <c r="M409" s="1" t="s">
        <v>43</v>
      </c>
      <c r="N409">
        <v>2654</v>
      </c>
      <c r="O409">
        <v>3</v>
      </c>
      <c r="P409" s="1" t="s">
        <v>39</v>
      </c>
      <c r="Q409">
        <v>21</v>
      </c>
      <c r="R409">
        <v>4</v>
      </c>
      <c r="S409">
        <v>2</v>
      </c>
      <c r="T409">
        <v>8</v>
      </c>
      <c r="U409">
        <v>3</v>
      </c>
      <c r="V409">
        <v>2</v>
      </c>
      <c r="W409">
        <v>2</v>
      </c>
      <c r="X409">
        <v>2</v>
      </c>
      <c r="Y409">
        <v>0</v>
      </c>
      <c r="Z409">
        <v>2</v>
      </c>
      <c r="AA409">
        <v>0</v>
      </c>
      <c r="AB409" s="1" t="s">
        <v>36</v>
      </c>
      <c r="AC409" t="s">
        <v>46</v>
      </c>
      <c r="AD409" t="s">
        <v>47</v>
      </c>
      <c r="AE409" s="2">
        <v>1327</v>
      </c>
    </row>
    <row r="410" spans="1:31" x14ac:dyDescent="0.35">
      <c r="A410">
        <v>52</v>
      </c>
      <c r="B410" s="1" t="s">
        <v>39</v>
      </c>
      <c r="C410" s="1" t="s">
        <v>40</v>
      </c>
      <c r="D410">
        <v>4</v>
      </c>
      <c r="E410">
        <v>2</v>
      </c>
      <c r="F410" s="1" t="s">
        <v>32</v>
      </c>
      <c r="G410">
        <v>4</v>
      </c>
      <c r="H410" s="1" t="s">
        <v>33</v>
      </c>
      <c r="I410">
        <v>3</v>
      </c>
      <c r="J410">
        <v>4</v>
      </c>
      <c r="K410" s="1" t="s">
        <v>55</v>
      </c>
      <c r="L410">
        <v>4</v>
      </c>
      <c r="M410" s="1" t="s">
        <v>43</v>
      </c>
      <c r="N410">
        <v>16555</v>
      </c>
      <c r="O410">
        <v>2</v>
      </c>
      <c r="P410" s="1" t="s">
        <v>39</v>
      </c>
      <c r="Q410">
        <v>13</v>
      </c>
      <c r="R410">
        <v>4</v>
      </c>
      <c r="S410">
        <v>0</v>
      </c>
      <c r="T410">
        <v>31</v>
      </c>
      <c r="U410">
        <v>2</v>
      </c>
      <c r="V410">
        <v>1</v>
      </c>
      <c r="W410">
        <v>5</v>
      </c>
      <c r="X410">
        <v>2</v>
      </c>
      <c r="Y410">
        <v>1</v>
      </c>
      <c r="Z410">
        <v>4</v>
      </c>
      <c r="AA410">
        <v>0</v>
      </c>
      <c r="AB410" s="1" t="s">
        <v>82</v>
      </c>
      <c r="AC410" t="s">
        <v>56</v>
      </c>
      <c r="AD410" t="s">
        <v>53</v>
      </c>
      <c r="AE410" s="2">
        <v>3311</v>
      </c>
    </row>
    <row r="411" spans="1:31" x14ac:dyDescent="0.35">
      <c r="A411">
        <v>42</v>
      </c>
      <c r="B411" s="1" t="s">
        <v>39</v>
      </c>
      <c r="C411" s="1" t="s">
        <v>40</v>
      </c>
      <c r="D411">
        <v>29</v>
      </c>
      <c r="E411">
        <v>2</v>
      </c>
      <c r="F411" s="1" t="s">
        <v>32</v>
      </c>
      <c r="G411">
        <v>1</v>
      </c>
      <c r="H411" s="1" t="s">
        <v>33</v>
      </c>
      <c r="I411">
        <v>3</v>
      </c>
      <c r="J411">
        <v>2</v>
      </c>
      <c r="K411" s="1" t="s">
        <v>42</v>
      </c>
      <c r="L411">
        <v>3</v>
      </c>
      <c r="M411" s="1" t="s">
        <v>50</v>
      </c>
      <c r="N411">
        <v>4556</v>
      </c>
      <c r="O411">
        <v>2</v>
      </c>
      <c r="P411" s="1" t="s">
        <v>39</v>
      </c>
      <c r="Q411">
        <v>11</v>
      </c>
      <c r="R411">
        <v>2</v>
      </c>
      <c r="S411">
        <v>1</v>
      </c>
      <c r="T411">
        <v>19</v>
      </c>
      <c r="U411">
        <v>3</v>
      </c>
      <c r="V411">
        <v>3</v>
      </c>
      <c r="W411">
        <v>5</v>
      </c>
      <c r="X411">
        <v>4</v>
      </c>
      <c r="Y411">
        <v>0</v>
      </c>
      <c r="Z411">
        <v>2</v>
      </c>
      <c r="AA411">
        <v>0</v>
      </c>
      <c r="AB411" s="1" t="s">
        <v>36</v>
      </c>
      <c r="AC411" t="s">
        <v>37</v>
      </c>
      <c r="AD411" t="s">
        <v>53</v>
      </c>
      <c r="AE411" s="2">
        <v>911.2</v>
      </c>
    </row>
    <row r="412" spans="1:31" x14ac:dyDescent="0.35">
      <c r="A412">
        <v>30</v>
      </c>
      <c r="B412" s="1" t="s">
        <v>39</v>
      </c>
      <c r="C412" s="1" t="s">
        <v>40</v>
      </c>
      <c r="D412">
        <v>2</v>
      </c>
      <c r="E412">
        <v>3</v>
      </c>
      <c r="F412" s="1" t="s">
        <v>32</v>
      </c>
      <c r="G412">
        <v>3</v>
      </c>
      <c r="H412" s="1" t="s">
        <v>33</v>
      </c>
      <c r="I412">
        <v>1</v>
      </c>
      <c r="J412">
        <v>2</v>
      </c>
      <c r="K412" s="1" t="s">
        <v>51</v>
      </c>
      <c r="L412">
        <v>4</v>
      </c>
      <c r="M412" s="1" t="s">
        <v>35</v>
      </c>
      <c r="N412">
        <v>6091</v>
      </c>
      <c r="O412">
        <v>2</v>
      </c>
      <c r="P412" s="1" t="s">
        <v>39</v>
      </c>
      <c r="Q412">
        <v>20</v>
      </c>
      <c r="R412">
        <v>3</v>
      </c>
      <c r="S412">
        <v>0</v>
      </c>
      <c r="T412">
        <v>11</v>
      </c>
      <c r="U412">
        <v>2</v>
      </c>
      <c r="V412">
        <v>3</v>
      </c>
      <c r="W412">
        <v>5</v>
      </c>
      <c r="X412">
        <v>4</v>
      </c>
      <c r="Y412">
        <v>0</v>
      </c>
      <c r="Z412">
        <v>2</v>
      </c>
      <c r="AA412">
        <v>0</v>
      </c>
      <c r="AB412" s="1" t="s">
        <v>48</v>
      </c>
      <c r="AC412" t="s">
        <v>37</v>
      </c>
      <c r="AD412" t="s">
        <v>53</v>
      </c>
      <c r="AE412" s="2">
        <v>1218.2</v>
      </c>
    </row>
    <row r="413" spans="1:31" x14ac:dyDescent="0.35">
      <c r="A413">
        <v>60</v>
      </c>
      <c r="B413" s="1" t="s">
        <v>39</v>
      </c>
      <c r="C413" s="1" t="s">
        <v>40</v>
      </c>
      <c r="D413">
        <v>7</v>
      </c>
      <c r="E413">
        <v>3</v>
      </c>
      <c r="F413" s="1" t="s">
        <v>32</v>
      </c>
      <c r="G413">
        <v>1</v>
      </c>
      <c r="H413" s="1" t="s">
        <v>33</v>
      </c>
      <c r="I413">
        <v>3</v>
      </c>
      <c r="J413">
        <v>5</v>
      </c>
      <c r="K413" s="1" t="s">
        <v>55</v>
      </c>
      <c r="L413">
        <v>1</v>
      </c>
      <c r="M413" s="1" t="s">
        <v>43</v>
      </c>
      <c r="N413">
        <v>19566</v>
      </c>
      <c r="O413">
        <v>5</v>
      </c>
      <c r="P413" s="1" t="s">
        <v>39</v>
      </c>
      <c r="Q413">
        <v>11</v>
      </c>
      <c r="R413">
        <v>4</v>
      </c>
      <c r="S413">
        <v>0</v>
      </c>
      <c r="T413">
        <v>33</v>
      </c>
      <c r="U413">
        <v>5</v>
      </c>
      <c r="V413">
        <v>1</v>
      </c>
      <c r="W413">
        <v>29</v>
      </c>
      <c r="X413">
        <v>8</v>
      </c>
      <c r="Y413">
        <v>11</v>
      </c>
      <c r="Z413">
        <v>10</v>
      </c>
      <c r="AA413">
        <v>0</v>
      </c>
      <c r="AB413" s="1" t="s">
        <v>82</v>
      </c>
      <c r="AC413" t="s">
        <v>56</v>
      </c>
      <c r="AD413" t="s">
        <v>57</v>
      </c>
      <c r="AE413" s="2">
        <v>674.68965517241384</v>
      </c>
    </row>
    <row r="414" spans="1:31" x14ac:dyDescent="0.35">
      <c r="A414">
        <v>46</v>
      </c>
      <c r="B414" s="1" t="s">
        <v>39</v>
      </c>
      <c r="C414" s="1" t="s">
        <v>40</v>
      </c>
      <c r="D414">
        <v>18</v>
      </c>
      <c r="E414">
        <v>3</v>
      </c>
      <c r="F414" s="1" t="s">
        <v>49</v>
      </c>
      <c r="G414">
        <v>3</v>
      </c>
      <c r="H414" s="1" t="s">
        <v>33</v>
      </c>
      <c r="I414">
        <v>3</v>
      </c>
      <c r="J414">
        <v>2</v>
      </c>
      <c r="K414" s="1" t="s">
        <v>51</v>
      </c>
      <c r="L414">
        <v>3</v>
      </c>
      <c r="M414" s="1" t="s">
        <v>50</v>
      </c>
      <c r="N414">
        <v>4810</v>
      </c>
      <c r="O414">
        <v>2</v>
      </c>
      <c r="P414" s="1" t="s">
        <v>39</v>
      </c>
      <c r="Q414">
        <v>14</v>
      </c>
      <c r="R414">
        <v>3</v>
      </c>
      <c r="S414">
        <v>1</v>
      </c>
      <c r="T414">
        <v>19</v>
      </c>
      <c r="U414">
        <v>5</v>
      </c>
      <c r="V414">
        <v>2</v>
      </c>
      <c r="W414">
        <v>10</v>
      </c>
      <c r="X414">
        <v>7</v>
      </c>
      <c r="Y414">
        <v>0</v>
      </c>
      <c r="Z414">
        <v>8</v>
      </c>
      <c r="AA414">
        <v>0</v>
      </c>
      <c r="AB414" s="1" t="s">
        <v>82</v>
      </c>
      <c r="AC414" t="s">
        <v>37</v>
      </c>
      <c r="AD414" t="s">
        <v>38</v>
      </c>
      <c r="AE414" s="2">
        <v>481</v>
      </c>
    </row>
    <row r="415" spans="1:31" x14ac:dyDescent="0.35">
      <c r="A415">
        <v>42</v>
      </c>
      <c r="B415" s="1" t="s">
        <v>39</v>
      </c>
      <c r="C415" s="1" t="s">
        <v>40</v>
      </c>
      <c r="D415">
        <v>28</v>
      </c>
      <c r="E415">
        <v>4</v>
      </c>
      <c r="F415" s="1" t="s">
        <v>61</v>
      </c>
      <c r="G415">
        <v>4</v>
      </c>
      <c r="H415" s="1" t="s">
        <v>33</v>
      </c>
      <c r="I415">
        <v>2</v>
      </c>
      <c r="J415">
        <v>2</v>
      </c>
      <c r="K415" s="1" t="s">
        <v>52</v>
      </c>
      <c r="L415">
        <v>4</v>
      </c>
      <c r="M415" s="1" t="s">
        <v>43</v>
      </c>
      <c r="N415">
        <v>4523</v>
      </c>
      <c r="O415">
        <v>0</v>
      </c>
      <c r="P415" s="1" t="s">
        <v>39</v>
      </c>
      <c r="Q415">
        <v>11</v>
      </c>
      <c r="R415">
        <v>4</v>
      </c>
      <c r="S415">
        <v>3</v>
      </c>
      <c r="T415">
        <v>7</v>
      </c>
      <c r="U415">
        <v>4</v>
      </c>
      <c r="V415">
        <v>4</v>
      </c>
      <c r="W415">
        <v>6</v>
      </c>
      <c r="X415">
        <v>5</v>
      </c>
      <c r="Y415">
        <v>0</v>
      </c>
      <c r="Z415">
        <v>4</v>
      </c>
      <c r="AA415">
        <v>0</v>
      </c>
      <c r="AB415" s="1" t="s">
        <v>36</v>
      </c>
      <c r="AC415" t="s">
        <v>37</v>
      </c>
      <c r="AD415" t="s">
        <v>38</v>
      </c>
      <c r="AE415" s="2">
        <v>753.83333333333337</v>
      </c>
    </row>
    <row r="416" spans="1:31" x14ac:dyDescent="0.35">
      <c r="A416">
        <v>24</v>
      </c>
      <c r="B416" s="1" t="s">
        <v>30</v>
      </c>
      <c r="C416" s="1" t="s">
        <v>31</v>
      </c>
      <c r="D416">
        <v>1</v>
      </c>
      <c r="E416">
        <v>1</v>
      </c>
      <c r="F416" s="1" t="s">
        <v>61</v>
      </c>
      <c r="G416">
        <v>1</v>
      </c>
      <c r="H416" s="1" t="s">
        <v>33</v>
      </c>
      <c r="I416">
        <v>3</v>
      </c>
      <c r="J416">
        <v>1</v>
      </c>
      <c r="K416" s="1" t="s">
        <v>58</v>
      </c>
      <c r="L416">
        <v>2</v>
      </c>
      <c r="M416" s="1" t="s">
        <v>35</v>
      </c>
      <c r="N416">
        <v>3202</v>
      </c>
      <c r="O416">
        <v>1</v>
      </c>
      <c r="P416" s="1" t="s">
        <v>30</v>
      </c>
      <c r="Q416">
        <v>16</v>
      </c>
      <c r="R416">
        <v>2</v>
      </c>
      <c r="S416">
        <v>0</v>
      </c>
      <c r="T416">
        <v>6</v>
      </c>
      <c r="U416">
        <v>4</v>
      </c>
      <c r="V416">
        <v>3</v>
      </c>
      <c r="W416">
        <v>5</v>
      </c>
      <c r="X416">
        <v>3</v>
      </c>
      <c r="Y416">
        <v>1</v>
      </c>
      <c r="Z416">
        <v>4</v>
      </c>
      <c r="AA416">
        <v>1</v>
      </c>
      <c r="AB416" s="1" t="s">
        <v>54</v>
      </c>
      <c r="AC416" t="s">
        <v>46</v>
      </c>
      <c r="AD416" t="s">
        <v>53</v>
      </c>
      <c r="AE416" s="2">
        <v>640.4</v>
      </c>
    </row>
    <row r="417" spans="1:31" x14ac:dyDescent="0.35">
      <c r="A417">
        <v>34</v>
      </c>
      <c r="B417" s="1" t="s">
        <v>30</v>
      </c>
      <c r="C417" s="1" t="s">
        <v>31</v>
      </c>
      <c r="D417">
        <v>6</v>
      </c>
      <c r="E417">
        <v>2</v>
      </c>
      <c r="F417" s="1" t="s">
        <v>60</v>
      </c>
      <c r="G417">
        <v>4</v>
      </c>
      <c r="H417" s="1" t="s">
        <v>33</v>
      </c>
      <c r="I417">
        <v>1</v>
      </c>
      <c r="J417">
        <v>1</v>
      </c>
      <c r="K417" s="1" t="s">
        <v>58</v>
      </c>
      <c r="L417">
        <v>3</v>
      </c>
      <c r="M417" s="1" t="s">
        <v>50</v>
      </c>
      <c r="N417">
        <v>2351</v>
      </c>
      <c r="O417">
        <v>0</v>
      </c>
      <c r="P417" s="1" t="s">
        <v>39</v>
      </c>
      <c r="Q417">
        <v>16</v>
      </c>
      <c r="R417">
        <v>4</v>
      </c>
      <c r="S417">
        <v>1</v>
      </c>
      <c r="T417">
        <v>3</v>
      </c>
      <c r="U417">
        <v>3</v>
      </c>
      <c r="V417">
        <v>2</v>
      </c>
      <c r="W417">
        <v>2</v>
      </c>
      <c r="X417">
        <v>2</v>
      </c>
      <c r="Y417">
        <v>1</v>
      </c>
      <c r="Z417">
        <v>0</v>
      </c>
      <c r="AA417">
        <v>1</v>
      </c>
      <c r="AB417" s="1" t="s">
        <v>48</v>
      </c>
      <c r="AC417" t="s">
        <v>46</v>
      </c>
      <c r="AD417" t="s">
        <v>47</v>
      </c>
      <c r="AE417" s="2">
        <v>1175.5</v>
      </c>
    </row>
    <row r="418" spans="1:31" x14ac:dyDescent="0.35">
      <c r="A418">
        <v>38</v>
      </c>
      <c r="B418" s="1" t="s">
        <v>39</v>
      </c>
      <c r="C418" s="1" t="s">
        <v>40</v>
      </c>
      <c r="D418">
        <v>2</v>
      </c>
      <c r="E418">
        <v>2</v>
      </c>
      <c r="F418" s="1" t="s">
        <v>32</v>
      </c>
      <c r="G418">
        <v>4</v>
      </c>
      <c r="H418" s="1" t="s">
        <v>41</v>
      </c>
      <c r="I418">
        <v>3</v>
      </c>
      <c r="J418">
        <v>1</v>
      </c>
      <c r="K418" s="1" t="s">
        <v>45</v>
      </c>
      <c r="L418">
        <v>4</v>
      </c>
      <c r="M418" s="1" t="s">
        <v>43</v>
      </c>
      <c r="N418">
        <v>1702</v>
      </c>
      <c r="O418">
        <v>1</v>
      </c>
      <c r="P418" s="1" t="s">
        <v>30</v>
      </c>
      <c r="Q418">
        <v>23</v>
      </c>
      <c r="R418">
        <v>3</v>
      </c>
      <c r="S418">
        <v>1</v>
      </c>
      <c r="T418">
        <v>1</v>
      </c>
      <c r="U418">
        <v>3</v>
      </c>
      <c r="V418">
        <v>3</v>
      </c>
      <c r="W418">
        <v>1</v>
      </c>
      <c r="X418">
        <v>0</v>
      </c>
      <c r="Y418">
        <v>0</v>
      </c>
      <c r="Z418">
        <v>0</v>
      </c>
      <c r="AA418">
        <v>0</v>
      </c>
      <c r="AB418" s="1" t="s">
        <v>36</v>
      </c>
      <c r="AC418" t="s">
        <v>46</v>
      </c>
      <c r="AD418" t="s">
        <v>47</v>
      </c>
      <c r="AE418" s="2">
        <v>1702</v>
      </c>
    </row>
    <row r="419" spans="1:31" x14ac:dyDescent="0.35">
      <c r="A419">
        <v>40</v>
      </c>
      <c r="B419" s="1" t="s">
        <v>39</v>
      </c>
      <c r="C419" s="1" t="s">
        <v>31</v>
      </c>
      <c r="D419">
        <v>2</v>
      </c>
      <c r="E419">
        <v>4</v>
      </c>
      <c r="F419" s="1" t="s">
        <v>32</v>
      </c>
      <c r="G419">
        <v>3</v>
      </c>
      <c r="H419" s="1" t="s">
        <v>33</v>
      </c>
      <c r="I419">
        <v>3</v>
      </c>
      <c r="J419">
        <v>5</v>
      </c>
      <c r="K419" s="1" t="s">
        <v>55</v>
      </c>
      <c r="L419">
        <v>3</v>
      </c>
      <c r="M419" s="1" t="s">
        <v>43</v>
      </c>
      <c r="N419">
        <v>18041</v>
      </c>
      <c r="O419">
        <v>0</v>
      </c>
      <c r="P419" s="1" t="s">
        <v>39</v>
      </c>
      <c r="Q419">
        <v>14</v>
      </c>
      <c r="R419">
        <v>4</v>
      </c>
      <c r="S419">
        <v>0</v>
      </c>
      <c r="T419">
        <v>21</v>
      </c>
      <c r="U419">
        <v>2</v>
      </c>
      <c r="V419">
        <v>3</v>
      </c>
      <c r="W419">
        <v>20</v>
      </c>
      <c r="X419">
        <v>15</v>
      </c>
      <c r="Y419">
        <v>1</v>
      </c>
      <c r="Z419">
        <v>12</v>
      </c>
      <c r="AA419">
        <v>0</v>
      </c>
      <c r="AB419" s="1" t="s">
        <v>36</v>
      </c>
      <c r="AC419" t="s">
        <v>56</v>
      </c>
      <c r="AD419" t="s">
        <v>57</v>
      </c>
      <c r="AE419" s="2">
        <v>902.05</v>
      </c>
    </row>
    <row r="420" spans="1:31" x14ac:dyDescent="0.35">
      <c r="A420">
        <v>26</v>
      </c>
      <c r="B420" s="1" t="s">
        <v>39</v>
      </c>
      <c r="C420" s="1" t="s">
        <v>40</v>
      </c>
      <c r="D420">
        <v>23</v>
      </c>
      <c r="E420">
        <v>3</v>
      </c>
      <c r="F420" s="1" t="s">
        <v>32</v>
      </c>
      <c r="G420">
        <v>1</v>
      </c>
      <c r="H420" s="1" t="s">
        <v>33</v>
      </c>
      <c r="I420">
        <v>3</v>
      </c>
      <c r="J420">
        <v>1</v>
      </c>
      <c r="K420" s="1" t="s">
        <v>42</v>
      </c>
      <c r="L420">
        <v>4</v>
      </c>
      <c r="M420" s="1" t="s">
        <v>50</v>
      </c>
      <c r="N420">
        <v>2886</v>
      </c>
      <c r="O420">
        <v>1</v>
      </c>
      <c r="P420" s="1" t="s">
        <v>39</v>
      </c>
      <c r="Q420">
        <v>22</v>
      </c>
      <c r="R420">
        <v>2</v>
      </c>
      <c r="S420">
        <v>2</v>
      </c>
      <c r="T420">
        <v>3</v>
      </c>
      <c r="U420">
        <v>3</v>
      </c>
      <c r="V420">
        <v>1</v>
      </c>
      <c r="W420">
        <v>3</v>
      </c>
      <c r="X420">
        <v>2</v>
      </c>
      <c r="Y420">
        <v>0</v>
      </c>
      <c r="Z420">
        <v>2</v>
      </c>
      <c r="AA420">
        <v>0</v>
      </c>
      <c r="AB420" s="1" t="s">
        <v>48</v>
      </c>
      <c r="AC420" t="s">
        <v>46</v>
      </c>
      <c r="AD420" t="s">
        <v>53</v>
      </c>
      <c r="AE420" s="2">
        <v>962</v>
      </c>
    </row>
    <row r="421" spans="1:31" x14ac:dyDescent="0.35">
      <c r="A421">
        <v>30</v>
      </c>
      <c r="B421" s="1" t="s">
        <v>39</v>
      </c>
      <c r="C421" s="1" t="s">
        <v>40</v>
      </c>
      <c r="D421">
        <v>3</v>
      </c>
      <c r="E421">
        <v>3</v>
      </c>
      <c r="F421" s="1" t="s">
        <v>32</v>
      </c>
      <c r="G421">
        <v>3</v>
      </c>
      <c r="H421" s="1" t="s">
        <v>41</v>
      </c>
      <c r="I421">
        <v>3</v>
      </c>
      <c r="J421">
        <v>1</v>
      </c>
      <c r="K421" s="1" t="s">
        <v>45</v>
      </c>
      <c r="L421">
        <v>4</v>
      </c>
      <c r="M421" s="1" t="s">
        <v>43</v>
      </c>
      <c r="N421">
        <v>2097</v>
      </c>
      <c r="O421">
        <v>4</v>
      </c>
      <c r="P421" s="1" t="s">
        <v>39</v>
      </c>
      <c r="Q421">
        <v>15</v>
      </c>
      <c r="R421">
        <v>3</v>
      </c>
      <c r="S421">
        <v>1</v>
      </c>
      <c r="T421">
        <v>9</v>
      </c>
      <c r="U421">
        <v>3</v>
      </c>
      <c r="V421">
        <v>1</v>
      </c>
      <c r="W421">
        <v>5</v>
      </c>
      <c r="X421">
        <v>3</v>
      </c>
      <c r="Y421">
        <v>1</v>
      </c>
      <c r="Z421">
        <v>4</v>
      </c>
      <c r="AA421">
        <v>0</v>
      </c>
      <c r="AB421" s="1" t="s">
        <v>48</v>
      </c>
      <c r="AC421" t="s">
        <v>46</v>
      </c>
      <c r="AD421" t="s">
        <v>53</v>
      </c>
      <c r="AE421" s="2">
        <v>419.4</v>
      </c>
    </row>
    <row r="422" spans="1:31" x14ac:dyDescent="0.35">
      <c r="A422">
        <v>29</v>
      </c>
      <c r="B422" s="1" t="s">
        <v>39</v>
      </c>
      <c r="C422" s="1" t="s">
        <v>40</v>
      </c>
      <c r="D422">
        <v>3</v>
      </c>
      <c r="E422">
        <v>4</v>
      </c>
      <c r="F422" s="1" t="s">
        <v>49</v>
      </c>
      <c r="G422">
        <v>2</v>
      </c>
      <c r="H422" s="1" t="s">
        <v>41</v>
      </c>
      <c r="I422">
        <v>2</v>
      </c>
      <c r="J422">
        <v>3</v>
      </c>
      <c r="K422" s="1" t="s">
        <v>59</v>
      </c>
      <c r="L422">
        <v>3</v>
      </c>
      <c r="M422" s="1" t="s">
        <v>43</v>
      </c>
      <c r="N422">
        <v>11935</v>
      </c>
      <c r="O422">
        <v>1</v>
      </c>
      <c r="P422" s="1" t="s">
        <v>39</v>
      </c>
      <c r="Q422">
        <v>18</v>
      </c>
      <c r="R422">
        <v>3</v>
      </c>
      <c r="S422">
        <v>0</v>
      </c>
      <c r="T422">
        <v>10</v>
      </c>
      <c r="U422">
        <v>2</v>
      </c>
      <c r="V422">
        <v>3</v>
      </c>
      <c r="W422">
        <v>10</v>
      </c>
      <c r="X422">
        <v>2</v>
      </c>
      <c r="Y422">
        <v>0</v>
      </c>
      <c r="Z422">
        <v>7</v>
      </c>
      <c r="AA422">
        <v>0</v>
      </c>
      <c r="AB422" s="1" t="s">
        <v>48</v>
      </c>
      <c r="AC422" t="s">
        <v>56</v>
      </c>
      <c r="AD422" t="s">
        <v>38</v>
      </c>
      <c r="AE422" s="2">
        <v>1193.5</v>
      </c>
    </row>
    <row r="423" spans="1:31" x14ac:dyDescent="0.35">
      <c r="A423">
        <v>29</v>
      </c>
      <c r="B423" s="1" t="s">
        <v>30</v>
      </c>
      <c r="C423" s="1" t="s">
        <v>40</v>
      </c>
      <c r="D423">
        <v>25</v>
      </c>
      <c r="E423">
        <v>5</v>
      </c>
      <c r="F423" s="1" t="s">
        <v>61</v>
      </c>
      <c r="G423">
        <v>3</v>
      </c>
      <c r="H423" s="1" t="s">
        <v>33</v>
      </c>
      <c r="I423">
        <v>2</v>
      </c>
      <c r="J423">
        <v>1</v>
      </c>
      <c r="K423" s="1" t="s">
        <v>42</v>
      </c>
      <c r="L423">
        <v>2</v>
      </c>
      <c r="M423" s="1" t="s">
        <v>43</v>
      </c>
      <c r="N423">
        <v>2546</v>
      </c>
      <c r="O423">
        <v>5</v>
      </c>
      <c r="P423" s="1" t="s">
        <v>39</v>
      </c>
      <c r="Q423">
        <v>16</v>
      </c>
      <c r="R423">
        <v>2</v>
      </c>
      <c r="S423">
        <v>0</v>
      </c>
      <c r="T423">
        <v>6</v>
      </c>
      <c r="U423">
        <v>2</v>
      </c>
      <c r="V423">
        <v>4</v>
      </c>
      <c r="W423">
        <v>2</v>
      </c>
      <c r="X423">
        <v>2</v>
      </c>
      <c r="Y423">
        <v>1</v>
      </c>
      <c r="Z423">
        <v>1</v>
      </c>
      <c r="AA423">
        <v>1</v>
      </c>
      <c r="AB423" s="1" t="s">
        <v>48</v>
      </c>
      <c r="AC423" t="s">
        <v>46</v>
      </c>
      <c r="AD423" t="s">
        <v>47</v>
      </c>
      <c r="AE423" s="2">
        <v>1273</v>
      </c>
    </row>
    <row r="424" spans="1:31" x14ac:dyDescent="0.35">
      <c r="A424">
        <v>19</v>
      </c>
      <c r="B424" s="1" t="s">
        <v>30</v>
      </c>
      <c r="C424" s="1" t="s">
        <v>62</v>
      </c>
      <c r="D424">
        <v>2</v>
      </c>
      <c r="E424">
        <v>2</v>
      </c>
      <c r="F424" s="1" t="s">
        <v>61</v>
      </c>
      <c r="G424">
        <v>1</v>
      </c>
      <c r="H424" s="1" t="s">
        <v>41</v>
      </c>
      <c r="I424">
        <v>2</v>
      </c>
      <c r="J424">
        <v>1</v>
      </c>
      <c r="K424" s="1" t="s">
        <v>62</v>
      </c>
      <c r="L424">
        <v>4</v>
      </c>
      <c r="M424" s="1" t="s">
        <v>35</v>
      </c>
      <c r="N424">
        <v>2564</v>
      </c>
      <c r="O424">
        <v>1</v>
      </c>
      <c r="P424" s="1" t="s">
        <v>39</v>
      </c>
      <c r="Q424">
        <v>12</v>
      </c>
      <c r="R424">
        <v>3</v>
      </c>
      <c r="S424">
        <v>0</v>
      </c>
      <c r="T424">
        <v>1</v>
      </c>
      <c r="U424">
        <v>3</v>
      </c>
      <c r="V424">
        <v>4</v>
      </c>
      <c r="W424">
        <v>1</v>
      </c>
      <c r="X424">
        <v>0</v>
      </c>
      <c r="Y424">
        <v>0</v>
      </c>
      <c r="Z424">
        <v>0</v>
      </c>
      <c r="AA424">
        <v>1</v>
      </c>
      <c r="AB424" s="1" t="s">
        <v>54</v>
      </c>
      <c r="AC424" t="s">
        <v>46</v>
      </c>
      <c r="AD424" t="s">
        <v>47</v>
      </c>
      <c r="AE424" s="2">
        <v>2564</v>
      </c>
    </row>
    <row r="425" spans="1:31" x14ac:dyDescent="0.35">
      <c r="A425">
        <v>30</v>
      </c>
      <c r="B425" s="1" t="s">
        <v>39</v>
      </c>
      <c r="C425" s="1" t="s">
        <v>31</v>
      </c>
      <c r="D425">
        <v>22</v>
      </c>
      <c r="E425">
        <v>4</v>
      </c>
      <c r="F425" s="1" t="s">
        <v>44</v>
      </c>
      <c r="G425">
        <v>3</v>
      </c>
      <c r="H425" s="1" t="s">
        <v>33</v>
      </c>
      <c r="I425">
        <v>3</v>
      </c>
      <c r="J425">
        <v>3</v>
      </c>
      <c r="K425" s="1" t="s">
        <v>34</v>
      </c>
      <c r="L425">
        <v>1</v>
      </c>
      <c r="M425" s="1" t="s">
        <v>43</v>
      </c>
      <c r="N425">
        <v>8412</v>
      </c>
      <c r="O425">
        <v>0</v>
      </c>
      <c r="P425" s="1" t="s">
        <v>39</v>
      </c>
      <c r="Q425">
        <v>11</v>
      </c>
      <c r="R425">
        <v>3</v>
      </c>
      <c r="S425">
        <v>0</v>
      </c>
      <c r="T425">
        <v>10</v>
      </c>
      <c r="U425">
        <v>3</v>
      </c>
      <c r="V425">
        <v>3</v>
      </c>
      <c r="W425">
        <v>9</v>
      </c>
      <c r="X425">
        <v>8</v>
      </c>
      <c r="Y425">
        <v>7</v>
      </c>
      <c r="Z425">
        <v>8</v>
      </c>
      <c r="AA425">
        <v>0</v>
      </c>
      <c r="AB425" s="1" t="s">
        <v>48</v>
      </c>
      <c r="AC425" t="s">
        <v>37</v>
      </c>
      <c r="AD425" t="s">
        <v>38</v>
      </c>
      <c r="AE425" s="2">
        <v>934.66666666666663</v>
      </c>
    </row>
    <row r="426" spans="1:31" x14ac:dyDescent="0.35">
      <c r="A426">
        <v>57</v>
      </c>
      <c r="B426" s="1" t="s">
        <v>39</v>
      </c>
      <c r="C426" s="1" t="s">
        <v>31</v>
      </c>
      <c r="D426">
        <v>29</v>
      </c>
      <c r="E426">
        <v>3</v>
      </c>
      <c r="F426" s="1" t="s">
        <v>60</v>
      </c>
      <c r="G426">
        <v>1</v>
      </c>
      <c r="H426" s="1" t="s">
        <v>41</v>
      </c>
      <c r="I426">
        <v>2</v>
      </c>
      <c r="J426">
        <v>4</v>
      </c>
      <c r="K426" s="1" t="s">
        <v>55</v>
      </c>
      <c r="L426">
        <v>4</v>
      </c>
      <c r="M426" s="1" t="s">
        <v>50</v>
      </c>
      <c r="N426">
        <v>14118</v>
      </c>
      <c r="O426">
        <v>3</v>
      </c>
      <c r="P426" s="1" t="s">
        <v>39</v>
      </c>
      <c r="Q426">
        <v>12</v>
      </c>
      <c r="R426">
        <v>3</v>
      </c>
      <c r="S426">
        <v>1</v>
      </c>
      <c r="T426">
        <v>32</v>
      </c>
      <c r="U426">
        <v>3</v>
      </c>
      <c r="V426">
        <v>2</v>
      </c>
      <c r="W426">
        <v>1</v>
      </c>
      <c r="X426">
        <v>0</v>
      </c>
      <c r="Y426">
        <v>0</v>
      </c>
      <c r="Z426">
        <v>0</v>
      </c>
      <c r="AA426">
        <v>0</v>
      </c>
      <c r="AB426" s="1" t="s">
        <v>82</v>
      </c>
      <c r="AC426" t="s">
        <v>56</v>
      </c>
      <c r="AD426" t="s">
        <v>47</v>
      </c>
      <c r="AE426" s="2">
        <v>14118</v>
      </c>
    </row>
    <row r="427" spans="1:31" x14ac:dyDescent="0.35">
      <c r="A427">
        <v>50</v>
      </c>
      <c r="B427" s="1" t="s">
        <v>39</v>
      </c>
      <c r="C427" s="1" t="s">
        <v>40</v>
      </c>
      <c r="D427">
        <v>29</v>
      </c>
      <c r="E427">
        <v>4</v>
      </c>
      <c r="F427" s="1" t="s">
        <v>32</v>
      </c>
      <c r="G427">
        <v>2</v>
      </c>
      <c r="H427" s="1" t="s">
        <v>41</v>
      </c>
      <c r="I427">
        <v>2</v>
      </c>
      <c r="J427">
        <v>4</v>
      </c>
      <c r="K427" s="1" t="s">
        <v>55</v>
      </c>
      <c r="L427">
        <v>3</v>
      </c>
      <c r="M427" s="1" t="s">
        <v>43</v>
      </c>
      <c r="N427">
        <v>17046</v>
      </c>
      <c r="O427">
        <v>0</v>
      </c>
      <c r="P427" s="1" t="s">
        <v>39</v>
      </c>
      <c r="Q427">
        <v>15</v>
      </c>
      <c r="R427">
        <v>2</v>
      </c>
      <c r="S427">
        <v>1</v>
      </c>
      <c r="T427">
        <v>28</v>
      </c>
      <c r="U427">
        <v>2</v>
      </c>
      <c r="V427">
        <v>3</v>
      </c>
      <c r="W427">
        <v>27</v>
      </c>
      <c r="X427">
        <v>10</v>
      </c>
      <c r="Y427">
        <v>15</v>
      </c>
      <c r="Z427">
        <v>7</v>
      </c>
      <c r="AA427">
        <v>0</v>
      </c>
      <c r="AB427" s="1" t="s">
        <v>82</v>
      </c>
      <c r="AC427" t="s">
        <v>56</v>
      </c>
      <c r="AD427" t="s">
        <v>57</v>
      </c>
      <c r="AE427" s="2">
        <v>631.33333333333337</v>
      </c>
    </row>
    <row r="428" spans="1:31" x14ac:dyDescent="0.35">
      <c r="A428">
        <v>30</v>
      </c>
      <c r="B428" s="1" t="s">
        <v>39</v>
      </c>
      <c r="C428" s="1" t="s">
        <v>40</v>
      </c>
      <c r="D428">
        <v>2</v>
      </c>
      <c r="E428">
        <v>3</v>
      </c>
      <c r="F428" s="1" t="s">
        <v>49</v>
      </c>
      <c r="G428">
        <v>3</v>
      </c>
      <c r="H428" s="1" t="s">
        <v>33</v>
      </c>
      <c r="I428">
        <v>3</v>
      </c>
      <c r="J428">
        <v>1</v>
      </c>
      <c r="K428" s="1" t="s">
        <v>45</v>
      </c>
      <c r="L428">
        <v>4</v>
      </c>
      <c r="M428" s="1" t="s">
        <v>35</v>
      </c>
      <c r="N428">
        <v>2564</v>
      </c>
      <c r="O428">
        <v>0</v>
      </c>
      <c r="P428" s="1" t="s">
        <v>39</v>
      </c>
      <c r="Q428">
        <v>14</v>
      </c>
      <c r="R428">
        <v>3</v>
      </c>
      <c r="S428">
        <v>0</v>
      </c>
      <c r="T428">
        <v>12</v>
      </c>
      <c r="U428">
        <v>2</v>
      </c>
      <c r="V428">
        <v>2</v>
      </c>
      <c r="W428">
        <v>11</v>
      </c>
      <c r="X428">
        <v>7</v>
      </c>
      <c r="Y428">
        <v>6</v>
      </c>
      <c r="Z428">
        <v>7</v>
      </c>
      <c r="AA428">
        <v>0</v>
      </c>
      <c r="AB428" s="1" t="s">
        <v>48</v>
      </c>
      <c r="AC428" t="s">
        <v>46</v>
      </c>
      <c r="AD428" t="s">
        <v>57</v>
      </c>
      <c r="AE428" s="2">
        <v>233.09090909090909</v>
      </c>
    </row>
    <row r="429" spans="1:31" x14ac:dyDescent="0.35">
      <c r="A429">
        <v>60</v>
      </c>
      <c r="B429" s="1" t="s">
        <v>39</v>
      </c>
      <c r="C429" s="1" t="s">
        <v>31</v>
      </c>
      <c r="D429">
        <v>28</v>
      </c>
      <c r="E429">
        <v>3</v>
      </c>
      <c r="F429" s="1" t="s">
        <v>60</v>
      </c>
      <c r="G429">
        <v>3</v>
      </c>
      <c r="H429" s="1" t="s">
        <v>33</v>
      </c>
      <c r="I429">
        <v>2</v>
      </c>
      <c r="J429">
        <v>3</v>
      </c>
      <c r="K429" s="1" t="s">
        <v>34</v>
      </c>
      <c r="L429">
        <v>1</v>
      </c>
      <c r="M429" s="1" t="s">
        <v>43</v>
      </c>
      <c r="N429">
        <v>10266</v>
      </c>
      <c r="O429">
        <v>4</v>
      </c>
      <c r="P429" s="1" t="s">
        <v>39</v>
      </c>
      <c r="Q429">
        <v>19</v>
      </c>
      <c r="R429">
        <v>4</v>
      </c>
      <c r="S429">
        <v>0</v>
      </c>
      <c r="T429">
        <v>22</v>
      </c>
      <c r="U429">
        <v>5</v>
      </c>
      <c r="V429">
        <v>4</v>
      </c>
      <c r="W429">
        <v>18</v>
      </c>
      <c r="X429">
        <v>13</v>
      </c>
      <c r="Y429">
        <v>13</v>
      </c>
      <c r="Z429">
        <v>11</v>
      </c>
      <c r="AA429">
        <v>0</v>
      </c>
      <c r="AB429" s="1" t="s">
        <v>82</v>
      </c>
      <c r="AC429" t="s">
        <v>56</v>
      </c>
      <c r="AD429" t="s">
        <v>57</v>
      </c>
      <c r="AE429" s="2">
        <v>570.33333333333337</v>
      </c>
    </row>
    <row r="430" spans="1:31" x14ac:dyDescent="0.35">
      <c r="A430">
        <v>47</v>
      </c>
      <c r="B430" s="1" t="s">
        <v>39</v>
      </c>
      <c r="C430" s="1" t="s">
        <v>40</v>
      </c>
      <c r="D430">
        <v>2</v>
      </c>
      <c r="E430">
        <v>2</v>
      </c>
      <c r="F430" s="1" t="s">
        <v>49</v>
      </c>
      <c r="G430">
        <v>1</v>
      </c>
      <c r="H430" s="1" t="s">
        <v>33</v>
      </c>
      <c r="I430">
        <v>3</v>
      </c>
      <c r="J430">
        <v>2</v>
      </c>
      <c r="K430" s="1" t="s">
        <v>51</v>
      </c>
      <c r="L430">
        <v>4</v>
      </c>
      <c r="M430" s="1" t="s">
        <v>50</v>
      </c>
      <c r="N430">
        <v>5070</v>
      </c>
      <c r="O430">
        <v>5</v>
      </c>
      <c r="P430" s="1" t="s">
        <v>39</v>
      </c>
      <c r="Q430">
        <v>13</v>
      </c>
      <c r="R430">
        <v>3</v>
      </c>
      <c r="S430">
        <v>3</v>
      </c>
      <c r="T430">
        <v>20</v>
      </c>
      <c r="U430">
        <v>2</v>
      </c>
      <c r="V430">
        <v>3</v>
      </c>
      <c r="W430">
        <v>5</v>
      </c>
      <c r="X430">
        <v>0</v>
      </c>
      <c r="Y430">
        <v>0</v>
      </c>
      <c r="Z430">
        <v>4</v>
      </c>
      <c r="AA430">
        <v>0</v>
      </c>
      <c r="AB430" s="1" t="s">
        <v>82</v>
      </c>
      <c r="AC430" t="s">
        <v>37</v>
      </c>
      <c r="AD430" t="s">
        <v>53</v>
      </c>
      <c r="AE430" s="2">
        <v>1014</v>
      </c>
    </row>
    <row r="431" spans="1:31" x14ac:dyDescent="0.35">
      <c r="A431">
        <v>46</v>
      </c>
      <c r="B431" s="1" t="s">
        <v>39</v>
      </c>
      <c r="C431" s="1" t="s">
        <v>40</v>
      </c>
      <c r="D431">
        <v>2</v>
      </c>
      <c r="E431">
        <v>3</v>
      </c>
      <c r="F431" s="1" t="s">
        <v>32</v>
      </c>
      <c r="G431">
        <v>1</v>
      </c>
      <c r="H431" s="1" t="s">
        <v>41</v>
      </c>
      <c r="I431">
        <v>3</v>
      </c>
      <c r="J431">
        <v>4</v>
      </c>
      <c r="K431" s="1" t="s">
        <v>59</v>
      </c>
      <c r="L431">
        <v>3</v>
      </c>
      <c r="M431" s="1" t="s">
        <v>43</v>
      </c>
      <c r="N431">
        <v>17861</v>
      </c>
      <c r="O431">
        <v>6</v>
      </c>
      <c r="P431" s="1" t="s">
        <v>39</v>
      </c>
      <c r="Q431">
        <v>13</v>
      </c>
      <c r="R431">
        <v>3</v>
      </c>
      <c r="S431">
        <v>0</v>
      </c>
      <c r="T431">
        <v>26</v>
      </c>
      <c r="U431">
        <v>2</v>
      </c>
      <c r="V431">
        <v>1</v>
      </c>
      <c r="W431">
        <v>3</v>
      </c>
      <c r="X431">
        <v>2</v>
      </c>
      <c r="Y431">
        <v>0</v>
      </c>
      <c r="Z431">
        <v>1</v>
      </c>
      <c r="AA431">
        <v>0</v>
      </c>
      <c r="AB431" s="1" t="s">
        <v>82</v>
      </c>
      <c r="AC431" t="s">
        <v>56</v>
      </c>
      <c r="AD431" t="s">
        <v>53</v>
      </c>
      <c r="AE431" s="2">
        <v>5953.666666666667</v>
      </c>
    </row>
    <row r="432" spans="1:31" x14ac:dyDescent="0.35">
      <c r="A432">
        <v>35</v>
      </c>
      <c r="B432" s="1" t="s">
        <v>39</v>
      </c>
      <c r="C432" s="1" t="s">
        <v>40</v>
      </c>
      <c r="D432">
        <v>22</v>
      </c>
      <c r="E432">
        <v>3</v>
      </c>
      <c r="F432" s="1" t="s">
        <v>32</v>
      </c>
      <c r="G432">
        <v>4</v>
      </c>
      <c r="H432" s="1" t="s">
        <v>41</v>
      </c>
      <c r="I432">
        <v>1</v>
      </c>
      <c r="J432">
        <v>1</v>
      </c>
      <c r="K432" s="1" t="s">
        <v>45</v>
      </c>
      <c r="L432">
        <v>3</v>
      </c>
      <c r="M432" s="1" t="s">
        <v>35</v>
      </c>
      <c r="N432">
        <v>4230</v>
      </c>
      <c r="O432">
        <v>0</v>
      </c>
      <c r="P432" s="1" t="s">
        <v>39</v>
      </c>
      <c r="Q432">
        <v>15</v>
      </c>
      <c r="R432">
        <v>3</v>
      </c>
      <c r="S432">
        <v>0</v>
      </c>
      <c r="T432">
        <v>6</v>
      </c>
      <c r="U432">
        <v>2</v>
      </c>
      <c r="V432">
        <v>3</v>
      </c>
      <c r="W432">
        <v>5</v>
      </c>
      <c r="X432">
        <v>4</v>
      </c>
      <c r="Y432">
        <v>4</v>
      </c>
      <c r="Z432">
        <v>3</v>
      </c>
      <c r="AA432">
        <v>0</v>
      </c>
      <c r="AB432" s="1" t="s">
        <v>48</v>
      </c>
      <c r="AC432" t="s">
        <v>37</v>
      </c>
      <c r="AD432" t="s">
        <v>53</v>
      </c>
      <c r="AE432" s="2">
        <v>846</v>
      </c>
    </row>
    <row r="433" spans="1:31" x14ac:dyDescent="0.35">
      <c r="A433">
        <v>54</v>
      </c>
      <c r="B433" s="1" t="s">
        <v>39</v>
      </c>
      <c r="C433" s="1" t="s">
        <v>40</v>
      </c>
      <c r="D433">
        <v>8</v>
      </c>
      <c r="E433">
        <v>4</v>
      </c>
      <c r="F433" s="1" t="s">
        <v>32</v>
      </c>
      <c r="G433">
        <v>3</v>
      </c>
      <c r="H433" s="1" t="s">
        <v>33</v>
      </c>
      <c r="I433">
        <v>3</v>
      </c>
      <c r="J433">
        <v>2</v>
      </c>
      <c r="K433" s="1" t="s">
        <v>45</v>
      </c>
      <c r="L433">
        <v>3</v>
      </c>
      <c r="M433" s="1" t="s">
        <v>35</v>
      </c>
      <c r="N433">
        <v>3780</v>
      </c>
      <c r="O433">
        <v>7</v>
      </c>
      <c r="P433" s="1" t="s">
        <v>39</v>
      </c>
      <c r="Q433">
        <v>11</v>
      </c>
      <c r="R433">
        <v>3</v>
      </c>
      <c r="S433">
        <v>0</v>
      </c>
      <c r="T433">
        <v>19</v>
      </c>
      <c r="U433">
        <v>3</v>
      </c>
      <c r="V433">
        <v>3</v>
      </c>
      <c r="W433">
        <v>1</v>
      </c>
      <c r="X433">
        <v>0</v>
      </c>
      <c r="Y433">
        <v>0</v>
      </c>
      <c r="Z433">
        <v>0</v>
      </c>
      <c r="AA433">
        <v>0</v>
      </c>
      <c r="AB433" s="1" t="s">
        <v>82</v>
      </c>
      <c r="AC433" t="s">
        <v>46</v>
      </c>
      <c r="AD433" t="s">
        <v>47</v>
      </c>
      <c r="AE433" s="2">
        <v>3780</v>
      </c>
    </row>
    <row r="434" spans="1:31" x14ac:dyDescent="0.35">
      <c r="A434">
        <v>34</v>
      </c>
      <c r="B434" s="1" t="s">
        <v>39</v>
      </c>
      <c r="C434" s="1" t="s">
        <v>40</v>
      </c>
      <c r="D434">
        <v>2</v>
      </c>
      <c r="E434">
        <v>4</v>
      </c>
      <c r="F434" s="1" t="s">
        <v>32</v>
      </c>
      <c r="G434">
        <v>4</v>
      </c>
      <c r="H434" s="1" t="s">
        <v>41</v>
      </c>
      <c r="I434">
        <v>2</v>
      </c>
      <c r="J434">
        <v>1</v>
      </c>
      <c r="K434" s="1" t="s">
        <v>42</v>
      </c>
      <c r="L434">
        <v>3</v>
      </c>
      <c r="M434" s="1" t="s">
        <v>50</v>
      </c>
      <c r="N434">
        <v>2768</v>
      </c>
      <c r="O434">
        <v>3</v>
      </c>
      <c r="P434" s="1" t="s">
        <v>39</v>
      </c>
      <c r="Q434">
        <v>12</v>
      </c>
      <c r="R434">
        <v>3</v>
      </c>
      <c r="S434">
        <v>1</v>
      </c>
      <c r="T434">
        <v>14</v>
      </c>
      <c r="U434">
        <v>3</v>
      </c>
      <c r="V434">
        <v>3</v>
      </c>
      <c r="W434">
        <v>7</v>
      </c>
      <c r="X434">
        <v>3</v>
      </c>
      <c r="Y434">
        <v>5</v>
      </c>
      <c r="Z434">
        <v>7</v>
      </c>
      <c r="AA434">
        <v>0</v>
      </c>
      <c r="AB434" s="1" t="s">
        <v>48</v>
      </c>
      <c r="AC434" t="s">
        <v>46</v>
      </c>
      <c r="AD434" t="s">
        <v>38</v>
      </c>
      <c r="AE434" s="2">
        <v>395.42857142857144</v>
      </c>
    </row>
    <row r="435" spans="1:31" x14ac:dyDescent="0.35">
      <c r="A435">
        <v>46</v>
      </c>
      <c r="B435" s="1" t="s">
        <v>39</v>
      </c>
      <c r="C435" s="1" t="s">
        <v>31</v>
      </c>
      <c r="D435">
        <v>10</v>
      </c>
      <c r="E435">
        <v>3</v>
      </c>
      <c r="F435" s="1" t="s">
        <v>60</v>
      </c>
      <c r="G435">
        <v>3</v>
      </c>
      <c r="H435" s="1" t="s">
        <v>33</v>
      </c>
      <c r="I435">
        <v>2</v>
      </c>
      <c r="J435">
        <v>3</v>
      </c>
      <c r="K435" s="1" t="s">
        <v>34</v>
      </c>
      <c r="L435">
        <v>4</v>
      </c>
      <c r="M435" s="1" t="s">
        <v>43</v>
      </c>
      <c r="N435">
        <v>9071</v>
      </c>
      <c r="O435">
        <v>2</v>
      </c>
      <c r="P435" s="1" t="s">
        <v>30</v>
      </c>
      <c r="Q435">
        <v>19</v>
      </c>
      <c r="R435">
        <v>3</v>
      </c>
      <c r="S435">
        <v>1</v>
      </c>
      <c r="T435">
        <v>15</v>
      </c>
      <c r="U435">
        <v>3</v>
      </c>
      <c r="V435">
        <v>3</v>
      </c>
      <c r="W435">
        <v>3</v>
      </c>
      <c r="X435">
        <v>2</v>
      </c>
      <c r="Y435">
        <v>1</v>
      </c>
      <c r="Z435">
        <v>2</v>
      </c>
      <c r="AA435">
        <v>0</v>
      </c>
      <c r="AB435" s="1" t="s">
        <v>82</v>
      </c>
      <c r="AC435" t="s">
        <v>37</v>
      </c>
      <c r="AD435" t="s">
        <v>53</v>
      </c>
      <c r="AE435" s="2">
        <v>3023.6666666666665</v>
      </c>
    </row>
    <row r="436" spans="1:31" x14ac:dyDescent="0.35">
      <c r="A436">
        <v>31</v>
      </c>
      <c r="B436" s="1" t="s">
        <v>39</v>
      </c>
      <c r="C436" s="1" t="s">
        <v>40</v>
      </c>
      <c r="D436">
        <v>9</v>
      </c>
      <c r="E436">
        <v>1</v>
      </c>
      <c r="F436" s="1" t="s">
        <v>32</v>
      </c>
      <c r="G436">
        <v>3</v>
      </c>
      <c r="H436" s="1" t="s">
        <v>41</v>
      </c>
      <c r="I436">
        <v>3</v>
      </c>
      <c r="J436">
        <v>3</v>
      </c>
      <c r="K436" s="1" t="s">
        <v>51</v>
      </c>
      <c r="L436">
        <v>2</v>
      </c>
      <c r="M436" s="1" t="s">
        <v>50</v>
      </c>
      <c r="N436">
        <v>10648</v>
      </c>
      <c r="O436">
        <v>1</v>
      </c>
      <c r="P436" s="1" t="s">
        <v>39</v>
      </c>
      <c r="Q436">
        <v>25</v>
      </c>
      <c r="R436">
        <v>4</v>
      </c>
      <c r="S436">
        <v>1</v>
      </c>
      <c r="T436">
        <v>13</v>
      </c>
      <c r="U436">
        <v>6</v>
      </c>
      <c r="V436">
        <v>4</v>
      </c>
      <c r="W436">
        <v>13</v>
      </c>
      <c r="X436">
        <v>8</v>
      </c>
      <c r="Y436">
        <v>0</v>
      </c>
      <c r="Z436">
        <v>8</v>
      </c>
      <c r="AA436">
        <v>0</v>
      </c>
      <c r="AB436" s="1" t="s">
        <v>48</v>
      </c>
      <c r="AC436" t="s">
        <v>56</v>
      </c>
      <c r="AD436" t="s">
        <v>57</v>
      </c>
      <c r="AE436" s="2">
        <v>819.07692307692309</v>
      </c>
    </row>
    <row r="437" spans="1:31" x14ac:dyDescent="0.35">
      <c r="A437">
        <v>33</v>
      </c>
      <c r="B437" s="1" t="s">
        <v>30</v>
      </c>
      <c r="C437" s="1" t="s">
        <v>40</v>
      </c>
      <c r="D437">
        <v>15</v>
      </c>
      <c r="E437">
        <v>1</v>
      </c>
      <c r="F437" s="1" t="s">
        <v>49</v>
      </c>
      <c r="G437">
        <v>2</v>
      </c>
      <c r="H437" s="1" t="s">
        <v>41</v>
      </c>
      <c r="I437">
        <v>3</v>
      </c>
      <c r="J437">
        <v>3</v>
      </c>
      <c r="K437" s="1" t="s">
        <v>55</v>
      </c>
      <c r="L437">
        <v>3</v>
      </c>
      <c r="M437" s="1" t="s">
        <v>43</v>
      </c>
      <c r="N437">
        <v>13610</v>
      </c>
      <c r="O437">
        <v>7</v>
      </c>
      <c r="P437" s="1" t="s">
        <v>30</v>
      </c>
      <c r="Q437">
        <v>12</v>
      </c>
      <c r="R437">
        <v>4</v>
      </c>
      <c r="S437">
        <v>0</v>
      </c>
      <c r="T437">
        <v>15</v>
      </c>
      <c r="U437">
        <v>2</v>
      </c>
      <c r="V437">
        <v>4</v>
      </c>
      <c r="W437">
        <v>7</v>
      </c>
      <c r="X437">
        <v>6</v>
      </c>
      <c r="Y437">
        <v>7</v>
      </c>
      <c r="Z437">
        <v>7</v>
      </c>
      <c r="AA437">
        <v>1</v>
      </c>
      <c r="AB437" s="1" t="s">
        <v>48</v>
      </c>
      <c r="AC437" t="s">
        <v>56</v>
      </c>
      <c r="AD437" t="s">
        <v>38</v>
      </c>
      <c r="AE437" s="2">
        <v>1944.2857142857142</v>
      </c>
    </row>
    <row r="438" spans="1:31" x14ac:dyDescent="0.35">
      <c r="A438">
        <v>33</v>
      </c>
      <c r="B438" s="1" t="s">
        <v>30</v>
      </c>
      <c r="C438" s="1" t="s">
        <v>40</v>
      </c>
      <c r="D438">
        <v>10</v>
      </c>
      <c r="E438">
        <v>1</v>
      </c>
      <c r="F438" s="1" t="s">
        <v>49</v>
      </c>
      <c r="G438">
        <v>1</v>
      </c>
      <c r="H438" s="1" t="s">
        <v>41</v>
      </c>
      <c r="I438">
        <v>1</v>
      </c>
      <c r="J438">
        <v>1</v>
      </c>
      <c r="K438" s="1" t="s">
        <v>45</v>
      </c>
      <c r="L438">
        <v>4</v>
      </c>
      <c r="M438" s="1" t="s">
        <v>50</v>
      </c>
      <c r="N438">
        <v>3408</v>
      </c>
      <c r="O438">
        <v>7</v>
      </c>
      <c r="P438" s="1" t="s">
        <v>39</v>
      </c>
      <c r="Q438">
        <v>13</v>
      </c>
      <c r="R438">
        <v>1</v>
      </c>
      <c r="S438">
        <v>3</v>
      </c>
      <c r="T438">
        <v>8</v>
      </c>
      <c r="U438">
        <v>2</v>
      </c>
      <c r="V438">
        <v>3</v>
      </c>
      <c r="W438">
        <v>4</v>
      </c>
      <c r="X438">
        <v>3</v>
      </c>
      <c r="Y438">
        <v>1</v>
      </c>
      <c r="Z438">
        <v>3</v>
      </c>
      <c r="AA438">
        <v>1</v>
      </c>
      <c r="AB438" s="1" t="s">
        <v>48</v>
      </c>
      <c r="AC438" t="s">
        <v>46</v>
      </c>
      <c r="AD438" t="s">
        <v>53</v>
      </c>
      <c r="AE438" s="2">
        <v>852</v>
      </c>
    </row>
    <row r="439" spans="1:31" x14ac:dyDescent="0.35">
      <c r="A439">
        <v>30</v>
      </c>
      <c r="B439" s="1" t="s">
        <v>39</v>
      </c>
      <c r="C439" s="1" t="s">
        <v>31</v>
      </c>
      <c r="D439">
        <v>7</v>
      </c>
      <c r="E439">
        <v>1</v>
      </c>
      <c r="F439" s="1" t="s">
        <v>60</v>
      </c>
      <c r="G439">
        <v>4</v>
      </c>
      <c r="H439" s="1" t="s">
        <v>41</v>
      </c>
      <c r="I439">
        <v>3</v>
      </c>
      <c r="J439">
        <v>1</v>
      </c>
      <c r="K439" s="1" t="s">
        <v>58</v>
      </c>
      <c r="L439">
        <v>2</v>
      </c>
      <c r="M439" s="1" t="s">
        <v>35</v>
      </c>
      <c r="N439">
        <v>2983</v>
      </c>
      <c r="O439">
        <v>0</v>
      </c>
      <c r="P439" s="1" t="s">
        <v>39</v>
      </c>
      <c r="Q439">
        <v>14</v>
      </c>
      <c r="R439">
        <v>1</v>
      </c>
      <c r="S439">
        <v>0</v>
      </c>
      <c r="T439">
        <v>4</v>
      </c>
      <c r="U439">
        <v>3</v>
      </c>
      <c r="V439">
        <v>3</v>
      </c>
      <c r="W439">
        <v>3</v>
      </c>
      <c r="X439">
        <v>2</v>
      </c>
      <c r="Y439">
        <v>1</v>
      </c>
      <c r="Z439">
        <v>2</v>
      </c>
      <c r="AA439">
        <v>0</v>
      </c>
      <c r="AB439" s="1" t="s">
        <v>48</v>
      </c>
      <c r="AC439" t="s">
        <v>46</v>
      </c>
      <c r="AD439" t="s">
        <v>53</v>
      </c>
      <c r="AE439" s="2">
        <v>994.33333333333337</v>
      </c>
    </row>
    <row r="440" spans="1:31" x14ac:dyDescent="0.35">
      <c r="A440">
        <v>35</v>
      </c>
      <c r="B440" s="1" t="s">
        <v>39</v>
      </c>
      <c r="C440" s="1" t="s">
        <v>40</v>
      </c>
      <c r="D440">
        <v>16</v>
      </c>
      <c r="E440">
        <v>3</v>
      </c>
      <c r="F440" s="1" t="s">
        <v>32</v>
      </c>
      <c r="G440">
        <v>4</v>
      </c>
      <c r="H440" s="1" t="s">
        <v>41</v>
      </c>
      <c r="I440">
        <v>3</v>
      </c>
      <c r="J440">
        <v>3</v>
      </c>
      <c r="K440" s="1" t="s">
        <v>52</v>
      </c>
      <c r="L440">
        <v>3</v>
      </c>
      <c r="M440" s="1" t="s">
        <v>43</v>
      </c>
      <c r="N440">
        <v>7632</v>
      </c>
      <c r="O440">
        <v>4</v>
      </c>
      <c r="P440" s="1" t="s">
        <v>30</v>
      </c>
      <c r="Q440">
        <v>12</v>
      </c>
      <c r="R440">
        <v>3</v>
      </c>
      <c r="S440">
        <v>0</v>
      </c>
      <c r="T440">
        <v>10</v>
      </c>
      <c r="U440">
        <v>2</v>
      </c>
      <c r="V440">
        <v>3</v>
      </c>
      <c r="W440">
        <v>8</v>
      </c>
      <c r="X440">
        <v>7</v>
      </c>
      <c r="Y440">
        <v>0</v>
      </c>
      <c r="Z440">
        <v>0</v>
      </c>
      <c r="AA440">
        <v>0</v>
      </c>
      <c r="AB440" s="1" t="s">
        <v>48</v>
      </c>
      <c r="AC440" t="s">
        <v>37</v>
      </c>
      <c r="AD440" t="s">
        <v>38</v>
      </c>
      <c r="AE440" s="2">
        <v>954</v>
      </c>
    </row>
    <row r="441" spans="1:31" x14ac:dyDescent="0.35">
      <c r="A441">
        <v>31</v>
      </c>
      <c r="B441" s="1" t="s">
        <v>30</v>
      </c>
      <c r="C441" s="1" t="s">
        <v>40</v>
      </c>
      <c r="D441">
        <v>20</v>
      </c>
      <c r="E441">
        <v>3</v>
      </c>
      <c r="F441" s="1" t="s">
        <v>32</v>
      </c>
      <c r="G441">
        <v>1</v>
      </c>
      <c r="H441" s="1" t="s">
        <v>41</v>
      </c>
      <c r="I441">
        <v>3</v>
      </c>
      <c r="J441">
        <v>3</v>
      </c>
      <c r="K441" s="1" t="s">
        <v>52</v>
      </c>
      <c r="L441">
        <v>3</v>
      </c>
      <c r="M441" s="1" t="s">
        <v>43</v>
      </c>
      <c r="N441">
        <v>9824</v>
      </c>
      <c r="O441">
        <v>3</v>
      </c>
      <c r="P441" s="1" t="s">
        <v>39</v>
      </c>
      <c r="Q441">
        <v>12</v>
      </c>
      <c r="R441">
        <v>1</v>
      </c>
      <c r="S441">
        <v>0</v>
      </c>
      <c r="T441">
        <v>12</v>
      </c>
      <c r="U441">
        <v>2</v>
      </c>
      <c r="V441">
        <v>3</v>
      </c>
      <c r="W441">
        <v>1</v>
      </c>
      <c r="X441">
        <v>0</v>
      </c>
      <c r="Y441">
        <v>0</v>
      </c>
      <c r="Z441">
        <v>0</v>
      </c>
      <c r="AA441">
        <v>1</v>
      </c>
      <c r="AB441" s="1" t="s">
        <v>48</v>
      </c>
      <c r="AC441" t="s">
        <v>37</v>
      </c>
      <c r="AD441" t="s">
        <v>47</v>
      </c>
      <c r="AE441" s="2">
        <v>9824</v>
      </c>
    </row>
    <row r="442" spans="1:31" x14ac:dyDescent="0.35">
      <c r="A442">
        <v>34</v>
      </c>
      <c r="B442" s="1" t="s">
        <v>30</v>
      </c>
      <c r="C442" s="1" t="s">
        <v>62</v>
      </c>
      <c r="D442">
        <v>23</v>
      </c>
      <c r="E442">
        <v>3</v>
      </c>
      <c r="F442" s="1" t="s">
        <v>62</v>
      </c>
      <c r="G442">
        <v>2</v>
      </c>
      <c r="H442" s="1" t="s">
        <v>33</v>
      </c>
      <c r="I442">
        <v>3</v>
      </c>
      <c r="J442">
        <v>3</v>
      </c>
      <c r="K442" s="1" t="s">
        <v>62</v>
      </c>
      <c r="L442">
        <v>1</v>
      </c>
      <c r="M442" s="1" t="s">
        <v>50</v>
      </c>
      <c r="N442">
        <v>9950</v>
      </c>
      <c r="O442">
        <v>9</v>
      </c>
      <c r="P442" s="1" t="s">
        <v>30</v>
      </c>
      <c r="Q442">
        <v>15</v>
      </c>
      <c r="R442">
        <v>3</v>
      </c>
      <c r="S442">
        <v>3</v>
      </c>
      <c r="T442">
        <v>11</v>
      </c>
      <c r="U442">
        <v>2</v>
      </c>
      <c r="V442">
        <v>3</v>
      </c>
      <c r="W442">
        <v>3</v>
      </c>
      <c r="X442">
        <v>2</v>
      </c>
      <c r="Y442">
        <v>0</v>
      </c>
      <c r="Z442">
        <v>2</v>
      </c>
      <c r="AA442">
        <v>1</v>
      </c>
      <c r="AB442" s="1" t="s">
        <v>48</v>
      </c>
      <c r="AC442" t="s">
        <v>37</v>
      </c>
      <c r="AD442" t="s">
        <v>53</v>
      </c>
      <c r="AE442" s="2">
        <v>3316.6666666666665</v>
      </c>
    </row>
    <row r="443" spans="1:31" x14ac:dyDescent="0.35">
      <c r="A443">
        <v>42</v>
      </c>
      <c r="B443" s="1" t="s">
        <v>39</v>
      </c>
      <c r="C443" s="1" t="s">
        <v>40</v>
      </c>
      <c r="D443">
        <v>5</v>
      </c>
      <c r="E443">
        <v>2</v>
      </c>
      <c r="F443" s="1" t="s">
        <v>44</v>
      </c>
      <c r="G443">
        <v>2</v>
      </c>
      <c r="H443" s="1" t="s">
        <v>41</v>
      </c>
      <c r="I443">
        <v>3</v>
      </c>
      <c r="J443">
        <v>1</v>
      </c>
      <c r="K443" s="1" t="s">
        <v>45</v>
      </c>
      <c r="L443">
        <v>3</v>
      </c>
      <c r="M443" s="1" t="s">
        <v>43</v>
      </c>
      <c r="N443">
        <v>2093</v>
      </c>
      <c r="O443">
        <v>4</v>
      </c>
      <c r="P443" s="1" t="s">
        <v>39</v>
      </c>
      <c r="Q443">
        <v>17</v>
      </c>
      <c r="R443">
        <v>4</v>
      </c>
      <c r="S443">
        <v>1</v>
      </c>
      <c r="T443">
        <v>8</v>
      </c>
      <c r="U443">
        <v>4</v>
      </c>
      <c r="V443">
        <v>3</v>
      </c>
      <c r="W443">
        <v>2</v>
      </c>
      <c r="X443">
        <v>2</v>
      </c>
      <c r="Y443">
        <v>2</v>
      </c>
      <c r="Z443">
        <v>0</v>
      </c>
      <c r="AA443">
        <v>0</v>
      </c>
      <c r="AB443" s="1" t="s">
        <v>36</v>
      </c>
      <c r="AC443" t="s">
        <v>46</v>
      </c>
      <c r="AD443" t="s">
        <v>47</v>
      </c>
      <c r="AE443" s="2">
        <v>1046.5</v>
      </c>
    </row>
    <row r="444" spans="1:31" x14ac:dyDescent="0.35">
      <c r="A444">
        <v>36</v>
      </c>
      <c r="B444" s="1" t="s">
        <v>39</v>
      </c>
      <c r="C444" s="1" t="s">
        <v>31</v>
      </c>
      <c r="D444">
        <v>10</v>
      </c>
      <c r="E444">
        <v>4</v>
      </c>
      <c r="F444" s="1" t="s">
        <v>49</v>
      </c>
      <c r="G444">
        <v>2</v>
      </c>
      <c r="H444" s="1" t="s">
        <v>41</v>
      </c>
      <c r="I444">
        <v>3</v>
      </c>
      <c r="J444">
        <v>3</v>
      </c>
      <c r="K444" s="1" t="s">
        <v>34</v>
      </c>
      <c r="L444">
        <v>4</v>
      </c>
      <c r="M444" s="1" t="s">
        <v>35</v>
      </c>
      <c r="N444">
        <v>9980</v>
      </c>
      <c r="O444">
        <v>1</v>
      </c>
      <c r="P444" s="1" t="s">
        <v>39</v>
      </c>
      <c r="Q444">
        <v>14</v>
      </c>
      <c r="R444">
        <v>4</v>
      </c>
      <c r="S444">
        <v>0</v>
      </c>
      <c r="T444">
        <v>10</v>
      </c>
      <c r="U444">
        <v>3</v>
      </c>
      <c r="V444">
        <v>2</v>
      </c>
      <c r="W444">
        <v>10</v>
      </c>
      <c r="X444">
        <v>3</v>
      </c>
      <c r="Y444">
        <v>9</v>
      </c>
      <c r="Z444">
        <v>7</v>
      </c>
      <c r="AA444">
        <v>0</v>
      </c>
      <c r="AB444" s="1" t="s">
        <v>36</v>
      </c>
      <c r="AC444" t="s">
        <v>37</v>
      </c>
      <c r="AD444" t="s">
        <v>38</v>
      </c>
      <c r="AE444" s="2">
        <v>998</v>
      </c>
    </row>
    <row r="445" spans="1:31" x14ac:dyDescent="0.35">
      <c r="A445">
        <v>22</v>
      </c>
      <c r="B445" s="1" t="s">
        <v>30</v>
      </c>
      <c r="C445" s="1" t="s">
        <v>40</v>
      </c>
      <c r="D445">
        <v>4</v>
      </c>
      <c r="E445">
        <v>1</v>
      </c>
      <c r="F445" s="1" t="s">
        <v>61</v>
      </c>
      <c r="G445">
        <v>3</v>
      </c>
      <c r="H445" s="1" t="s">
        <v>41</v>
      </c>
      <c r="I445">
        <v>2</v>
      </c>
      <c r="J445">
        <v>1</v>
      </c>
      <c r="K445" s="1" t="s">
        <v>45</v>
      </c>
      <c r="L445">
        <v>3</v>
      </c>
      <c r="M445" s="1" t="s">
        <v>35</v>
      </c>
      <c r="N445">
        <v>3894</v>
      </c>
      <c r="O445">
        <v>5</v>
      </c>
      <c r="P445" s="1" t="s">
        <v>39</v>
      </c>
      <c r="Q445">
        <v>16</v>
      </c>
      <c r="R445">
        <v>3</v>
      </c>
      <c r="S445">
        <v>0</v>
      </c>
      <c r="T445">
        <v>4</v>
      </c>
      <c r="U445">
        <v>3</v>
      </c>
      <c r="V445">
        <v>3</v>
      </c>
      <c r="W445">
        <v>2</v>
      </c>
      <c r="X445">
        <v>2</v>
      </c>
      <c r="Y445">
        <v>1</v>
      </c>
      <c r="Z445">
        <v>2</v>
      </c>
      <c r="AA445">
        <v>1</v>
      </c>
      <c r="AB445" s="1" t="s">
        <v>54</v>
      </c>
      <c r="AC445" t="s">
        <v>46</v>
      </c>
      <c r="AD445" t="s">
        <v>47</v>
      </c>
      <c r="AE445" s="2">
        <v>1947</v>
      </c>
    </row>
    <row r="446" spans="1:31" x14ac:dyDescent="0.35">
      <c r="A446">
        <v>48</v>
      </c>
      <c r="B446" s="1" t="s">
        <v>39</v>
      </c>
      <c r="C446" s="1" t="s">
        <v>31</v>
      </c>
      <c r="D446">
        <v>2</v>
      </c>
      <c r="E446">
        <v>5</v>
      </c>
      <c r="F446" s="1" t="s">
        <v>60</v>
      </c>
      <c r="G446">
        <v>2</v>
      </c>
      <c r="H446" s="1" t="s">
        <v>33</v>
      </c>
      <c r="I446">
        <v>3</v>
      </c>
      <c r="J446">
        <v>2</v>
      </c>
      <c r="K446" s="1" t="s">
        <v>34</v>
      </c>
      <c r="L446">
        <v>4</v>
      </c>
      <c r="M446" s="1" t="s">
        <v>43</v>
      </c>
      <c r="N446">
        <v>4051</v>
      </c>
      <c r="O446">
        <v>2</v>
      </c>
      <c r="P446" s="1" t="s">
        <v>39</v>
      </c>
      <c r="Q446">
        <v>14</v>
      </c>
      <c r="R446">
        <v>1</v>
      </c>
      <c r="S446">
        <v>1</v>
      </c>
      <c r="T446">
        <v>14</v>
      </c>
      <c r="U446">
        <v>2</v>
      </c>
      <c r="V446">
        <v>3</v>
      </c>
      <c r="W446">
        <v>9</v>
      </c>
      <c r="X446">
        <v>7</v>
      </c>
      <c r="Y446">
        <v>6</v>
      </c>
      <c r="Z446">
        <v>7</v>
      </c>
      <c r="AA446">
        <v>0</v>
      </c>
      <c r="AB446" s="1" t="s">
        <v>82</v>
      </c>
      <c r="AC446" t="s">
        <v>37</v>
      </c>
      <c r="AD446" t="s">
        <v>38</v>
      </c>
      <c r="AE446" s="2">
        <v>450.11111111111109</v>
      </c>
    </row>
    <row r="447" spans="1:31" x14ac:dyDescent="0.35">
      <c r="A447">
        <v>55</v>
      </c>
      <c r="B447" s="1" t="s">
        <v>39</v>
      </c>
      <c r="C447" s="1" t="s">
        <v>31</v>
      </c>
      <c r="D447">
        <v>18</v>
      </c>
      <c r="E447">
        <v>5</v>
      </c>
      <c r="F447" s="1" t="s">
        <v>32</v>
      </c>
      <c r="G447">
        <v>1</v>
      </c>
      <c r="H447" s="1" t="s">
        <v>33</v>
      </c>
      <c r="I447">
        <v>3</v>
      </c>
      <c r="J447">
        <v>4</v>
      </c>
      <c r="K447" s="1" t="s">
        <v>55</v>
      </c>
      <c r="L447">
        <v>2</v>
      </c>
      <c r="M447" s="1" t="s">
        <v>35</v>
      </c>
      <c r="N447">
        <v>16835</v>
      </c>
      <c r="O447">
        <v>3</v>
      </c>
      <c r="P447" s="1" t="s">
        <v>39</v>
      </c>
      <c r="Q447">
        <v>23</v>
      </c>
      <c r="R447">
        <v>4</v>
      </c>
      <c r="S447">
        <v>0</v>
      </c>
      <c r="T447">
        <v>37</v>
      </c>
      <c r="U447">
        <v>2</v>
      </c>
      <c r="V447">
        <v>3</v>
      </c>
      <c r="W447">
        <v>10</v>
      </c>
      <c r="X447">
        <v>9</v>
      </c>
      <c r="Y447">
        <v>7</v>
      </c>
      <c r="Z447">
        <v>7</v>
      </c>
      <c r="AA447">
        <v>0</v>
      </c>
      <c r="AB447" s="1" t="s">
        <v>82</v>
      </c>
      <c r="AC447" t="s">
        <v>56</v>
      </c>
      <c r="AD447" t="s">
        <v>38</v>
      </c>
      <c r="AE447" s="2">
        <v>1683.5</v>
      </c>
    </row>
    <row r="448" spans="1:31" x14ac:dyDescent="0.35">
      <c r="A448">
        <v>41</v>
      </c>
      <c r="B448" s="1" t="s">
        <v>39</v>
      </c>
      <c r="C448" s="1" t="s">
        <v>31</v>
      </c>
      <c r="D448">
        <v>10</v>
      </c>
      <c r="E448">
        <v>2</v>
      </c>
      <c r="F448" s="1" t="s">
        <v>32</v>
      </c>
      <c r="G448">
        <v>4</v>
      </c>
      <c r="H448" s="1" t="s">
        <v>41</v>
      </c>
      <c r="I448">
        <v>3</v>
      </c>
      <c r="J448">
        <v>2</v>
      </c>
      <c r="K448" s="1" t="s">
        <v>34</v>
      </c>
      <c r="L448">
        <v>4</v>
      </c>
      <c r="M448" s="1" t="s">
        <v>35</v>
      </c>
      <c r="N448">
        <v>6230</v>
      </c>
      <c r="O448">
        <v>7</v>
      </c>
      <c r="P448" s="1" t="s">
        <v>39</v>
      </c>
      <c r="Q448">
        <v>14</v>
      </c>
      <c r="R448">
        <v>4</v>
      </c>
      <c r="S448">
        <v>0</v>
      </c>
      <c r="T448">
        <v>16</v>
      </c>
      <c r="U448">
        <v>3</v>
      </c>
      <c r="V448">
        <v>3</v>
      </c>
      <c r="W448">
        <v>14</v>
      </c>
      <c r="X448">
        <v>3</v>
      </c>
      <c r="Y448">
        <v>1</v>
      </c>
      <c r="Z448">
        <v>10</v>
      </c>
      <c r="AA448">
        <v>0</v>
      </c>
      <c r="AB448" s="1" t="s">
        <v>36</v>
      </c>
      <c r="AC448" t="s">
        <v>37</v>
      </c>
      <c r="AD448" t="s">
        <v>57</v>
      </c>
      <c r="AE448" s="2">
        <v>445</v>
      </c>
    </row>
    <row r="449" spans="1:31" x14ac:dyDescent="0.35">
      <c r="A449">
        <v>35</v>
      </c>
      <c r="B449" s="1" t="s">
        <v>39</v>
      </c>
      <c r="C449" s="1" t="s">
        <v>31</v>
      </c>
      <c r="D449">
        <v>1</v>
      </c>
      <c r="E449">
        <v>3</v>
      </c>
      <c r="F449" s="1" t="s">
        <v>60</v>
      </c>
      <c r="G449">
        <v>2</v>
      </c>
      <c r="H449" s="1" t="s">
        <v>41</v>
      </c>
      <c r="I449">
        <v>3</v>
      </c>
      <c r="J449">
        <v>2</v>
      </c>
      <c r="K449" s="1" t="s">
        <v>34</v>
      </c>
      <c r="L449">
        <v>3</v>
      </c>
      <c r="M449" s="1" t="s">
        <v>43</v>
      </c>
      <c r="N449">
        <v>4717</v>
      </c>
      <c r="O449">
        <v>9</v>
      </c>
      <c r="P449" s="1" t="s">
        <v>39</v>
      </c>
      <c r="Q449">
        <v>11</v>
      </c>
      <c r="R449">
        <v>3</v>
      </c>
      <c r="S449">
        <v>0</v>
      </c>
      <c r="T449">
        <v>15</v>
      </c>
      <c r="U449">
        <v>2</v>
      </c>
      <c r="V449">
        <v>3</v>
      </c>
      <c r="W449">
        <v>11</v>
      </c>
      <c r="X449">
        <v>9</v>
      </c>
      <c r="Y449">
        <v>6</v>
      </c>
      <c r="Z449">
        <v>9</v>
      </c>
      <c r="AA449">
        <v>0</v>
      </c>
      <c r="AB449" s="1" t="s">
        <v>48</v>
      </c>
      <c r="AC449" t="s">
        <v>37</v>
      </c>
      <c r="AD449" t="s">
        <v>57</v>
      </c>
      <c r="AE449" s="2">
        <v>428.81818181818181</v>
      </c>
    </row>
    <row r="450" spans="1:31" x14ac:dyDescent="0.35">
      <c r="A450">
        <v>40</v>
      </c>
      <c r="B450" s="1" t="s">
        <v>39</v>
      </c>
      <c r="C450" s="1" t="s">
        <v>40</v>
      </c>
      <c r="D450">
        <v>6</v>
      </c>
      <c r="E450">
        <v>3</v>
      </c>
      <c r="F450" s="1" t="s">
        <v>32</v>
      </c>
      <c r="G450">
        <v>2</v>
      </c>
      <c r="H450" s="1" t="s">
        <v>33</v>
      </c>
      <c r="I450">
        <v>3</v>
      </c>
      <c r="J450">
        <v>4</v>
      </c>
      <c r="K450" s="1" t="s">
        <v>51</v>
      </c>
      <c r="L450">
        <v>3</v>
      </c>
      <c r="M450" s="1" t="s">
        <v>35</v>
      </c>
      <c r="N450">
        <v>13237</v>
      </c>
      <c r="O450">
        <v>7</v>
      </c>
      <c r="P450" s="1" t="s">
        <v>39</v>
      </c>
      <c r="Q450">
        <v>15</v>
      </c>
      <c r="R450">
        <v>3</v>
      </c>
      <c r="S450">
        <v>0</v>
      </c>
      <c r="T450">
        <v>22</v>
      </c>
      <c r="U450">
        <v>3</v>
      </c>
      <c r="V450">
        <v>3</v>
      </c>
      <c r="W450">
        <v>20</v>
      </c>
      <c r="X450">
        <v>6</v>
      </c>
      <c r="Y450">
        <v>5</v>
      </c>
      <c r="Z450">
        <v>13</v>
      </c>
      <c r="AA450">
        <v>0</v>
      </c>
      <c r="AB450" s="1" t="s">
        <v>36</v>
      </c>
      <c r="AC450" t="s">
        <v>56</v>
      </c>
      <c r="AD450" t="s">
        <v>57</v>
      </c>
      <c r="AE450" s="2">
        <v>661.85</v>
      </c>
    </row>
    <row r="451" spans="1:31" x14ac:dyDescent="0.35">
      <c r="A451">
        <v>39</v>
      </c>
      <c r="B451" s="1" t="s">
        <v>39</v>
      </c>
      <c r="C451" s="1" t="s">
        <v>40</v>
      </c>
      <c r="D451">
        <v>8</v>
      </c>
      <c r="E451">
        <v>1</v>
      </c>
      <c r="F451" s="1" t="s">
        <v>32</v>
      </c>
      <c r="G451">
        <v>3</v>
      </c>
      <c r="H451" s="1" t="s">
        <v>33</v>
      </c>
      <c r="I451">
        <v>3</v>
      </c>
      <c r="J451">
        <v>1</v>
      </c>
      <c r="K451" s="1" t="s">
        <v>45</v>
      </c>
      <c r="L451">
        <v>3</v>
      </c>
      <c r="M451" s="1" t="s">
        <v>43</v>
      </c>
      <c r="N451">
        <v>3755</v>
      </c>
      <c r="O451">
        <v>1</v>
      </c>
      <c r="P451" s="1" t="s">
        <v>39</v>
      </c>
      <c r="Q451">
        <v>11</v>
      </c>
      <c r="R451">
        <v>1</v>
      </c>
      <c r="S451">
        <v>1</v>
      </c>
      <c r="T451">
        <v>8</v>
      </c>
      <c r="U451">
        <v>3</v>
      </c>
      <c r="V451">
        <v>3</v>
      </c>
      <c r="W451">
        <v>8</v>
      </c>
      <c r="X451">
        <v>3</v>
      </c>
      <c r="Y451">
        <v>0</v>
      </c>
      <c r="Z451">
        <v>7</v>
      </c>
      <c r="AA451">
        <v>0</v>
      </c>
      <c r="AB451" s="1" t="s">
        <v>36</v>
      </c>
      <c r="AC451" t="s">
        <v>46</v>
      </c>
      <c r="AD451" t="s">
        <v>38</v>
      </c>
      <c r="AE451" s="2">
        <v>469.375</v>
      </c>
    </row>
    <row r="452" spans="1:31" x14ac:dyDescent="0.35">
      <c r="A452">
        <v>31</v>
      </c>
      <c r="B452" s="1" t="s">
        <v>39</v>
      </c>
      <c r="C452" s="1" t="s">
        <v>31</v>
      </c>
      <c r="D452">
        <v>2</v>
      </c>
      <c r="E452">
        <v>1</v>
      </c>
      <c r="F452" s="1" t="s">
        <v>32</v>
      </c>
      <c r="G452">
        <v>2</v>
      </c>
      <c r="H452" s="1" t="s">
        <v>41</v>
      </c>
      <c r="I452">
        <v>3</v>
      </c>
      <c r="J452">
        <v>2</v>
      </c>
      <c r="K452" s="1" t="s">
        <v>34</v>
      </c>
      <c r="L452">
        <v>4</v>
      </c>
      <c r="M452" s="1" t="s">
        <v>35</v>
      </c>
      <c r="N452">
        <v>6582</v>
      </c>
      <c r="O452">
        <v>4</v>
      </c>
      <c r="P452" s="1" t="s">
        <v>30</v>
      </c>
      <c r="Q452">
        <v>13</v>
      </c>
      <c r="R452">
        <v>3</v>
      </c>
      <c r="S452">
        <v>0</v>
      </c>
      <c r="T452">
        <v>10</v>
      </c>
      <c r="U452">
        <v>2</v>
      </c>
      <c r="V452">
        <v>4</v>
      </c>
      <c r="W452">
        <v>6</v>
      </c>
      <c r="X452">
        <v>5</v>
      </c>
      <c r="Y452">
        <v>0</v>
      </c>
      <c r="Z452">
        <v>5</v>
      </c>
      <c r="AA452">
        <v>0</v>
      </c>
      <c r="AB452" s="1" t="s">
        <v>48</v>
      </c>
      <c r="AC452" t="s">
        <v>37</v>
      </c>
      <c r="AD452" t="s">
        <v>38</v>
      </c>
      <c r="AE452" s="2">
        <v>1097</v>
      </c>
    </row>
    <row r="453" spans="1:31" x14ac:dyDescent="0.35">
      <c r="A453">
        <v>42</v>
      </c>
      <c r="B453" s="1" t="s">
        <v>39</v>
      </c>
      <c r="C453" s="1" t="s">
        <v>40</v>
      </c>
      <c r="D453">
        <v>24</v>
      </c>
      <c r="E453">
        <v>3</v>
      </c>
      <c r="F453" s="1" t="s">
        <v>49</v>
      </c>
      <c r="G453">
        <v>4</v>
      </c>
      <c r="H453" s="1" t="s">
        <v>41</v>
      </c>
      <c r="I453">
        <v>3</v>
      </c>
      <c r="J453">
        <v>3</v>
      </c>
      <c r="K453" s="1" t="s">
        <v>51</v>
      </c>
      <c r="L453">
        <v>1</v>
      </c>
      <c r="M453" s="1" t="s">
        <v>43</v>
      </c>
      <c r="N453">
        <v>7406</v>
      </c>
      <c r="O453">
        <v>1</v>
      </c>
      <c r="P453" s="1" t="s">
        <v>30</v>
      </c>
      <c r="Q453">
        <v>21</v>
      </c>
      <c r="R453">
        <v>4</v>
      </c>
      <c r="S453">
        <v>1</v>
      </c>
      <c r="T453">
        <v>10</v>
      </c>
      <c r="U453">
        <v>5</v>
      </c>
      <c r="V453">
        <v>2</v>
      </c>
      <c r="W453">
        <v>10</v>
      </c>
      <c r="X453">
        <v>9</v>
      </c>
      <c r="Y453">
        <v>5</v>
      </c>
      <c r="Z453">
        <v>8</v>
      </c>
      <c r="AA453">
        <v>0</v>
      </c>
      <c r="AB453" s="1" t="s">
        <v>36</v>
      </c>
      <c r="AC453" t="s">
        <v>37</v>
      </c>
      <c r="AD453" t="s">
        <v>38</v>
      </c>
      <c r="AE453" s="2">
        <v>740.6</v>
      </c>
    </row>
    <row r="454" spans="1:31" x14ac:dyDescent="0.35">
      <c r="A454">
        <v>45</v>
      </c>
      <c r="B454" s="1" t="s">
        <v>39</v>
      </c>
      <c r="C454" s="1" t="s">
        <v>31</v>
      </c>
      <c r="D454">
        <v>2</v>
      </c>
      <c r="E454">
        <v>3</v>
      </c>
      <c r="F454" s="1" t="s">
        <v>44</v>
      </c>
      <c r="G454">
        <v>4</v>
      </c>
      <c r="H454" s="1" t="s">
        <v>41</v>
      </c>
      <c r="I454">
        <v>3</v>
      </c>
      <c r="J454">
        <v>2</v>
      </c>
      <c r="K454" s="1" t="s">
        <v>34</v>
      </c>
      <c r="L454">
        <v>2</v>
      </c>
      <c r="M454" s="1" t="s">
        <v>43</v>
      </c>
      <c r="N454">
        <v>4805</v>
      </c>
      <c r="O454">
        <v>0</v>
      </c>
      <c r="P454" s="1" t="s">
        <v>39</v>
      </c>
      <c r="Q454">
        <v>19</v>
      </c>
      <c r="R454">
        <v>2</v>
      </c>
      <c r="S454">
        <v>1</v>
      </c>
      <c r="T454">
        <v>9</v>
      </c>
      <c r="U454">
        <v>3</v>
      </c>
      <c r="V454">
        <v>4</v>
      </c>
      <c r="W454">
        <v>8</v>
      </c>
      <c r="X454">
        <v>7</v>
      </c>
      <c r="Y454">
        <v>3</v>
      </c>
      <c r="Z454">
        <v>7</v>
      </c>
      <c r="AA454">
        <v>0</v>
      </c>
      <c r="AB454" s="1" t="s">
        <v>36</v>
      </c>
      <c r="AC454" t="s">
        <v>37</v>
      </c>
      <c r="AD454" t="s">
        <v>38</v>
      </c>
      <c r="AE454" s="2">
        <v>600.625</v>
      </c>
    </row>
    <row r="455" spans="1:31" x14ac:dyDescent="0.35">
      <c r="A455">
        <v>26</v>
      </c>
      <c r="B455" s="1" t="s">
        <v>30</v>
      </c>
      <c r="C455" s="1" t="s">
        <v>62</v>
      </c>
      <c r="D455">
        <v>17</v>
      </c>
      <c r="E455">
        <v>4</v>
      </c>
      <c r="F455" s="1" t="s">
        <v>32</v>
      </c>
      <c r="G455">
        <v>2</v>
      </c>
      <c r="H455" s="1" t="s">
        <v>33</v>
      </c>
      <c r="I455">
        <v>3</v>
      </c>
      <c r="J455">
        <v>1</v>
      </c>
      <c r="K455" s="1" t="s">
        <v>62</v>
      </c>
      <c r="L455">
        <v>3</v>
      </c>
      <c r="M455" s="1" t="s">
        <v>50</v>
      </c>
      <c r="N455">
        <v>2741</v>
      </c>
      <c r="O455">
        <v>0</v>
      </c>
      <c r="P455" s="1" t="s">
        <v>30</v>
      </c>
      <c r="Q455">
        <v>11</v>
      </c>
      <c r="R455">
        <v>2</v>
      </c>
      <c r="S455">
        <v>1</v>
      </c>
      <c r="T455">
        <v>8</v>
      </c>
      <c r="U455">
        <v>2</v>
      </c>
      <c r="V455">
        <v>2</v>
      </c>
      <c r="W455">
        <v>7</v>
      </c>
      <c r="X455">
        <v>7</v>
      </c>
      <c r="Y455">
        <v>1</v>
      </c>
      <c r="Z455">
        <v>0</v>
      </c>
      <c r="AA455">
        <v>1</v>
      </c>
      <c r="AB455" s="1" t="s">
        <v>48</v>
      </c>
      <c r="AC455" t="s">
        <v>46</v>
      </c>
      <c r="AD455" t="s">
        <v>38</v>
      </c>
      <c r="AE455" s="2">
        <v>391.57142857142856</v>
      </c>
    </row>
    <row r="456" spans="1:31" x14ac:dyDescent="0.35">
      <c r="A456">
        <v>29</v>
      </c>
      <c r="B456" s="1" t="s">
        <v>39</v>
      </c>
      <c r="C456" s="1" t="s">
        <v>40</v>
      </c>
      <c r="D456">
        <v>19</v>
      </c>
      <c r="E456">
        <v>3</v>
      </c>
      <c r="F456" s="1" t="s">
        <v>61</v>
      </c>
      <c r="G456">
        <v>4</v>
      </c>
      <c r="H456" s="1" t="s">
        <v>41</v>
      </c>
      <c r="I456">
        <v>3</v>
      </c>
      <c r="J456">
        <v>2</v>
      </c>
      <c r="K456" s="1" t="s">
        <v>51</v>
      </c>
      <c r="L456">
        <v>4</v>
      </c>
      <c r="M456" s="1" t="s">
        <v>50</v>
      </c>
      <c r="N456">
        <v>4262</v>
      </c>
      <c r="O456">
        <v>4</v>
      </c>
      <c r="P456" s="1" t="s">
        <v>39</v>
      </c>
      <c r="Q456">
        <v>12</v>
      </c>
      <c r="R456">
        <v>2</v>
      </c>
      <c r="S456">
        <v>2</v>
      </c>
      <c r="T456">
        <v>8</v>
      </c>
      <c r="U456">
        <v>2</v>
      </c>
      <c r="V456">
        <v>4</v>
      </c>
      <c r="W456">
        <v>3</v>
      </c>
      <c r="X456">
        <v>2</v>
      </c>
      <c r="Y456">
        <v>1</v>
      </c>
      <c r="Z456">
        <v>2</v>
      </c>
      <c r="AA456">
        <v>0</v>
      </c>
      <c r="AB456" s="1" t="s">
        <v>48</v>
      </c>
      <c r="AC456" t="s">
        <v>37</v>
      </c>
      <c r="AD456" t="s">
        <v>53</v>
      </c>
      <c r="AE456" s="2">
        <v>1420.6666666666667</v>
      </c>
    </row>
    <row r="457" spans="1:31" x14ac:dyDescent="0.35">
      <c r="A457">
        <v>33</v>
      </c>
      <c r="B457" s="1" t="s">
        <v>39</v>
      </c>
      <c r="C457" s="1" t="s">
        <v>40</v>
      </c>
      <c r="D457">
        <v>1</v>
      </c>
      <c r="E457">
        <v>5</v>
      </c>
      <c r="F457" s="1" t="s">
        <v>49</v>
      </c>
      <c r="G457">
        <v>1</v>
      </c>
      <c r="H457" s="1" t="s">
        <v>33</v>
      </c>
      <c r="I457">
        <v>4</v>
      </c>
      <c r="J457">
        <v>4</v>
      </c>
      <c r="K457" s="1" t="s">
        <v>59</v>
      </c>
      <c r="L457">
        <v>3</v>
      </c>
      <c r="M457" s="1" t="s">
        <v>50</v>
      </c>
      <c r="N457">
        <v>16184</v>
      </c>
      <c r="O457">
        <v>4</v>
      </c>
      <c r="P457" s="1" t="s">
        <v>39</v>
      </c>
      <c r="Q457">
        <v>19</v>
      </c>
      <c r="R457">
        <v>3</v>
      </c>
      <c r="S457">
        <v>1</v>
      </c>
      <c r="T457">
        <v>10</v>
      </c>
      <c r="U457">
        <v>2</v>
      </c>
      <c r="V457">
        <v>3</v>
      </c>
      <c r="W457">
        <v>6</v>
      </c>
      <c r="X457">
        <v>1</v>
      </c>
      <c r="Y457">
        <v>0</v>
      </c>
      <c r="Z457">
        <v>5</v>
      </c>
      <c r="AA457">
        <v>0</v>
      </c>
      <c r="AB457" s="1" t="s">
        <v>48</v>
      </c>
      <c r="AC457" t="s">
        <v>56</v>
      </c>
      <c r="AD457" t="s">
        <v>38</v>
      </c>
      <c r="AE457" s="2">
        <v>2697.3333333333335</v>
      </c>
    </row>
    <row r="458" spans="1:31" x14ac:dyDescent="0.35">
      <c r="A458">
        <v>31</v>
      </c>
      <c r="B458" s="1" t="s">
        <v>39</v>
      </c>
      <c r="C458" s="1" t="s">
        <v>31</v>
      </c>
      <c r="D458">
        <v>7</v>
      </c>
      <c r="E458">
        <v>3</v>
      </c>
      <c r="F458" s="1" t="s">
        <v>32</v>
      </c>
      <c r="G458">
        <v>3</v>
      </c>
      <c r="H458" s="1" t="s">
        <v>41</v>
      </c>
      <c r="I458">
        <v>2</v>
      </c>
      <c r="J458">
        <v>3</v>
      </c>
      <c r="K458" s="1" t="s">
        <v>55</v>
      </c>
      <c r="L458">
        <v>4</v>
      </c>
      <c r="M458" s="1" t="s">
        <v>50</v>
      </c>
      <c r="N458">
        <v>11557</v>
      </c>
      <c r="O458">
        <v>9</v>
      </c>
      <c r="P458" s="1" t="s">
        <v>39</v>
      </c>
      <c r="Q458">
        <v>21</v>
      </c>
      <c r="R458">
        <v>3</v>
      </c>
      <c r="S458">
        <v>1</v>
      </c>
      <c r="T458">
        <v>10</v>
      </c>
      <c r="U458">
        <v>3</v>
      </c>
      <c r="V458">
        <v>2</v>
      </c>
      <c r="W458">
        <v>5</v>
      </c>
      <c r="X458">
        <v>4</v>
      </c>
      <c r="Y458">
        <v>0</v>
      </c>
      <c r="Z458">
        <v>1</v>
      </c>
      <c r="AA458">
        <v>0</v>
      </c>
      <c r="AB458" s="1" t="s">
        <v>48</v>
      </c>
      <c r="AC458" t="s">
        <v>56</v>
      </c>
      <c r="AD458" t="s">
        <v>53</v>
      </c>
      <c r="AE458" s="2">
        <v>2311.4</v>
      </c>
    </row>
    <row r="459" spans="1:31" x14ac:dyDescent="0.35">
      <c r="A459">
        <v>18</v>
      </c>
      <c r="B459" s="1" t="s">
        <v>30</v>
      </c>
      <c r="C459" s="1" t="s">
        <v>31</v>
      </c>
      <c r="D459">
        <v>5</v>
      </c>
      <c r="E459">
        <v>3</v>
      </c>
      <c r="F459" s="1" t="s">
        <v>60</v>
      </c>
      <c r="G459">
        <v>2</v>
      </c>
      <c r="H459" s="1" t="s">
        <v>41</v>
      </c>
      <c r="I459">
        <v>3</v>
      </c>
      <c r="J459">
        <v>1</v>
      </c>
      <c r="K459" s="1" t="s">
        <v>58</v>
      </c>
      <c r="L459">
        <v>2</v>
      </c>
      <c r="M459" s="1" t="s">
        <v>35</v>
      </c>
      <c r="N459">
        <v>1878</v>
      </c>
      <c r="O459">
        <v>1</v>
      </c>
      <c r="P459" s="1" t="s">
        <v>30</v>
      </c>
      <c r="Q459">
        <v>14</v>
      </c>
      <c r="R459">
        <v>4</v>
      </c>
      <c r="S459">
        <v>0</v>
      </c>
      <c r="T459">
        <v>0</v>
      </c>
      <c r="U459">
        <v>3</v>
      </c>
      <c r="V459">
        <v>3</v>
      </c>
      <c r="W459">
        <v>0</v>
      </c>
      <c r="X459">
        <v>0</v>
      </c>
      <c r="Y459">
        <v>0</v>
      </c>
      <c r="Z459">
        <v>0</v>
      </c>
      <c r="AA459">
        <v>1</v>
      </c>
      <c r="AB459" s="1" t="s">
        <v>54</v>
      </c>
      <c r="AC459" t="s">
        <v>46</v>
      </c>
      <c r="AD459" t="s">
        <v>47</v>
      </c>
      <c r="AE459" s="2">
        <v>1878</v>
      </c>
    </row>
    <row r="460" spans="1:31" x14ac:dyDescent="0.35">
      <c r="A460">
        <v>40</v>
      </c>
      <c r="B460" s="1" t="s">
        <v>39</v>
      </c>
      <c r="C460" s="1" t="s">
        <v>31</v>
      </c>
      <c r="D460">
        <v>28</v>
      </c>
      <c r="E460">
        <v>3</v>
      </c>
      <c r="F460" s="1" t="s">
        <v>44</v>
      </c>
      <c r="G460">
        <v>3</v>
      </c>
      <c r="H460" s="1" t="s">
        <v>41</v>
      </c>
      <c r="I460">
        <v>1</v>
      </c>
      <c r="J460">
        <v>3</v>
      </c>
      <c r="K460" s="1" t="s">
        <v>34</v>
      </c>
      <c r="L460">
        <v>1</v>
      </c>
      <c r="M460" s="1" t="s">
        <v>50</v>
      </c>
      <c r="N460">
        <v>10932</v>
      </c>
      <c r="O460">
        <v>3</v>
      </c>
      <c r="P460" s="1" t="s">
        <v>39</v>
      </c>
      <c r="Q460">
        <v>15</v>
      </c>
      <c r="R460">
        <v>3</v>
      </c>
      <c r="S460">
        <v>1</v>
      </c>
      <c r="T460">
        <v>20</v>
      </c>
      <c r="U460">
        <v>2</v>
      </c>
      <c r="V460">
        <v>3</v>
      </c>
      <c r="W460">
        <v>1</v>
      </c>
      <c r="X460">
        <v>0</v>
      </c>
      <c r="Y460">
        <v>0</v>
      </c>
      <c r="Z460">
        <v>1</v>
      </c>
      <c r="AA460">
        <v>0</v>
      </c>
      <c r="AB460" s="1" t="s">
        <v>36</v>
      </c>
      <c r="AC460" t="s">
        <v>56</v>
      </c>
      <c r="AD460" t="s">
        <v>47</v>
      </c>
      <c r="AE460" s="2">
        <v>10932</v>
      </c>
    </row>
    <row r="461" spans="1:31" x14ac:dyDescent="0.35">
      <c r="A461">
        <v>41</v>
      </c>
      <c r="B461" s="1" t="s">
        <v>39</v>
      </c>
      <c r="C461" s="1" t="s">
        <v>40</v>
      </c>
      <c r="D461">
        <v>2</v>
      </c>
      <c r="E461">
        <v>4</v>
      </c>
      <c r="F461" s="1" t="s">
        <v>44</v>
      </c>
      <c r="G461">
        <v>1</v>
      </c>
      <c r="H461" s="1" t="s">
        <v>33</v>
      </c>
      <c r="I461">
        <v>2</v>
      </c>
      <c r="J461">
        <v>2</v>
      </c>
      <c r="K461" s="1" t="s">
        <v>52</v>
      </c>
      <c r="L461">
        <v>3</v>
      </c>
      <c r="M461" s="1" t="s">
        <v>35</v>
      </c>
      <c r="N461">
        <v>6811</v>
      </c>
      <c r="O461">
        <v>2</v>
      </c>
      <c r="P461" s="1" t="s">
        <v>30</v>
      </c>
      <c r="Q461">
        <v>17</v>
      </c>
      <c r="R461">
        <v>1</v>
      </c>
      <c r="S461">
        <v>0</v>
      </c>
      <c r="T461">
        <v>10</v>
      </c>
      <c r="U461">
        <v>3</v>
      </c>
      <c r="V461">
        <v>3</v>
      </c>
      <c r="W461">
        <v>8</v>
      </c>
      <c r="X461">
        <v>7</v>
      </c>
      <c r="Y461">
        <v>0</v>
      </c>
      <c r="Z461">
        <v>7</v>
      </c>
      <c r="AA461">
        <v>0</v>
      </c>
      <c r="AB461" s="1" t="s">
        <v>36</v>
      </c>
      <c r="AC461" t="s">
        <v>37</v>
      </c>
      <c r="AD461" t="s">
        <v>38</v>
      </c>
      <c r="AE461" s="2">
        <v>851.375</v>
      </c>
    </row>
    <row r="462" spans="1:31" x14ac:dyDescent="0.35">
      <c r="A462">
        <v>26</v>
      </c>
      <c r="B462" s="1" t="s">
        <v>39</v>
      </c>
      <c r="C462" s="1" t="s">
        <v>31</v>
      </c>
      <c r="D462">
        <v>29</v>
      </c>
      <c r="E462">
        <v>2</v>
      </c>
      <c r="F462" s="1" t="s">
        <v>49</v>
      </c>
      <c r="G462">
        <v>1</v>
      </c>
      <c r="H462" s="1" t="s">
        <v>41</v>
      </c>
      <c r="I462">
        <v>3</v>
      </c>
      <c r="J462">
        <v>2</v>
      </c>
      <c r="K462" s="1" t="s">
        <v>34</v>
      </c>
      <c r="L462">
        <v>3</v>
      </c>
      <c r="M462" s="1" t="s">
        <v>50</v>
      </c>
      <c r="N462">
        <v>4306</v>
      </c>
      <c r="O462">
        <v>5</v>
      </c>
      <c r="P462" s="1" t="s">
        <v>39</v>
      </c>
      <c r="Q462">
        <v>12</v>
      </c>
      <c r="R462">
        <v>1</v>
      </c>
      <c r="S462">
        <v>2</v>
      </c>
      <c r="T462">
        <v>8</v>
      </c>
      <c r="U462">
        <v>5</v>
      </c>
      <c r="V462">
        <v>3</v>
      </c>
      <c r="W462">
        <v>0</v>
      </c>
      <c r="X462">
        <v>0</v>
      </c>
      <c r="Y462">
        <v>0</v>
      </c>
      <c r="Z462">
        <v>0</v>
      </c>
      <c r="AA462">
        <v>0</v>
      </c>
      <c r="AB462" s="1" t="s">
        <v>48</v>
      </c>
      <c r="AC462" t="s">
        <v>37</v>
      </c>
      <c r="AD462" t="s">
        <v>47</v>
      </c>
      <c r="AE462" s="2">
        <v>4306</v>
      </c>
    </row>
    <row r="463" spans="1:31" x14ac:dyDescent="0.35">
      <c r="A463">
        <v>35</v>
      </c>
      <c r="B463" s="1" t="s">
        <v>39</v>
      </c>
      <c r="C463" s="1" t="s">
        <v>31</v>
      </c>
      <c r="D463">
        <v>1</v>
      </c>
      <c r="E463">
        <v>3</v>
      </c>
      <c r="F463" s="1" t="s">
        <v>49</v>
      </c>
      <c r="G463">
        <v>1</v>
      </c>
      <c r="H463" s="1" t="s">
        <v>33</v>
      </c>
      <c r="I463">
        <v>3</v>
      </c>
      <c r="J463">
        <v>2</v>
      </c>
      <c r="K463" s="1" t="s">
        <v>34</v>
      </c>
      <c r="L463">
        <v>3</v>
      </c>
      <c r="M463" s="1" t="s">
        <v>35</v>
      </c>
      <c r="N463">
        <v>4859</v>
      </c>
      <c r="O463">
        <v>1</v>
      </c>
      <c r="P463" s="1" t="s">
        <v>39</v>
      </c>
      <c r="Q463">
        <v>16</v>
      </c>
      <c r="R463">
        <v>4</v>
      </c>
      <c r="S463">
        <v>0</v>
      </c>
      <c r="T463">
        <v>5</v>
      </c>
      <c r="U463">
        <v>3</v>
      </c>
      <c r="V463">
        <v>3</v>
      </c>
      <c r="W463">
        <v>5</v>
      </c>
      <c r="X463">
        <v>4</v>
      </c>
      <c r="Y463">
        <v>0</v>
      </c>
      <c r="Z463">
        <v>3</v>
      </c>
      <c r="AA463">
        <v>0</v>
      </c>
      <c r="AB463" s="1" t="s">
        <v>48</v>
      </c>
      <c r="AC463" t="s">
        <v>37</v>
      </c>
      <c r="AD463" t="s">
        <v>53</v>
      </c>
      <c r="AE463" s="2">
        <v>971.8</v>
      </c>
    </row>
    <row r="464" spans="1:31" x14ac:dyDescent="0.35">
      <c r="A464">
        <v>34</v>
      </c>
      <c r="B464" s="1" t="s">
        <v>39</v>
      </c>
      <c r="C464" s="1" t="s">
        <v>31</v>
      </c>
      <c r="D464">
        <v>21</v>
      </c>
      <c r="E464">
        <v>4</v>
      </c>
      <c r="F464" s="1" t="s">
        <v>32</v>
      </c>
      <c r="G464">
        <v>4</v>
      </c>
      <c r="H464" s="1" t="s">
        <v>41</v>
      </c>
      <c r="I464">
        <v>4</v>
      </c>
      <c r="J464">
        <v>2</v>
      </c>
      <c r="K464" s="1" t="s">
        <v>34</v>
      </c>
      <c r="L464">
        <v>4</v>
      </c>
      <c r="M464" s="1" t="s">
        <v>35</v>
      </c>
      <c r="N464">
        <v>5337</v>
      </c>
      <c r="O464">
        <v>1</v>
      </c>
      <c r="P464" s="1" t="s">
        <v>39</v>
      </c>
      <c r="Q464">
        <v>12</v>
      </c>
      <c r="R464">
        <v>4</v>
      </c>
      <c r="S464">
        <v>0</v>
      </c>
      <c r="T464">
        <v>10</v>
      </c>
      <c r="U464">
        <v>3</v>
      </c>
      <c r="V464">
        <v>3</v>
      </c>
      <c r="W464">
        <v>10</v>
      </c>
      <c r="X464">
        <v>7</v>
      </c>
      <c r="Y464">
        <v>5</v>
      </c>
      <c r="Z464">
        <v>7</v>
      </c>
      <c r="AA464">
        <v>0</v>
      </c>
      <c r="AB464" s="1" t="s">
        <v>48</v>
      </c>
      <c r="AC464" t="s">
        <v>37</v>
      </c>
      <c r="AD464" t="s">
        <v>38</v>
      </c>
      <c r="AE464" s="2">
        <v>533.70000000000005</v>
      </c>
    </row>
    <row r="465" spans="1:31" x14ac:dyDescent="0.35">
      <c r="A465">
        <v>26</v>
      </c>
      <c r="B465" s="1" t="s">
        <v>30</v>
      </c>
      <c r="C465" s="1" t="s">
        <v>40</v>
      </c>
      <c r="D465">
        <v>24</v>
      </c>
      <c r="E465">
        <v>3</v>
      </c>
      <c r="F465" s="1" t="s">
        <v>61</v>
      </c>
      <c r="G465">
        <v>3</v>
      </c>
      <c r="H465" s="1" t="s">
        <v>41</v>
      </c>
      <c r="I465">
        <v>1</v>
      </c>
      <c r="J465">
        <v>1</v>
      </c>
      <c r="K465" s="1" t="s">
        <v>45</v>
      </c>
      <c r="L465">
        <v>4</v>
      </c>
      <c r="M465" s="1" t="s">
        <v>35</v>
      </c>
      <c r="N465">
        <v>2340</v>
      </c>
      <c r="O465">
        <v>1</v>
      </c>
      <c r="P465" s="1" t="s">
        <v>30</v>
      </c>
      <c r="Q465">
        <v>18</v>
      </c>
      <c r="R465">
        <v>2</v>
      </c>
      <c r="S465">
        <v>0</v>
      </c>
      <c r="T465">
        <v>1</v>
      </c>
      <c r="U465">
        <v>3</v>
      </c>
      <c r="V465">
        <v>1</v>
      </c>
      <c r="W465">
        <v>1</v>
      </c>
      <c r="X465">
        <v>0</v>
      </c>
      <c r="Y465">
        <v>0</v>
      </c>
      <c r="Z465">
        <v>0</v>
      </c>
      <c r="AA465">
        <v>1</v>
      </c>
      <c r="AB465" s="1" t="s">
        <v>48</v>
      </c>
      <c r="AC465" t="s">
        <v>46</v>
      </c>
      <c r="AD465" t="s">
        <v>47</v>
      </c>
      <c r="AE465" s="2">
        <v>2340</v>
      </c>
    </row>
    <row r="466" spans="1:31" x14ac:dyDescent="0.35">
      <c r="A466">
        <v>37</v>
      </c>
      <c r="B466" s="1" t="s">
        <v>39</v>
      </c>
      <c r="C466" s="1" t="s">
        <v>40</v>
      </c>
      <c r="D466">
        <v>1</v>
      </c>
      <c r="E466">
        <v>3</v>
      </c>
      <c r="F466" s="1" t="s">
        <v>61</v>
      </c>
      <c r="G466">
        <v>2</v>
      </c>
      <c r="H466" s="1" t="s">
        <v>33</v>
      </c>
      <c r="I466">
        <v>3</v>
      </c>
      <c r="J466">
        <v>3</v>
      </c>
      <c r="K466" s="1" t="s">
        <v>51</v>
      </c>
      <c r="L466">
        <v>4</v>
      </c>
      <c r="M466" s="1" t="s">
        <v>35</v>
      </c>
      <c r="N466">
        <v>7491</v>
      </c>
      <c r="O466">
        <v>4</v>
      </c>
      <c r="P466" s="1" t="s">
        <v>39</v>
      </c>
      <c r="Q466">
        <v>17</v>
      </c>
      <c r="R466">
        <v>4</v>
      </c>
      <c r="S466">
        <v>0</v>
      </c>
      <c r="T466">
        <v>12</v>
      </c>
      <c r="U466">
        <v>3</v>
      </c>
      <c r="V466">
        <v>4</v>
      </c>
      <c r="W466">
        <v>6</v>
      </c>
      <c r="X466">
        <v>5</v>
      </c>
      <c r="Y466">
        <v>1</v>
      </c>
      <c r="Z466">
        <v>2</v>
      </c>
      <c r="AA466">
        <v>0</v>
      </c>
      <c r="AB466" s="1" t="s">
        <v>36</v>
      </c>
      <c r="AC466" t="s">
        <v>37</v>
      </c>
      <c r="AD466" t="s">
        <v>38</v>
      </c>
      <c r="AE466" s="2">
        <v>1248.5</v>
      </c>
    </row>
    <row r="467" spans="1:31" x14ac:dyDescent="0.35">
      <c r="A467">
        <v>46</v>
      </c>
      <c r="B467" s="1" t="s">
        <v>39</v>
      </c>
      <c r="C467" s="1" t="s">
        <v>40</v>
      </c>
      <c r="D467">
        <v>18</v>
      </c>
      <c r="E467">
        <v>1</v>
      </c>
      <c r="F467" s="1" t="s">
        <v>49</v>
      </c>
      <c r="G467">
        <v>1</v>
      </c>
      <c r="H467" s="1" t="s">
        <v>33</v>
      </c>
      <c r="I467">
        <v>3</v>
      </c>
      <c r="J467">
        <v>3</v>
      </c>
      <c r="K467" s="1" t="s">
        <v>52</v>
      </c>
      <c r="L467">
        <v>3</v>
      </c>
      <c r="M467" s="1" t="s">
        <v>43</v>
      </c>
      <c r="N467">
        <v>10527</v>
      </c>
      <c r="O467">
        <v>5</v>
      </c>
      <c r="P467" s="1" t="s">
        <v>39</v>
      </c>
      <c r="Q467">
        <v>11</v>
      </c>
      <c r="R467">
        <v>4</v>
      </c>
      <c r="S467">
        <v>0</v>
      </c>
      <c r="T467">
        <v>28</v>
      </c>
      <c r="U467">
        <v>3</v>
      </c>
      <c r="V467">
        <v>2</v>
      </c>
      <c r="W467">
        <v>2</v>
      </c>
      <c r="X467">
        <v>2</v>
      </c>
      <c r="Y467">
        <v>1</v>
      </c>
      <c r="Z467">
        <v>2</v>
      </c>
      <c r="AA467">
        <v>0</v>
      </c>
      <c r="AB467" s="1" t="s">
        <v>82</v>
      </c>
      <c r="AC467" t="s">
        <v>56</v>
      </c>
      <c r="AD467" t="s">
        <v>47</v>
      </c>
      <c r="AE467" s="2">
        <v>5263.5</v>
      </c>
    </row>
    <row r="468" spans="1:31" x14ac:dyDescent="0.35">
      <c r="A468">
        <v>41</v>
      </c>
      <c r="B468" s="1" t="s">
        <v>39</v>
      </c>
      <c r="C468" s="1" t="s">
        <v>31</v>
      </c>
      <c r="D468">
        <v>2</v>
      </c>
      <c r="E468">
        <v>5</v>
      </c>
      <c r="F468" s="1" t="s">
        <v>32</v>
      </c>
      <c r="G468">
        <v>2</v>
      </c>
      <c r="H468" s="1" t="s">
        <v>33</v>
      </c>
      <c r="I468">
        <v>3</v>
      </c>
      <c r="J468">
        <v>4</v>
      </c>
      <c r="K468" s="1" t="s">
        <v>55</v>
      </c>
      <c r="L468">
        <v>1</v>
      </c>
      <c r="M468" s="1" t="s">
        <v>43</v>
      </c>
      <c r="N468">
        <v>16595</v>
      </c>
      <c r="O468">
        <v>7</v>
      </c>
      <c r="P468" s="1" t="s">
        <v>39</v>
      </c>
      <c r="Q468">
        <v>16</v>
      </c>
      <c r="R468">
        <v>2</v>
      </c>
      <c r="S468">
        <v>1</v>
      </c>
      <c r="T468">
        <v>22</v>
      </c>
      <c r="U468">
        <v>2</v>
      </c>
      <c r="V468">
        <v>3</v>
      </c>
      <c r="W468">
        <v>18</v>
      </c>
      <c r="X468">
        <v>16</v>
      </c>
      <c r="Y468">
        <v>11</v>
      </c>
      <c r="Z468">
        <v>8</v>
      </c>
      <c r="AA468">
        <v>0</v>
      </c>
      <c r="AB468" s="1" t="s">
        <v>36</v>
      </c>
      <c r="AC468" t="s">
        <v>56</v>
      </c>
      <c r="AD468" t="s">
        <v>57</v>
      </c>
      <c r="AE468" s="2">
        <v>921.94444444444446</v>
      </c>
    </row>
    <row r="469" spans="1:31" x14ac:dyDescent="0.35">
      <c r="A469">
        <v>37</v>
      </c>
      <c r="B469" s="1" t="s">
        <v>39</v>
      </c>
      <c r="C469" s="1" t="s">
        <v>31</v>
      </c>
      <c r="D469">
        <v>9</v>
      </c>
      <c r="E469">
        <v>4</v>
      </c>
      <c r="F469" s="1" t="s">
        <v>49</v>
      </c>
      <c r="G469">
        <v>1</v>
      </c>
      <c r="H469" s="1" t="s">
        <v>41</v>
      </c>
      <c r="I469">
        <v>3</v>
      </c>
      <c r="J469">
        <v>3</v>
      </c>
      <c r="K469" s="1" t="s">
        <v>34</v>
      </c>
      <c r="L469">
        <v>2</v>
      </c>
      <c r="M469" s="1" t="s">
        <v>50</v>
      </c>
      <c r="N469">
        <v>8834</v>
      </c>
      <c r="O469">
        <v>1</v>
      </c>
      <c r="P469" s="1" t="s">
        <v>39</v>
      </c>
      <c r="Q469">
        <v>13</v>
      </c>
      <c r="R469">
        <v>4</v>
      </c>
      <c r="S469">
        <v>1</v>
      </c>
      <c r="T469">
        <v>9</v>
      </c>
      <c r="U469">
        <v>6</v>
      </c>
      <c r="V469">
        <v>3</v>
      </c>
      <c r="W469">
        <v>9</v>
      </c>
      <c r="X469">
        <v>5</v>
      </c>
      <c r="Y469">
        <v>7</v>
      </c>
      <c r="Z469">
        <v>7</v>
      </c>
      <c r="AA469">
        <v>0</v>
      </c>
      <c r="AB469" s="1" t="s">
        <v>36</v>
      </c>
      <c r="AC469" t="s">
        <v>37</v>
      </c>
      <c r="AD469" t="s">
        <v>38</v>
      </c>
      <c r="AE469" s="2">
        <v>981.55555555555554</v>
      </c>
    </row>
    <row r="470" spans="1:31" x14ac:dyDescent="0.35">
      <c r="A470">
        <v>52</v>
      </c>
      <c r="B470" s="1" t="s">
        <v>39</v>
      </c>
      <c r="C470" s="1" t="s">
        <v>40</v>
      </c>
      <c r="D470">
        <v>6</v>
      </c>
      <c r="E470">
        <v>2</v>
      </c>
      <c r="F470" s="1" t="s">
        <v>61</v>
      </c>
      <c r="G470">
        <v>4</v>
      </c>
      <c r="H470" s="1" t="s">
        <v>41</v>
      </c>
      <c r="I470">
        <v>3</v>
      </c>
      <c r="J470">
        <v>2</v>
      </c>
      <c r="K470" s="1" t="s">
        <v>42</v>
      </c>
      <c r="L470">
        <v>1</v>
      </c>
      <c r="M470" s="1" t="s">
        <v>50</v>
      </c>
      <c r="N470">
        <v>5577</v>
      </c>
      <c r="O470">
        <v>3</v>
      </c>
      <c r="P470" s="1" t="s">
        <v>30</v>
      </c>
      <c r="Q470">
        <v>12</v>
      </c>
      <c r="R470">
        <v>2</v>
      </c>
      <c r="S470">
        <v>2</v>
      </c>
      <c r="T470">
        <v>18</v>
      </c>
      <c r="U470">
        <v>3</v>
      </c>
      <c r="V470">
        <v>3</v>
      </c>
      <c r="W470">
        <v>10</v>
      </c>
      <c r="X470">
        <v>9</v>
      </c>
      <c r="Y470">
        <v>6</v>
      </c>
      <c r="Z470">
        <v>9</v>
      </c>
      <c r="AA470">
        <v>0</v>
      </c>
      <c r="AB470" s="1" t="s">
        <v>82</v>
      </c>
      <c r="AC470" t="s">
        <v>37</v>
      </c>
      <c r="AD470" t="s">
        <v>38</v>
      </c>
      <c r="AE470" s="2">
        <v>557.70000000000005</v>
      </c>
    </row>
    <row r="471" spans="1:31" x14ac:dyDescent="0.35">
      <c r="A471">
        <v>32</v>
      </c>
      <c r="B471" s="1" t="s">
        <v>30</v>
      </c>
      <c r="C471" s="1" t="s">
        <v>31</v>
      </c>
      <c r="D471">
        <v>11</v>
      </c>
      <c r="E471">
        <v>4</v>
      </c>
      <c r="F471" s="1" t="s">
        <v>44</v>
      </c>
      <c r="G471">
        <v>4</v>
      </c>
      <c r="H471" s="1" t="s">
        <v>41</v>
      </c>
      <c r="I471">
        <v>4</v>
      </c>
      <c r="J471">
        <v>2</v>
      </c>
      <c r="K471" s="1" t="s">
        <v>34</v>
      </c>
      <c r="L471">
        <v>3</v>
      </c>
      <c r="M471" s="1" t="s">
        <v>43</v>
      </c>
      <c r="N471">
        <v>4707</v>
      </c>
      <c r="O471">
        <v>8</v>
      </c>
      <c r="P471" s="1" t="s">
        <v>39</v>
      </c>
      <c r="Q471">
        <v>12</v>
      </c>
      <c r="R471">
        <v>4</v>
      </c>
      <c r="S471">
        <v>0</v>
      </c>
      <c r="T471">
        <v>6</v>
      </c>
      <c r="U471">
        <v>2</v>
      </c>
      <c r="V471">
        <v>3</v>
      </c>
      <c r="W471">
        <v>4</v>
      </c>
      <c r="X471">
        <v>2</v>
      </c>
      <c r="Y471">
        <v>1</v>
      </c>
      <c r="Z471">
        <v>2</v>
      </c>
      <c r="AA471">
        <v>1</v>
      </c>
      <c r="AB471" s="1" t="s">
        <v>48</v>
      </c>
      <c r="AC471" t="s">
        <v>37</v>
      </c>
      <c r="AD471" t="s">
        <v>53</v>
      </c>
      <c r="AE471" s="2">
        <v>1176.75</v>
      </c>
    </row>
    <row r="472" spans="1:31" x14ac:dyDescent="0.35">
      <c r="A472">
        <v>24</v>
      </c>
      <c r="B472" s="1" t="s">
        <v>39</v>
      </c>
      <c r="C472" s="1" t="s">
        <v>31</v>
      </c>
      <c r="D472">
        <v>24</v>
      </c>
      <c r="E472">
        <v>3</v>
      </c>
      <c r="F472" s="1" t="s">
        <v>49</v>
      </c>
      <c r="G472">
        <v>4</v>
      </c>
      <c r="H472" s="1" t="s">
        <v>41</v>
      </c>
      <c r="I472">
        <v>3</v>
      </c>
      <c r="J472">
        <v>1</v>
      </c>
      <c r="K472" s="1" t="s">
        <v>58</v>
      </c>
      <c r="L472">
        <v>4</v>
      </c>
      <c r="M472" s="1" t="s">
        <v>43</v>
      </c>
      <c r="N472">
        <v>2400</v>
      </c>
      <c r="O472">
        <v>0</v>
      </c>
      <c r="P472" s="1" t="s">
        <v>39</v>
      </c>
      <c r="Q472">
        <v>13</v>
      </c>
      <c r="R472">
        <v>3</v>
      </c>
      <c r="S472">
        <v>2</v>
      </c>
      <c r="T472">
        <v>3</v>
      </c>
      <c r="U472">
        <v>3</v>
      </c>
      <c r="V472">
        <v>3</v>
      </c>
      <c r="W472">
        <v>2</v>
      </c>
      <c r="X472">
        <v>2</v>
      </c>
      <c r="Y472">
        <v>2</v>
      </c>
      <c r="Z472">
        <v>1</v>
      </c>
      <c r="AA472">
        <v>0</v>
      </c>
      <c r="AB472" s="1" t="s">
        <v>54</v>
      </c>
      <c r="AC472" t="s">
        <v>46</v>
      </c>
      <c r="AD472" t="s">
        <v>47</v>
      </c>
      <c r="AE472" s="2">
        <v>1200</v>
      </c>
    </row>
    <row r="473" spans="1:31" x14ac:dyDescent="0.35">
      <c r="A473">
        <v>38</v>
      </c>
      <c r="B473" s="1" t="s">
        <v>39</v>
      </c>
      <c r="C473" s="1" t="s">
        <v>40</v>
      </c>
      <c r="D473">
        <v>10</v>
      </c>
      <c r="E473">
        <v>3</v>
      </c>
      <c r="F473" s="1" t="s">
        <v>49</v>
      </c>
      <c r="G473">
        <v>3</v>
      </c>
      <c r="H473" s="1" t="s">
        <v>33</v>
      </c>
      <c r="I473">
        <v>3</v>
      </c>
      <c r="J473">
        <v>2</v>
      </c>
      <c r="K473" s="1" t="s">
        <v>52</v>
      </c>
      <c r="L473">
        <v>3</v>
      </c>
      <c r="M473" s="1" t="s">
        <v>43</v>
      </c>
      <c r="N473">
        <v>9824</v>
      </c>
      <c r="O473">
        <v>3</v>
      </c>
      <c r="P473" s="1" t="s">
        <v>39</v>
      </c>
      <c r="Q473">
        <v>19</v>
      </c>
      <c r="R473">
        <v>3</v>
      </c>
      <c r="S473">
        <v>1</v>
      </c>
      <c r="T473">
        <v>18</v>
      </c>
      <c r="U473">
        <v>4</v>
      </c>
      <c r="V473">
        <v>3</v>
      </c>
      <c r="W473">
        <v>1</v>
      </c>
      <c r="X473">
        <v>0</v>
      </c>
      <c r="Y473">
        <v>0</v>
      </c>
      <c r="Z473">
        <v>0</v>
      </c>
      <c r="AA473">
        <v>0</v>
      </c>
      <c r="AB473" s="1" t="s">
        <v>36</v>
      </c>
      <c r="AC473" t="s">
        <v>37</v>
      </c>
      <c r="AD473" t="s">
        <v>47</v>
      </c>
      <c r="AE473" s="2">
        <v>9824</v>
      </c>
    </row>
    <row r="474" spans="1:31" x14ac:dyDescent="0.35">
      <c r="A474">
        <v>37</v>
      </c>
      <c r="B474" s="1" t="s">
        <v>39</v>
      </c>
      <c r="C474" s="1" t="s">
        <v>40</v>
      </c>
      <c r="D474">
        <v>1</v>
      </c>
      <c r="E474">
        <v>4</v>
      </c>
      <c r="F474" s="1" t="s">
        <v>32</v>
      </c>
      <c r="G474">
        <v>2</v>
      </c>
      <c r="H474" s="1" t="s">
        <v>33</v>
      </c>
      <c r="I474">
        <v>3</v>
      </c>
      <c r="J474">
        <v>2</v>
      </c>
      <c r="K474" s="1" t="s">
        <v>51</v>
      </c>
      <c r="L474">
        <v>2</v>
      </c>
      <c r="M474" s="1" t="s">
        <v>43</v>
      </c>
      <c r="N474">
        <v>6447</v>
      </c>
      <c r="O474">
        <v>6</v>
      </c>
      <c r="P474" s="1" t="s">
        <v>39</v>
      </c>
      <c r="Q474">
        <v>12</v>
      </c>
      <c r="R474">
        <v>2</v>
      </c>
      <c r="S474">
        <v>1</v>
      </c>
      <c r="T474">
        <v>8</v>
      </c>
      <c r="U474">
        <v>2</v>
      </c>
      <c r="V474">
        <v>2</v>
      </c>
      <c r="W474">
        <v>6</v>
      </c>
      <c r="X474">
        <v>5</v>
      </c>
      <c r="Y474">
        <v>4</v>
      </c>
      <c r="Z474">
        <v>3</v>
      </c>
      <c r="AA474">
        <v>0</v>
      </c>
      <c r="AB474" s="1" t="s">
        <v>36</v>
      </c>
      <c r="AC474" t="s">
        <v>37</v>
      </c>
      <c r="AD474" t="s">
        <v>38</v>
      </c>
      <c r="AE474" s="2">
        <v>1074.5</v>
      </c>
    </row>
    <row r="475" spans="1:31" x14ac:dyDescent="0.35">
      <c r="A475">
        <v>49</v>
      </c>
      <c r="B475" s="1" t="s">
        <v>39</v>
      </c>
      <c r="C475" s="1" t="s">
        <v>40</v>
      </c>
      <c r="D475">
        <v>18</v>
      </c>
      <c r="E475">
        <v>4</v>
      </c>
      <c r="F475" s="1" t="s">
        <v>32</v>
      </c>
      <c r="G475">
        <v>4</v>
      </c>
      <c r="H475" s="1" t="s">
        <v>41</v>
      </c>
      <c r="I475">
        <v>2</v>
      </c>
      <c r="J475">
        <v>5</v>
      </c>
      <c r="K475" s="1" t="s">
        <v>59</v>
      </c>
      <c r="L475">
        <v>3</v>
      </c>
      <c r="M475" s="1" t="s">
        <v>50</v>
      </c>
      <c r="N475">
        <v>19502</v>
      </c>
      <c r="O475">
        <v>1</v>
      </c>
      <c r="P475" s="1" t="s">
        <v>30</v>
      </c>
      <c r="Q475">
        <v>17</v>
      </c>
      <c r="R475">
        <v>3</v>
      </c>
      <c r="S475">
        <v>1</v>
      </c>
      <c r="T475">
        <v>31</v>
      </c>
      <c r="U475">
        <v>5</v>
      </c>
      <c r="V475">
        <v>3</v>
      </c>
      <c r="W475">
        <v>31</v>
      </c>
      <c r="X475">
        <v>9</v>
      </c>
      <c r="Y475">
        <v>0</v>
      </c>
      <c r="Z475">
        <v>9</v>
      </c>
      <c r="AA475">
        <v>0</v>
      </c>
      <c r="AB475" s="1" t="s">
        <v>82</v>
      </c>
      <c r="AC475" t="s">
        <v>56</v>
      </c>
      <c r="AD475" t="s">
        <v>57</v>
      </c>
      <c r="AE475" s="2">
        <v>629.09677419354841</v>
      </c>
    </row>
    <row r="476" spans="1:31" x14ac:dyDescent="0.35">
      <c r="A476">
        <v>24</v>
      </c>
      <c r="B476" s="1" t="s">
        <v>39</v>
      </c>
      <c r="C476" s="1" t="s">
        <v>40</v>
      </c>
      <c r="D476">
        <v>23</v>
      </c>
      <c r="E476">
        <v>3</v>
      </c>
      <c r="F476" s="1" t="s">
        <v>49</v>
      </c>
      <c r="G476">
        <v>2</v>
      </c>
      <c r="H476" s="1" t="s">
        <v>41</v>
      </c>
      <c r="I476">
        <v>4</v>
      </c>
      <c r="J476">
        <v>1</v>
      </c>
      <c r="K476" s="1" t="s">
        <v>42</v>
      </c>
      <c r="L476">
        <v>4</v>
      </c>
      <c r="M476" s="1" t="s">
        <v>43</v>
      </c>
      <c r="N476">
        <v>2725</v>
      </c>
      <c r="O476">
        <v>1</v>
      </c>
      <c r="P476" s="1" t="s">
        <v>30</v>
      </c>
      <c r="Q476">
        <v>11</v>
      </c>
      <c r="R476">
        <v>2</v>
      </c>
      <c r="S476">
        <v>2</v>
      </c>
      <c r="T476">
        <v>6</v>
      </c>
      <c r="U476">
        <v>3</v>
      </c>
      <c r="V476">
        <v>3</v>
      </c>
      <c r="W476">
        <v>6</v>
      </c>
      <c r="X476">
        <v>5</v>
      </c>
      <c r="Y476">
        <v>1</v>
      </c>
      <c r="Z476">
        <v>4</v>
      </c>
      <c r="AA476">
        <v>0</v>
      </c>
      <c r="AB476" s="1" t="s">
        <v>54</v>
      </c>
      <c r="AC476" t="s">
        <v>46</v>
      </c>
      <c r="AD476" t="s">
        <v>38</v>
      </c>
      <c r="AE476" s="2">
        <v>454.16666666666669</v>
      </c>
    </row>
    <row r="477" spans="1:31" x14ac:dyDescent="0.35">
      <c r="A477">
        <v>26</v>
      </c>
      <c r="B477" s="1" t="s">
        <v>39</v>
      </c>
      <c r="C477" s="1" t="s">
        <v>31</v>
      </c>
      <c r="D477">
        <v>28</v>
      </c>
      <c r="E477">
        <v>2</v>
      </c>
      <c r="F477" s="1" t="s">
        <v>60</v>
      </c>
      <c r="G477">
        <v>1</v>
      </c>
      <c r="H477" s="1" t="s">
        <v>41</v>
      </c>
      <c r="I477">
        <v>3</v>
      </c>
      <c r="J477">
        <v>2</v>
      </c>
      <c r="K477" s="1" t="s">
        <v>34</v>
      </c>
      <c r="L477">
        <v>2</v>
      </c>
      <c r="M477" s="1" t="s">
        <v>43</v>
      </c>
      <c r="N477">
        <v>6272</v>
      </c>
      <c r="O477">
        <v>1</v>
      </c>
      <c r="P477" s="1" t="s">
        <v>39</v>
      </c>
      <c r="Q477">
        <v>20</v>
      </c>
      <c r="R477">
        <v>4</v>
      </c>
      <c r="S477">
        <v>2</v>
      </c>
      <c r="T477">
        <v>6</v>
      </c>
      <c r="U477">
        <v>5</v>
      </c>
      <c r="V477">
        <v>4</v>
      </c>
      <c r="W477">
        <v>5</v>
      </c>
      <c r="X477">
        <v>3</v>
      </c>
      <c r="Y477">
        <v>1</v>
      </c>
      <c r="Z477">
        <v>4</v>
      </c>
      <c r="AA477">
        <v>0</v>
      </c>
      <c r="AB477" s="1" t="s">
        <v>48</v>
      </c>
      <c r="AC477" t="s">
        <v>37</v>
      </c>
      <c r="AD477" t="s">
        <v>53</v>
      </c>
      <c r="AE477" s="2">
        <v>1254.4000000000001</v>
      </c>
    </row>
    <row r="478" spans="1:31" x14ac:dyDescent="0.35">
      <c r="A478">
        <v>24</v>
      </c>
      <c r="B478" s="1" t="s">
        <v>39</v>
      </c>
      <c r="C478" s="1" t="s">
        <v>40</v>
      </c>
      <c r="D478">
        <v>17</v>
      </c>
      <c r="E478">
        <v>2</v>
      </c>
      <c r="F478" s="1" t="s">
        <v>44</v>
      </c>
      <c r="G478">
        <v>4</v>
      </c>
      <c r="H478" s="1" t="s">
        <v>41</v>
      </c>
      <c r="I478">
        <v>2</v>
      </c>
      <c r="J478">
        <v>1</v>
      </c>
      <c r="K478" s="1" t="s">
        <v>45</v>
      </c>
      <c r="L478">
        <v>2</v>
      </c>
      <c r="M478" s="1" t="s">
        <v>43</v>
      </c>
      <c r="N478">
        <v>2127</v>
      </c>
      <c r="O478">
        <v>1</v>
      </c>
      <c r="P478" s="1" t="s">
        <v>39</v>
      </c>
      <c r="Q478">
        <v>21</v>
      </c>
      <c r="R478">
        <v>4</v>
      </c>
      <c r="S478">
        <v>1</v>
      </c>
      <c r="T478">
        <v>1</v>
      </c>
      <c r="U478">
        <v>2</v>
      </c>
      <c r="V478">
        <v>3</v>
      </c>
      <c r="W478">
        <v>1</v>
      </c>
      <c r="X478">
        <v>0</v>
      </c>
      <c r="Y478">
        <v>0</v>
      </c>
      <c r="Z478">
        <v>0</v>
      </c>
      <c r="AA478">
        <v>0</v>
      </c>
      <c r="AB478" s="1" t="s">
        <v>54</v>
      </c>
      <c r="AC478" t="s">
        <v>46</v>
      </c>
      <c r="AD478" t="s">
        <v>47</v>
      </c>
      <c r="AE478" s="2">
        <v>2127</v>
      </c>
    </row>
    <row r="479" spans="1:31" x14ac:dyDescent="0.35">
      <c r="A479">
        <v>50</v>
      </c>
      <c r="B479" s="1" t="s">
        <v>39</v>
      </c>
      <c r="C479" s="1" t="s">
        <v>62</v>
      </c>
      <c r="D479">
        <v>3</v>
      </c>
      <c r="E479">
        <v>3</v>
      </c>
      <c r="F479" s="1" t="s">
        <v>49</v>
      </c>
      <c r="G479">
        <v>1</v>
      </c>
      <c r="H479" s="1" t="s">
        <v>41</v>
      </c>
      <c r="I479">
        <v>3</v>
      </c>
      <c r="J479">
        <v>5</v>
      </c>
      <c r="K479" s="1" t="s">
        <v>55</v>
      </c>
      <c r="L479">
        <v>2</v>
      </c>
      <c r="M479" s="1" t="s">
        <v>43</v>
      </c>
      <c r="N479">
        <v>18200</v>
      </c>
      <c r="O479">
        <v>1</v>
      </c>
      <c r="P479" s="1" t="s">
        <v>39</v>
      </c>
      <c r="Q479">
        <v>11</v>
      </c>
      <c r="R479">
        <v>3</v>
      </c>
      <c r="S479">
        <v>1</v>
      </c>
      <c r="T479">
        <v>32</v>
      </c>
      <c r="U479">
        <v>2</v>
      </c>
      <c r="V479">
        <v>3</v>
      </c>
      <c r="W479">
        <v>32</v>
      </c>
      <c r="X479">
        <v>5</v>
      </c>
      <c r="Y479">
        <v>10</v>
      </c>
      <c r="Z479">
        <v>7</v>
      </c>
      <c r="AA479">
        <v>0</v>
      </c>
      <c r="AB479" s="1" t="s">
        <v>82</v>
      </c>
      <c r="AC479" t="s">
        <v>56</v>
      </c>
      <c r="AD479" t="s">
        <v>57</v>
      </c>
      <c r="AE479" s="2">
        <v>568.75</v>
      </c>
    </row>
    <row r="480" spans="1:31" x14ac:dyDescent="0.35">
      <c r="A480">
        <v>25</v>
      </c>
      <c r="B480" s="1" t="s">
        <v>39</v>
      </c>
      <c r="C480" s="1" t="s">
        <v>31</v>
      </c>
      <c r="D480">
        <v>13</v>
      </c>
      <c r="E480">
        <v>1</v>
      </c>
      <c r="F480" s="1" t="s">
        <v>49</v>
      </c>
      <c r="G480">
        <v>2</v>
      </c>
      <c r="H480" s="1" t="s">
        <v>41</v>
      </c>
      <c r="I480">
        <v>3</v>
      </c>
      <c r="J480">
        <v>1</v>
      </c>
      <c r="K480" s="1" t="s">
        <v>58</v>
      </c>
      <c r="L480">
        <v>3</v>
      </c>
      <c r="M480" s="1" t="s">
        <v>43</v>
      </c>
      <c r="N480">
        <v>2096</v>
      </c>
      <c r="O480">
        <v>1</v>
      </c>
      <c r="P480" s="1" t="s">
        <v>39</v>
      </c>
      <c r="Q480">
        <v>11</v>
      </c>
      <c r="R480">
        <v>3</v>
      </c>
      <c r="S480">
        <v>0</v>
      </c>
      <c r="T480">
        <v>7</v>
      </c>
      <c r="U480">
        <v>1</v>
      </c>
      <c r="V480">
        <v>3</v>
      </c>
      <c r="W480">
        <v>7</v>
      </c>
      <c r="X480">
        <v>4</v>
      </c>
      <c r="Y480">
        <v>0</v>
      </c>
      <c r="Z480">
        <v>6</v>
      </c>
      <c r="AA480">
        <v>0</v>
      </c>
      <c r="AB480" s="1" t="s">
        <v>54</v>
      </c>
      <c r="AC480" t="s">
        <v>46</v>
      </c>
      <c r="AD480" t="s">
        <v>38</v>
      </c>
      <c r="AE480" s="2">
        <v>299.42857142857144</v>
      </c>
    </row>
    <row r="481" spans="1:31" x14ac:dyDescent="0.35">
      <c r="A481">
        <v>24</v>
      </c>
      <c r="B481" s="1" t="s">
        <v>30</v>
      </c>
      <c r="C481" s="1" t="s">
        <v>40</v>
      </c>
      <c r="D481">
        <v>7</v>
      </c>
      <c r="E481">
        <v>3</v>
      </c>
      <c r="F481" s="1" t="s">
        <v>32</v>
      </c>
      <c r="G481">
        <v>1</v>
      </c>
      <c r="H481" s="1" t="s">
        <v>33</v>
      </c>
      <c r="I481">
        <v>3</v>
      </c>
      <c r="J481">
        <v>1</v>
      </c>
      <c r="K481" s="1" t="s">
        <v>45</v>
      </c>
      <c r="L481">
        <v>3</v>
      </c>
      <c r="M481" s="1" t="s">
        <v>43</v>
      </c>
      <c r="N481">
        <v>2886</v>
      </c>
      <c r="O481">
        <v>1</v>
      </c>
      <c r="P481" s="1" t="s">
        <v>30</v>
      </c>
      <c r="Q481">
        <v>16</v>
      </c>
      <c r="R481">
        <v>4</v>
      </c>
      <c r="S481">
        <v>1</v>
      </c>
      <c r="T481">
        <v>6</v>
      </c>
      <c r="U481">
        <v>4</v>
      </c>
      <c r="V481">
        <v>3</v>
      </c>
      <c r="W481">
        <v>6</v>
      </c>
      <c r="X481">
        <v>3</v>
      </c>
      <c r="Y481">
        <v>1</v>
      </c>
      <c r="Z481">
        <v>2</v>
      </c>
      <c r="AA481">
        <v>1</v>
      </c>
      <c r="AB481" s="1" t="s">
        <v>54</v>
      </c>
      <c r="AC481" t="s">
        <v>46</v>
      </c>
      <c r="AD481" t="s">
        <v>38</v>
      </c>
      <c r="AE481" s="2">
        <v>481</v>
      </c>
    </row>
    <row r="482" spans="1:31" x14ac:dyDescent="0.35">
      <c r="A482">
        <v>30</v>
      </c>
      <c r="B482" s="1" t="s">
        <v>30</v>
      </c>
      <c r="C482" s="1" t="s">
        <v>31</v>
      </c>
      <c r="D482">
        <v>12</v>
      </c>
      <c r="E482">
        <v>4</v>
      </c>
      <c r="F482" s="1" t="s">
        <v>32</v>
      </c>
      <c r="G482">
        <v>2</v>
      </c>
      <c r="H482" s="1" t="s">
        <v>41</v>
      </c>
      <c r="I482">
        <v>2</v>
      </c>
      <c r="J482">
        <v>1</v>
      </c>
      <c r="K482" s="1" t="s">
        <v>58</v>
      </c>
      <c r="L482">
        <v>1</v>
      </c>
      <c r="M482" s="1" t="s">
        <v>43</v>
      </c>
      <c r="N482">
        <v>2033</v>
      </c>
      <c r="O482">
        <v>1</v>
      </c>
      <c r="P482" s="1" t="s">
        <v>39</v>
      </c>
      <c r="Q482">
        <v>18</v>
      </c>
      <c r="R482">
        <v>3</v>
      </c>
      <c r="S482">
        <v>1</v>
      </c>
      <c r="T482">
        <v>1</v>
      </c>
      <c r="U482">
        <v>2</v>
      </c>
      <c r="V482">
        <v>4</v>
      </c>
      <c r="W482">
        <v>1</v>
      </c>
      <c r="X482">
        <v>0</v>
      </c>
      <c r="Y482">
        <v>0</v>
      </c>
      <c r="Z482">
        <v>0</v>
      </c>
      <c r="AA482">
        <v>1</v>
      </c>
      <c r="AB482" s="1" t="s">
        <v>48</v>
      </c>
      <c r="AC482" t="s">
        <v>46</v>
      </c>
      <c r="AD482" t="s">
        <v>47</v>
      </c>
      <c r="AE482" s="2">
        <v>2033</v>
      </c>
    </row>
    <row r="483" spans="1:31" x14ac:dyDescent="0.35">
      <c r="A483">
        <v>34</v>
      </c>
      <c r="B483" s="1" t="s">
        <v>39</v>
      </c>
      <c r="C483" s="1" t="s">
        <v>40</v>
      </c>
      <c r="D483">
        <v>1</v>
      </c>
      <c r="E483">
        <v>2</v>
      </c>
      <c r="F483" s="1" t="s">
        <v>32</v>
      </c>
      <c r="G483">
        <v>2</v>
      </c>
      <c r="H483" s="1" t="s">
        <v>41</v>
      </c>
      <c r="I483">
        <v>2</v>
      </c>
      <c r="J483">
        <v>1</v>
      </c>
      <c r="K483" s="1" t="s">
        <v>42</v>
      </c>
      <c r="L483">
        <v>4</v>
      </c>
      <c r="M483" s="1" t="s">
        <v>43</v>
      </c>
      <c r="N483">
        <v>3622</v>
      </c>
      <c r="O483">
        <v>1</v>
      </c>
      <c r="P483" s="1" t="s">
        <v>30</v>
      </c>
      <c r="Q483">
        <v>13</v>
      </c>
      <c r="R483">
        <v>4</v>
      </c>
      <c r="S483">
        <v>1</v>
      </c>
      <c r="T483">
        <v>6</v>
      </c>
      <c r="U483">
        <v>3</v>
      </c>
      <c r="V483">
        <v>3</v>
      </c>
      <c r="W483">
        <v>6</v>
      </c>
      <c r="X483">
        <v>5</v>
      </c>
      <c r="Y483">
        <v>1</v>
      </c>
      <c r="Z483">
        <v>3</v>
      </c>
      <c r="AA483">
        <v>0</v>
      </c>
      <c r="AB483" s="1" t="s">
        <v>48</v>
      </c>
      <c r="AC483" t="s">
        <v>46</v>
      </c>
      <c r="AD483" t="s">
        <v>38</v>
      </c>
      <c r="AE483" s="2">
        <v>603.66666666666663</v>
      </c>
    </row>
    <row r="484" spans="1:31" x14ac:dyDescent="0.35">
      <c r="A484">
        <v>31</v>
      </c>
      <c r="B484" s="1" t="s">
        <v>30</v>
      </c>
      <c r="C484" s="1" t="s">
        <v>31</v>
      </c>
      <c r="D484">
        <v>13</v>
      </c>
      <c r="E484">
        <v>4</v>
      </c>
      <c r="F484" s="1" t="s">
        <v>49</v>
      </c>
      <c r="G484">
        <v>2</v>
      </c>
      <c r="H484" s="1" t="s">
        <v>41</v>
      </c>
      <c r="I484">
        <v>3</v>
      </c>
      <c r="J484">
        <v>2</v>
      </c>
      <c r="K484" s="1" t="s">
        <v>34</v>
      </c>
      <c r="L484">
        <v>1</v>
      </c>
      <c r="M484" s="1" t="s">
        <v>50</v>
      </c>
      <c r="N484">
        <v>4233</v>
      </c>
      <c r="O484">
        <v>2</v>
      </c>
      <c r="P484" s="1" t="s">
        <v>39</v>
      </c>
      <c r="Q484">
        <v>17</v>
      </c>
      <c r="R484">
        <v>3</v>
      </c>
      <c r="S484">
        <v>0</v>
      </c>
      <c r="T484">
        <v>9</v>
      </c>
      <c r="U484">
        <v>2</v>
      </c>
      <c r="V484">
        <v>1</v>
      </c>
      <c r="W484">
        <v>3</v>
      </c>
      <c r="X484">
        <v>1</v>
      </c>
      <c r="Y484">
        <v>1</v>
      </c>
      <c r="Z484">
        <v>2</v>
      </c>
      <c r="AA484">
        <v>1</v>
      </c>
      <c r="AB484" s="1" t="s">
        <v>48</v>
      </c>
      <c r="AC484" t="s">
        <v>37</v>
      </c>
      <c r="AD484" t="s">
        <v>53</v>
      </c>
      <c r="AE484" s="2">
        <v>1411</v>
      </c>
    </row>
    <row r="485" spans="1:31" x14ac:dyDescent="0.35">
      <c r="A485">
        <v>35</v>
      </c>
      <c r="B485" s="1" t="s">
        <v>39</v>
      </c>
      <c r="C485" s="1" t="s">
        <v>40</v>
      </c>
      <c r="D485">
        <v>25</v>
      </c>
      <c r="E485">
        <v>2</v>
      </c>
      <c r="F485" s="1" t="s">
        <v>44</v>
      </c>
      <c r="G485">
        <v>1</v>
      </c>
      <c r="H485" s="1" t="s">
        <v>41</v>
      </c>
      <c r="I485">
        <v>2</v>
      </c>
      <c r="J485">
        <v>2</v>
      </c>
      <c r="K485" s="1" t="s">
        <v>45</v>
      </c>
      <c r="L485">
        <v>4</v>
      </c>
      <c r="M485" s="1" t="s">
        <v>35</v>
      </c>
      <c r="N485">
        <v>3681</v>
      </c>
      <c r="O485">
        <v>4</v>
      </c>
      <c r="P485" s="1" t="s">
        <v>39</v>
      </c>
      <c r="Q485">
        <v>14</v>
      </c>
      <c r="R485">
        <v>4</v>
      </c>
      <c r="S485">
        <v>0</v>
      </c>
      <c r="T485">
        <v>9</v>
      </c>
      <c r="U485">
        <v>3</v>
      </c>
      <c r="V485">
        <v>3</v>
      </c>
      <c r="W485">
        <v>3</v>
      </c>
      <c r="X485">
        <v>2</v>
      </c>
      <c r="Y485">
        <v>0</v>
      </c>
      <c r="Z485">
        <v>2</v>
      </c>
      <c r="AA485">
        <v>0</v>
      </c>
      <c r="AB485" s="1" t="s">
        <v>48</v>
      </c>
      <c r="AC485" t="s">
        <v>46</v>
      </c>
      <c r="AD485" t="s">
        <v>53</v>
      </c>
      <c r="AE485" s="2">
        <v>1227</v>
      </c>
    </row>
    <row r="486" spans="1:31" x14ac:dyDescent="0.35">
      <c r="A486">
        <v>31</v>
      </c>
      <c r="B486" s="1" t="s">
        <v>39</v>
      </c>
      <c r="C486" s="1" t="s">
        <v>31</v>
      </c>
      <c r="D486">
        <v>6</v>
      </c>
      <c r="E486">
        <v>4</v>
      </c>
      <c r="F486" s="1" t="s">
        <v>49</v>
      </c>
      <c r="G486">
        <v>1</v>
      </c>
      <c r="H486" s="1" t="s">
        <v>41</v>
      </c>
      <c r="I486">
        <v>4</v>
      </c>
      <c r="J486">
        <v>2</v>
      </c>
      <c r="K486" s="1" t="s">
        <v>34</v>
      </c>
      <c r="L486">
        <v>4</v>
      </c>
      <c r="M486" s="1" t="s">
        <v>50</v>
      </c>
      <c r="N486">
        <v>5460</v>
      </c>
      <c r="O486">
        <v>4</v>
      </c>
      <c r="P486" s="1" t="s">
        <v>39</v>
      </c>
      <c r="Q486">
        <v>22</v>
      </c>
      <c r="R486">
        <v>4</v>
      </c>
      <c r="S486">
        <v>2</v>
      </c>
      <c r="T486">
        <v>13</v>
      </c>
      <c r="U486">
        <v>4</v>
      </c>
      <c r="V486">
        <v>4</v>
      </c>
      <c r="W486">
        <v>7</v>
      </c>
      <c r="X486">
        <v>7</v>
      </c>
      <c r="Y486">
        <v>5</v>
      </c>
      <c r="Z486">
        <v>7</v>
      </c>
      <c r="AA486">
        <v>0</v>
      </c>
      <c r="AB486" s="1" t="s">
        <v>48</v>
      </c>
      <c r="AC486" t="s">
        <v>37</v>
      </c>
      <c r="AD486" t="s">
        <v>38</v>
      </c>
      <c r="AE486" s="2">
        <v>780</v>
      </c>
    </row>
    <row r="487" spans="1:31" x14ac:dyDescent="0.35">
      <c r="A487">
        <v>27</v>
      </c>
      <c r="B487" s="1" t="s">
        <v>39</v>
      </c>
      <c r="C487" s="1" t="s">
        <v>40</v>
      </c>
      <c r="D487">
        <v>6</v>
      </c>
      <c r="E487">
        <v>4</v>
      </c>
      <c r="F487" s="1" t="s">
        <v>49</v>
      </c>
      <c r="G487">
        <v>1</v>
      </c>
      <c r="H487" s="1" t="s">
        <v>33</v>
      </c>
      <c r="I487">
        <v>2</v>
      </c>
      <c r="J487">
        <v>1</v>
      </c>
      <c r="K487" s="1" t="s">
        <v>42</v>
      </c>
      <c r="L487">
        <v>3</v>
      </c>
      <c r="M487" s="1" t="s">
        <v>50</v>
      </c>
      <c r="N487">
        <v>2187</v>
      </c>
      <c r="O487">
        <v>0</v>
      </c>
      <c r="P487" s="1" t="s">
        <v>39</v>
      </c>
      <c r="Q487">
        <v>12</v>
      </c>
      <c r="R487">
        <v>3</v>
      </c>
      <c r="S487">
        <v>2</v>
      </c>
      <c r="T487">
        <v>6</v>
      </c>
      <c r="U487">
        <v>5</v>
      </c>
      <c r="V487">
        <v>2</v>
      </c>
      <c r="W487">
        <v>5</v>
      </c>
      <c r="X487">
        <v>3</v>
      </c>
      <c r="Y487">
        <v>0</v>
      </c>
      <c r="Z487">
        <v>3</v>
      </c>
      <c r="AA487">
        <v>0</v>
      </c>
      <c r="AB487" s="1" t="s">
        <v>48</v>
      </c>
      <c r="AC487" t="s">
        <v>46</v>
      </c>
      <c r="AD487" t="s">
        <v>53</v>
      </c>
      <c r="AE487" s="2">
        <v>437.4</v>
      </c>
    </row>
    <row r="488" spans="1:31" x14ac:dyDescent="0.35">
      <c r="A488">
        <v>37</v>
      </c>
      <c r="B488" s="1" t="s">
        <v>39</v>
      </c>
      <c r="C488" s="1" t="s">
        <v>31</v>
      </c>
      <c r="D488">
        <v>2</v>
      </c>
      <c r="E488">
        <v>3</v>
      </c>
      <c r="F488" s="1" t="s">
        <v>60</v>
      </c>
      <c r="G488">
        <v>4</v>
      </c>
      <c r="H488" s="1" t="s">
        <v>41</v>
      </c>
      <c r="I488">
        <v>3</v>
      </c>
      <c r="J488">
        <v>2</v>
      </c>
      <c r="K488" s="1" t="s">
        <v>34</v>
      </c>
      <c r="L488">
        <v>3</v>
      </c>
      <c r="M488" s="1" t="s">
        <v>43</v>
      </c>
      <c r="N488">
        <v>9602</v>
      </c>
      <c r="O488">
        <v>4</v>
      </c>
      <c r="P488" s="1" t="s">
        <v>30</v>
      </c>
      <c r="Q488">
        <v>11</v>
      </c>
      <c r="R488">
        <v>3</v>
      </c>
      <c r="S488">
        <v>1</v>
      </c>
      <c r="T488">
        <v>17</v>
      </c>
      <c r="U488">
        <v>3</v>
      </c>
      <c r="V488">
        <v>2</v>
      </c>
      <c r="W488">
        <v>3</v>
      </c>
      <c r="X488">
        <v>0</v>
      </c>
      <c r="Y488">
        <v>1</v>
      </c>
      <c r="Z488">
        <v>0</v>
      </c>
      <c r="AA488">
        <v>0</v>
      </c>
      <c r="AB488" s="1" t="s">
        <v>36</v>
      </c>
      <c r="AC488" t="s">
        <v>37</v>
      </c>
      <c r="AD488" t="s">
        <v>53</v>
      </c>
      <c r="AE488" s="2">
        <v>3200.6666666666665</v>
      </c>
    </row>
    <row r="489" spans="1:31" x14ac:dyDescent="0.35">
      <c r="A489">
        <v>20</v>
      </c>
      <c r="B489" s="1" t="s">
        <v>39</v>
      </c>
      <c r="C489" s="1" t="s">
        <v>40</v>
      </c>
      <c r="D489">
        <v>1</v>
      </c>
      <c r="E489">
        <v>3</v>
      </c>
      <c r="F489" s="1" t="s">
        <v>32</v>
      </c>
      <c r="G489">
        <v>4</v>
      </c>
      <c r="H489" s="1" t="s">
        <v>33</v>
      </c>
      <c r="I489">
        <v>2</v>
      </c>
      <c r="J489">
        <v>1</v>
      </c>
      <c r="K489" s="1" t="s">
        <v>42</v>
      </c>
      <c r="L489">
        <v>2</v>
      </c>
      <c r="M489" s="1" t="s">
        <v>35</v>
      </c>
      <c r="N489">
        <v>2836</v>
      </c>
      <c r="O489">
        <v>1</v>
      </c>
      <c r="P489" s="1" t="s">
        <v>39</v>
      </c>
      <c r="Q489">
        <v>13</v>
      </c>
      <c r="R489">
        <v>4</v>
      </c>
      <c r="S489">
        <v>0</v>
      </c>
      <c r="T489">
        <v>1</v>
      </c>
      <c r="U489">
        <v>0</v>
      </c>
      <c r="V489">
        <v>4</v>
      </c>
      <c r="W489">
        <v>1</v>
      </c>
      <c r="X489">
        <v>0</v>
      </c>
      <c r="Y489">
        <v>0</v>
      </c>
      <c r="Z489">
        <v>0</v>
      </c>
      <c r="AA489">
        <v>0</v>
      </c>
      <c r="AB489" s="1" t="s">
        <v>54</v>
      </c>
      <c r="AC489" t="s">
        <v>46</v>
      </c>
      <c r="AD489" t="s">
        <v>47</v>
      </c>
      <c r="AE489" s="2">
        <v>2836</v>
      </c>
    </row>
    <row r="490" spans="1:31" x14ac:dyDescent="0.35">
      <c r="A490">
        <v>42</v>
      </c>
      <c r="B490" s="1" t="s">
        <v>39</v>
      </c>
      <c r="C490" s="1" t="s">
        <v>40</v>
      </c>
      <c r="D490">
        <v>2</v>
      </c>
      <c r="E490">
        <v>4</v>
      </c>
      <c r="F490" s="1" t="s">
        <v>32</v>
      </c>
      <c r="G490">
        <v>3</v>
      </c>
      <c r="H490" s="1" t="s">
        <v>33</v>
      </c>
      <c r="I490">
        <v>3</v>
      </c>
      <c r="J490">
        <v>2</v>
      </c>
      <c r="K490" s="1" t="s">
        <v>52</v>
      </c>
      <c r="L490">
        <v>4</v>
      </c>
      <c r="M490" s="1" t="s">
        <v>43</v>
      </c>
      <c r="N490">
        <v>4089</v>
      </c>
      <c r="O490">
        <v>1</v>
      </c>
      <c r="P490" s="1" t="s">
        <v>39</v>
      </c>
      <c r="Q490">
        <v>13</v>
      </c>
      <c r="R490">
        <v>2</v>
      </c>
      <c r="S490">
        <v>2</v>
      </c>
      <c r="T490">
        <v>10</v>
      </c>
      <c r="U490">
        <v>4</v>
      </c>
      <c r="V490">
        <v>3</v>
      </c>
      <c r="W490">
        <v>10</v>
      </c>
      <c r="X490">
        <v>2</v>
      </c>
      <c r="Y490">
        <v>2</v>
      </c>
      <c r="Z490">
        <v>2</v>
      </c>
      <c r="AA490">
        <v>0</v>
      </c>
      <c r="AB490" s="1" t="s">
        <v>36</v>
      </c>
      <c r="AC490" t="s">
        <v>37</v>
      </c>
      <c r="AD490" t="s">
        <v>38</v>
      </c>
      <c r="AE490" s="2">
        <v>408.9</v>
      </c>
    </row>
    <row r="491" spans="1:31" x14ac:dyDescent="0.35">
      <c r="A491">
        <v>43</v>
      </c>
      <c r="B491" s="1" t="s">
        <v>39</v>
      </c>
      <c r="C491" s="1" t="s">
        <v>40</v>
      </c>
      <c r="D491">
        <v>6</v>
      </c>
      <c r="E491">
        <v>4</v>
      </c>
      <c r="F491" s="1" t="s">
        <v>44</v>
      </c>
      <c r="G491">
        <v>2</v>
      </c>
      <c r="H491" s="1" t="s">
        <v>41</v>
      </c>
      <c r="I491">
        <v>2</v>
      </c>
      <c r="J491">
        <v>4</v>
      </c>
      <c r="K491" s="1" t="s">
        <v>59</v>
      </c>
      <c r="L491">
        <v>4</v>
      </c>
      <c r="M491" s="1" t="s">
        <v>50</v>
      </c>
      <c r="N491">
        <v>16627</v>
      </c>
      <c r="O491">
        <v>4</v>
      </c>
      <c r="P491" s="1" t="s">
        <v>30</v>
      </c>
      <c r="Q491">
        <v>14</v>
      </c>
      <c r="R491">
        <v>3</v>
      </c>
      <c r="S491">
        <v>1</v>
      </c>
      <c r="T491">
        <v>21</v>
      </c>
      <c r="U491">
        <v>3</v>
      </c>
      <c r="V491">
        <v>2</v>
      </c>
      <c r="W491">
        <v>1</v>
      </c>
      <c r="X491">
        <v>0</v>
      </c>
      <c r="Y491">
        <v>0</v>
      </c>
      <c r="Z491">
        <v>0</v>
      </c>
      <c r="AA491">
        <v>0</v>
      </c>
      <c r="AB491" s="1" t="s">
        <v>36</v>
      </c>
      <c r="AC491" t="s">
        <v>56</v>
      </c>
      <c r="AD491" t="s">
        <v>47</v>
      </c>
      <c r="AE491" s="2">
        <v>16627</v>
      </c>
    </row>
    <row r="492" spans="1:31" x14ac:dyDescent="0.35">
      <c r="A492">
        <v>38</v>
      </c>
      <c r="B492" s="1" t="s">
        <v>39</v>
      </c>
      <c r="C492" s="1" t="s">
        <v>40</v>
      </c>
      <c r="D492">
        <v>1</v>
      </c>
      <c r="E492">
        <v>1</v>
      </c>
      <c r="F492" s="1" t="s">
        <v>32</v>
      </c>
      <c r="G492">
        <v>3</v>
      </c>
      <c r="H492" s="1" t="s">
        <v>33</v>
      </c>
      <c r="I492">
        <v>3</v>
      </c>
      <c r="J492">
        <v>1</v>
      </c>
      <c r="K492" s="1" t="s">
        <v>42</v>
      </c>
      <c r="L492">
        <v>1</v>
      </c>
      <c r="M492" s="1" t="s">
        <v>35</v>
      </c>
      <c r="N492">
        <v>2619</v>
      </c>
      <c r="O492">
        <v>3</v>
      </c>
      <c r="P492" s="1" t="s">
        <v>39</v>
      </c>
      <c r="Q492">
        <v>17</v>
      </c>
      <c r="R492">
        <v>4</v>
      </c>
      <c r="S492">
        <v>0</v>
      </c>
      <c r="T492">
        <v>8</v>
      </c>
      <c r="U492">
        <v>3</v>
      </c>
      <c r="V492">
        <v>2</v>
      </c>
      <c r="W492">
        <v>0</v>
      </c>
      <c r="X492">
        <v>0</v>
      </c>
      <c r="Y492">
        <v>0</v>
      </c>
      <c r="Z492">
        <v>0</v>
      </c>
      <c r="AA492">
        <v>0</v>
      </c>
      <c r="AB492" s="1" t="s">
        <v>36</v>
      </c>
      <c r="AC492" t="s">
        <v>46</v>
      </c>
      <c r="AD492" t="s">
        <v>47</v>
      </c>
      <c r="AE492" s="2">
        <v>2619</v>
      </c>
    </row>
    <row r="493" spans="1:31" x14ac:dyDescent="0.35">
      <c r="A493">
        <v>43</v>
      </c>
      <c r="B493" s="1" t="s">
        <v>39</v>
      </c>
      <c r="C493" s="1" t="s">
        <v>40</v>
      </c>
      <c r="D493">
        <v>9</v>
      </c>
      <c r="E493">
        <v>5</v>
      </c>
      <c r="F493" s="1" t="s">
        <v>49</v>
      </c>
      <c r="G493">
        <v>4</v>
      </c>
      <c r="H493" s="1" t="s">
        <v>41</v>
      </c>
      <c r="I493">
        <v>3</v>
      </c>
      <c r="J493">
        <v>2</v>
      </c>
      <c r="K493" s="1" t="s">
        <v>45</v>
      </c>
      <c r="L493">
        <v>3</v>
      </c>
      <c r="M493" s="1" t="s">
        <v>50</v>
      </c>
      <c r="N493">
        <v>5679</v>
      </c>
      <c r="O493">
        <v>3</v>
      </c>
      <c r="P493" s="1" t="s">
        <v>30</v>
      </c>
      <c r="Q493">
        <v>13</v>
      </c>
      <c r="R493">
        <v>2</v>
      </c>
      <c r="S493">
        <v>1</v>
      </c>
      <c r="T493">
        <v>10</v>
      </c>
      <c r="U493">
        <v>3</v>
      </c>
      <c r="V493">
        <v>3</v>
      </c>
      <c r="W493">
        <v>8</v>
      </c>
      <c r="X493">
        <v>7</v>
      </c>
      <c r="Y493">
        <v>4</v>
      </c>
      <c r="Z493">
        <v>7</v>
      </c>
      <c r="AA493">
        <v>0</v>
      </c>
      <c r="AB493" s="1" t="s">
        <v>36</v>
      </c>
      <c r="AC493" t="s">
        <v>37</v>
      </c>
      <c r="AD493" t="s">
        <v>38</v>
      </c>
      <c r="AE493" s="2">
        <v>709.875</v>
      </c>
    </row>
    <row r="494" spans="1:31" x14ac:dyDescent="0.35">
      <c r="A494">
        <v>48</v>
      </c>
      <c r="B494" s="1" t="s">
        <v>39</v>
      </c>
      <c r="C494" s="1" t="s">
        <v>40</v>
      </c>
      <c r="D494">
        <v>1</v>
      </c>
      <c r="E494">
        <v>4</v>
      </c>
      <c r="F494" s="1" t="s">
        <v>32</v>
      </c>
      <c r="G494">
        <v>4</v>
      </c>
      <c r="H494" s="1" t="s">
        <v>33</v>
      </c>
      <c r="I494">
        <v>2</v>
      </c>
      <c r="J494">
        <v>4</v>
      </c>
      <c r="K494" s="1" t="s">
        <v>55</v>
      </c>
      <c r="L494">
        <v>1</v>
      </c>
      <c r="M494" s="1" t="s">
        <v>43</v>
      </c>
      <c r="N494">
        <v>15402</v>
      </c>
      <c r="O494">
        <v>7</v>
      </c>
      <c r="P494" s="1" t="s">
        <v>39</v>
      </c>
      <c r="Q494">
        <v>11</v>
      </c>
      <c r="R494">
        <v>1</v>
      </c>
      <c r="S494">
        <v>1</v>
      </c>
      <c r="T494">
        <v>21</v>
      </c>
      <c r="U494">
        <v>3</v>
      </c>
      <c r="V494">
        <v>1</v>
      </c>
      <c r="W494">
        <v>3</v>
      </c>
      <c r="X494">
        <v>2</v>
      </c>
      <c r="Y494">
        <v>0</v>
      </c>
      <c r="Z494">
        <v>2</v>
      </c>
      <c r="AA494">
        <v>0</v>
      </c>
      <c r="AB494" s="1" t="s">
        <v>82</v>
      </c>
      <c r="AC494" t="s">
        <v>56</v>
      </c>
      <c r="AD494" t="s">
        <v>53</v>
      </c>
      <c r="AE494" s="2">
        <v>5134</v>
      </c>
    </row>
    <row r="495" spans="1:31" x14ac:dyDescent="0.35">
      <c r="A495">
        <v>44</v>
      </c>
      <c r="B495" s="1" t="s">
        <v>39</v>
      </c>
      <c r="C495" s="1" t="s">
        <v>62</v>
      </c>
      <c r="D495">
        <v>1</v>
      </c>
      <c r="E495">
        <v>4</v>
      </c>
      <c r="F495" s="1" t="s">
        <v>32</v>
      </c>
      <c r="G495">
        <v>1</v>
      </c>
      <c r="H495" s="1" t="s">
        <v>33</v>
      </c>
      <c r="I495">
        <v>2</v>
      </c>
      <c r="J495">
        <v>2</v>
      </c>
      <c r="K495" s="1" t="s">
        <v>62</v>
      </c>
      <c r="L495">
        <v>3</v>
      </c>
      <c r="M495" s="1" t="s">
        <v>35</v>
      </c>
      <c r="N495">
        <v>5985</v>
      </c>
      <c r="O495">
        <v>4</v>
      </c>
      <c r="P495" s="1" t="s">
        <v>39</v>
      </c>
      <c r="Q495">
        <v>11</v>
      </c>
      <c r="R495">
        <v>2</v>
      </c>
      <c r="S495">
        <v>0</v>
      </c>
      <c r="T495">
        <v>10</v>
      </c>
      <c r="U495">
        <v>1</v>
      </c>
      <c r="V495">
        <v>4</v>
      </c>
      <c r="W495">
        <v>2</v>
      </c>
      <c r="X495">
        <v>2</v>
      </c>
      <c r="Y495">
        <v>0</v>
      </c>
      <c r="Z495">
        <v>2</v>
      </c>
      <c r="AA495">
        <v>0</v>
      </c>
      <c r="AB495" s="1" t="s">
        <v>36</v>
      </c>
      <c r="AC495" t="s">
        <v>37</v>
      </c>
      <c r="AD495" t="s">
        <v>47</v>
      </c>
      <c r="AE495" s="2">
        <v>2992.5</v>
      </c>
    </row>
    <row r="496" spans="1:31" x14ac:dyDescent="0.35">
      <c r="A496">
        <v>34</v>
      </c>
      <c r="B496" s="1" t="s">
        <v>39</v>
      </c>
      <c r="C496" s="1" t="s">
        <v>31</v>
      </c>
      <c r="D496">
        <v>14</v>
      </c>
      <c r="E496">
        <v>3</v>
      </c>
      <c r="F496" s="1" t="s">
        <v>61</v>
      </c>
      <c r="G496">
        <v>3</v>
      </c>
      <c r="H496" s="1" t="s">
        <v>33</v>
      </c>
      <c r="I496">
        <v>3</v>
      </c>
      <c r="J496">
        <v>1</v>
      </c>
      <c r="K496" s="1" t="s">
        <v>58</v>
      </c>
      <c r="L496">
        <v>3</v>
      </c>
      <c r="M496" s="1" t="s">
        <v>50</v>
      </c>
      <c r="N496">
        <v>2579</v>
      </c>
      <c r="O496">
        <v>1</v>
      </c>
      <c r="P496" s="1" t="s">
        <v>30</v>
      </c>
      <c r="Q496">
        <v>18</v>
      </c>
      <c r="R496">
        <v>4</v>
      </c>
      <c r="S496">
        <v>2</v>
      </c>
      <c r="T496">
        <v>8</v>
      </c>
      <c r="U496">
        <v>3</v>
      </c>
      <c r="V496">
        <v>3</v>
      </c>
      <c r="W496">
        <v>8</v>
      </c>
      <c r="X496">
        <v>2</v>
      </c>
      <c r="Y496">
        <v>0</v>
      </c>
      <c r="Z496">
        <v>6</v>
      </c>
      <c r="AA496">
        <v>0</v>
      </c>
      <c r="AB496" s="1" t="s">
        <v>48</v>
      </c>
      <c r="AC496" t="s">
        <v>46</v>
      </c>
      <c r="AD496" t="s">
        <v>38</v>
      </c>
      <c r="AE496" s="2">
        <v>322.375</v>
      </c>
    </row>
    <row r="497" spans="1:31" x14ac:dyDescent="0.35">
      <c r="A497">
        <v>27</v>
      </c>
      <c r="B497" s="1" t="s">
        <v>30</v>
      </c>
      <c r="C497" s="1" t="s">
        <v>31</v>
      </c>
      <c r="D497">
        <v>2</v>
      </c>
      <c r="E497">
        <v>1</v>
      </c>
      <c r="F497" s="1" t="s">
        <v>60</v>
      </c>
      <c r="G497">
        <v>3</v>
      </c>
      <c r="H497" s="1" t="s">
        <v>41</v>
      </c>
      <c r="I497">
        <v>3</v>
      </c>
      <c r="J497">
        <v>1</v>
      </c>
      <c r="K497" s="1" t="s">
        <v>58</v>
      </c>
      <c r="L497">
        <v>1</v>
      </c>
      <c r="M497" s="1" t="s">
        <v>50</v>
      </c>
      <c r="N497">
        <v>3041</v>
      </c>
      <c r="O497">
        <v>0</v>
      </c>
      <c r="P497" s="1" t="s">
        <v>39</v>
      </c>
      <c r="Q497">
        <v>11</v>
      </c>
      <c r="R497">
        <v>2</v>
      </c>
      <c r="S497">
        <v>1</v>
      </c>
      <c r="T497">
        <v>5</v>
      </c>
      <c r="U497">
        <v>3</v>
      </c>
      <c r="V497">
        <v>3</v>
      </c>
      <c r="W497">
        <v>4</v>
      </c>
      <c r="X497">
        <v>3</v>
      </c>
      <c r="Y497">
        <v>0</v>
      </c>
      <c r="Z497">
        <v>2</v>
      </c>
      <c r="AA497">
        <v>1</v>
      </c>
      <c r="AB497" s="1" t="s">
        <v>48</v>
      </c>
      <c r="AC497" t="s">
        <v>46</v>
      </c>
      <c r="AD497" t="s">
        <v>53</v>
      </c>
      <c r="AE497" s="2">
        <v>760.25</v>
      </c>
    </row>
    <row r="498" spans="1:31" x14ac:dyDescent="0.35">
      <c r="A498">
        <v>21</v>
      </c>
      <c r="B498" s="1" t="s">
        <v>39</v>
      </c>
      <c r="C498" s="1" t="s">
        <v>31</v>
      </c>
      <c r="D498">
        <v>22</v>
      </c>
      <c r="E498">
        <v>1</v>
      </c>
      <c r="F498" s="1" t="s">
        <v>61</v>
      </c>
      <c r="G498">
        <v>3</v>
      </c>
      <c r="H498" s="1" t="s">
        <v>41</v>
      </c>
      <c r="I498">
        <v>3</v>
      </c>
      <c r="J498">
        <v>1</v>
      </c>
      <c r="K498" s="1" t="s">
        <v>58</v>
      </c>
      <c r="L498">
        <v>3</v>
      </c>
      <c r="M498" s="1" t="s">
        <v>35</v>
      </c>
      <c r="N498">
        <v>3447</v>
      </c>
      <c r="O498">
        <v>1</v>
      </c>
      <c r="P498" s="1" t="s">
        <v>39</v>
      </c>
      <c r="Q498">
        <v>11</v>
      </c>
      <c r="R498">
        <v>3</v>
      </c>
      <c r="S498">
        <v>0</v>
      </c>
      <c r="T498">
        <v>3</v>
      </c>
      <c r="U498">
        <v>2</v>
      </c>
      <c r="V498">
        <v>3</v>
      </c>
      <c r="W498">
        <v>3</v>
      </c>
      <c r="X498">
        <v>2</v>
      </c>
      <c r="Y498">
        <v>1</v>
      </c>
      <c r="Z498">
        <v>2</v>
      </c>
      <c r="AA498">
        <v>0</v>
      </c>
      <c r="AB498" s="1" t="s">
        <v>54</v>
      </c>
      <c r="AC498" t="s">
        <v>46</v>
      </c>
      <c r="AD498" t="s">
        <v>53</v>
      </c>
      <c r="AE498" s="2">
        <v>1149</v>
      </c>
    </row>
    <row r="499" spans="1:31" x14ac:dyDescent="0.35">
      <c r="A499">
        <v>44</v>
      </c>
      <c r="B499" s="1" t="s">
        <v>39</v>
      </c>
      <c r="C499" s="1" t="s">
        <v>40</v>
      </c>
      <c r="D499">
        <v>3</v>
      </c>
      <c r="E499">
        <v>4</v>
      </c>
      <c r="F499" s="1" t="s">
        <v>44</v>
      </c>
      <c r="G499">
        <v>4</v>
      </c>
      <c r="H499" s="1" t="s">
        <v>41</v>
      </c>
      <c r="I499">
        <v>3</v>
      </c>
      <c r="J499">
        <v>5</v>
      </c>
      <c r="K499" s="1" t="s">
        <v>55</v>
      </c>
      <c r="L499">
        <v>4</v>
      </c>
      <c r="M499" s="1" t="s">
        <v>43</v>
      </c>
      <c r="N499">
        <v>19513</v>
      </c>
      <c r="O499">
        <v>4</v>
      </c>
      <c r="P499" s="1" t="s">
        <v>30</v>
      </c>
      <c r="Q499">
        <v>12</v>
      </c>
      <c r="R499">
        <v>1</v>
      </c>
      <c r="S499">
        <v>1</v>
      </c>
      <c r="T499">
        <v>26</v>
      </c>
      <c r="U499">
        <v>2</v>
      </c>
      <c r="V499">
        <v>4</v>
      </c>
      <c r="W499">
        <v>2</v>
      </c>
      <c r="X499">
        <v>2</v>
      </c>
      <c r="Y499">
        <v>0</v>
      </c>
      <c r="Z499">
        <v>1</v>
      </c>
      <c r="AA499">
        <v>0</v>
      </c>
      <c r="AB499" s="1" t="s">
        <v>36</v>
      </c>
      <c r="AC499" t="s">
        <v>56</v>
      </c>
      <c r="AD499" t="s">
        <v>47</v>
      </c>
      <c r="AE499" s="2">
        <v>9756.5</v>
      </c>
    </row>
    <row r="500" spans="1:31" x14ac:dyDescent="0.35">
      <c r="A500">
        <v>22</v>
      </c>
      <c r="B500" s="1" t="s">
        <v>39</v>
      </c>
      <c r="C500" s="1" t="s">
        <v>40</v>
      </c>
      <c r="D500">
        <v>6</v>
      </c>
      <c r="E500">
        <v>1</v>
      </c>
      <c r="F500" s="1" t="s">
        <v>49</v>
      </c>
      <c r="G500">
        <v>1</v>
      </c>
      <c r="H500" s="1" t="s">
        <v>41</v>
      </c>
      <c r="I500">
        <v>3</v>
      </c>
      <c r="J500">
        <v>1</v>
      </c>
      <c r="K500" s="1" t="s">
        <v>42</v>
      </c>
      <c r="L500">
        <v>3</v>
      </c>
      <c r="M500" s="1" t="s">
        <v>43</v>
      </c>
      <c r="N500">
        <v>2773</v>
      </c>
      <c r="O500">
        <v>0</v>
      </c>
      <c r="P500" s="1" t="s">
        <v>39</v>
      </c>
      <c r="Q500">
        <v>20</v>
      </c>
      <c r="R500">
        <v>4</v>
      </c>
      <c r="S500">
        <v>0</v>
      </c>
      <c r="T500">
        <v>3</v>
      </c>
      <c r="U500">
        <v>3</v>
      </c>
      <c r="V500">
        <v>3</v>
      </c>
      <c r="W500">
        <v>2</v>
      </c>
      <c r="X500">
        <v>2</v>
      </c>
      <c r="Y500">
        <v>2</v>
      </c>
      <c r="Z500">
        <v>2</v>
      </c>
      <c r="AA500">
        <v>0</v>
      </c>
      <c r="AB500" s="1" t="s">
        <v>54</v>
      </c>
      <c r="AC500" t="s">
        <v>46</v>
      </c>
      <c r="AD500" t="s">
        <v>47</v>
      </c>
      <c r="AE500" s="2">
        <v>1386.5</v>
      </c>
    </row>
    <row r="501" spans="1:31" x14ac:dyDescent="0.35">
      <c r="A501">
        <v>33</v>
      </c>
      <c r="B501" s="1" t="s">
        <v>39</v>
      </c>
      <c r="C501" s="1" t="s">
        <v>31</v>
      </c>
      <c r="D501">
        <v>8</v>
      </c>
      <c r="E501">
        <v>4</v>
      </c>
      <c r="F501" s="1" t="s">
        <v>60</v>
      </c>
      <c r="G501">
        <v>3</v>
      </c>
      <c r="H501" s="1" t="s">
        <v>41</v>
      </c>
      <c r="I501">
        <v>3</v>
      </c>
      <c r="J501">
        <v>2</v>
      </c>
      <c r="K501" s="1" t="s">
        <v>34</v>
      </c>
      <c r="L501">
        <v>3</v>
      </c>
      <c r="M501" s="1" t="s">
        <v>50</v>
      </c>
      <c r="N501">
        <v>7104</v>
      </c>
      <c r="O501">
        <v>0</v>
      </c>
      <c r="P501" s="1" t="s">
        <v>39</v>
      </c>
      <c r="Q501">
        <v>12</v>
      </c>
      <c r="R501">
        <v>4</v>
      </c>
      <c r="S501">
        <v>0</v>
      </c>
      <c r="T501">
        <v>6</v>
      </c>
      <c r="U501">
        <v>3</v>
      </c>
      <c r="V501">
        <v>3</v>
      </c>
      <c r="W501">
        <v>5</v>
      </c>
      <c r="X501">
        <v>0</v>
      </c>
      <c r="Y501">
        <v>1</v>
      </c>
      <c r="Z501">
        <v>2</v>
      </c>
      <c r="AA501">
        <v>0</v>
      </c>
      <c r="AB501" s="1" t="s">
        <v>48</v>
      </c>
      <c r="AC501" t="s">
        <v>37</v>
      </c>
      <c r="AD501" t="s">
        <v>53</v>
      </c>
      <c r="AE501" s="2">
        <v>1420.8</v>
      </c>
    </row>
    <row r="502" spans="1:31" x14ac:dyDescent="0.35">
      <c r="A502">
        <v>32</v>
      </c>
      <c r="B502" s="1" t="s">
        <v>39</v>
      </c>
      <c r="C502" s="1" t="s">
        <v>40</v>
      </c>
      <c r="D502">
        <v>9</v>
      </c>
      <c r="E502">
        <v>4</v>
      </c>
      <c r="F502" s="1" t="s">
        <v>32</v>
      </c>
      <c r="G502">
        <v>1</v>
      </c>
      <c r="H502" s="1" t="s">
        <v>33</v>
      </c>
      <c r="I502">
        <v>3</v>
      </c>
      <c r="J502">
        <v>2</v>
      </c>
      <c r="K502" s="1" t="s">
        <v>42</v>
      </c>
      <c r="L502">
        <v>4</v>
      </c>
      <c r="M502" s="1" t="s">
        <v>43</v>
      </c>
      <c r="N502">
        <v>6322</v>
      </c>
      <c r="O502">
        <v>1</v>
      </c>
      <c r="P502" s="1" t="s">
        <v>30</v>
      </c>
      <c r="Q502">
        <v>12</v>
      </c>
      <c r="R502">
        <v>4</v>
      </c>
      <c r="S502">
        <v>1</v>
      </c>
      <c r="T502">
        <v>6</v>
      </c>
      <c r="U502">
        <v>2</v>
      </c>
      <c r="V502">
        <v>2</v>
      </c>
      <c r="W502">
        <v>6</v>
      </c>
      <c r="X502">
        <v>4</v>
      </c>
      <c r="Y502">
        <v>0</v>
      </c>
      <c r="Z502">
        <v>5</v>
      </c>
      <c r="AA502">
        <v>0</v>
      </c>
      <c r="AB502" s="1" t="s">
        <v>48</v>
      </c>
      <c r="AC502" t="s">
        <v>37</v>
      </c>
      <c r="AD502" t="s">
        <v>38</v>
      </c>
      <c r="AE502" s="2">
        <v>1053.6666666666667</v>
      </c>
    </row>
    <row r="503" spans="1:31" x14ac:dyDescent="0.35">
      <c r="A503">
        <v>30</v>
      </c>
      <c r="B503" s="1" t="s">
        <v>39</v>
      </c>
      <c r="C503" s="1" t="s">
        <v>40</v>
      </c>
      <c r="D503">
        <v>3</v>
      </c>
      <c r="E503">
        <v>3</v>
      </c>
      <c r="F503" s="1" t="s">
        <v>49</v>
      </c>
      <c r="G503">
        <v>3</v>
      </c>
      <c r="H503" s="1" t="s">
        <v>33</v>
      </c>
      <c r="I503">
        <v>3</v>
      </c>
      <c r="J503">
        <v>1</v>
      </c>
      <c r="K503" s="1" t="s">
        <v>42</v>
      </c>
      <c r="L503">
        <v>3</v>
      </c>
      <c r="M503" s="1" t="s">
        <v>50</v>
      </c>
      <c r="N503">
        <v>2083</v>
      </c>
      <c r="O503">
        <v>1</v>
      </c>
      <c r="P503" s="1" t="s">
        <v>39</v>
      </c>
      <c r="Q503">
        <v>20</v>
      </c>
      <c r="R503">
        <v>3</v>
      </c>
      <c r="S503">
        <v>1</v>
      </c>
      <c r="T503">
        <v>1</v>
      </c>
      <c r="U503">
        <v>2</v>
      </c>
      <c r="V503">
        <v>3</v>
      </c>
      <c r="W503">
        <v>1</v>
      </c>
      <c r="X503">
        <v>0</v>
      </c>
      <c r="Y503">
        <v>0</v>
      </c>
      <c r="Z503">
        <v>0</v>
      </c>
      <c r="AA503">
        <v>0</v>
      </c>
      <c r="AB503" s="1" t="s">
        <v>48</v>
      </c>
      <c r="AC503" t="s">
        <v>46</v>
      </c>
      <c r="AD503" t="s">
        <v>47</v>
      </c>
      <c r="AE503" s="2">
        <v>2083</v>
      </c>
    </row>
    <row r="504" spans="1:31" x14ac:dyDescent="0.35">
      <c r="A504">
        <v>53</v>
      </c>
      <c r="B504" s="1" t="s">
        <v>39</v>
      </c>
      <c r="C504" s="1" t="s">
        <v>31</v>
      </c>
      <c r="D504">
        <v>1</v>
      </c>
      <c r="E504">
        <v>1</v>
      </c>
      <c r="F504" s="1" t="s">
        <v>49</v>
      </c>
      <c r="G504">
        <v>4</v>
      </c>
      <c r="H504" s="1" t="s">
        <v>33</v>
      </c>
      <c r="I504">
        <v>3</v>
      </c>
      <c r="J504">
        <v>2</v>
      </c>
      <c r="K504" s="1" t="s">
        <v>34</v>
      </c>
      <c r="L504">
        <v>1</v>
      </c>
      <c r="M504" s="1" t="s">
        <v>35</v>
      </c>
      <c r="N504">
        <v>8381</v>
      </c>
      <c r="O504">
        <v>7</v>
      </c>
      <c r="P504" s="1" t="s">
        <v>39</v>
      </c>
      <c r="Q504">
        <v>20</v>
      </c>
      <c r="R504">
        <v>4</v>
      </c>
      <c r="S504">
        <v>0</v>
      </c>
      <c r="T504">
        <v>18</v>
      </c>
      <c r="U504">
        <v>2</v>
      </c>
      <c r="V504">
        <v>4</v>
      </c>
      <c r="W504">
        <v>14</v>
      </c>
      <c r="X504">
        <v>7</v>
      </c>
      <c r="Y504">
        <v>8</v>
      </c>
      <c r="Z504">
        <v>10</v>
      </c>
      <c r="AA504">
        <v>0</v>
      </c>
      <c r="AB504" s="1" t="s">
        <v>82</v>
      </c>
      <c r="AC504" t="s">
        <v>37</v>
      </c>
      <c r="AD504" t="s">
        <v>57</v>
      </c>
      <c r="AE504" s="2">
        <v>598.64285714285711</v>
      </c>
    </row>
    <row r="505" spans="1:31" x14ac:dyDescent="0.35">
      <c r="A505">
        <v>34</v>
      </c>
      <c r="B505" s="1" t="s">
        <v>39</v>
      </c>
      <c r="C505" s="1" t="s">
        <v>40</v>
      </c>
      <c r="D505">
        <v>1</v>
      </c>
      <c r="E505">
        <v>5</v>
      </c>
      <c r="F505" s="1" t="s">
        <v>32</v>
      </c>
      <c r="G505">
        <v>2</v>
      </c>
      <c r="H505" s="1" t="s">
        <v>41</v>
      </c>
      <c r="I505">
        <v>3</v>
      </c>
      <c r="J505">
        <v>1</v>
      </c>
      <c r="K505" s="1" t="s">
        <v>42</v>
      </c>
      <c r="L505">
        <v>4</v>
      </c>
      <c r="M505" s="1" t="s">
        <v>43</v>
      </c>
      <c r="N505">
        <v>2691</v>
      </c>
      <c r="O505">
        <v>1</v>
      </c>
      <c r="P505" s="1" t="s">
        <v>39</v>
      </c>
      <c r="Q505">
        <v>12</v>
      </c>
      <c r="R505">
        <v>4</v>
      </c>
      <c r="S505">
        <v>1</v>
      </c>
      <c r="T505">
        <v>10</v>
      </c>
      <c r="U505">
        <v>4</v>
      </c>
      <c r="V505">
        <v>2</v>
      </c>
      <c r="W505">
        <v>10</v>
      </c>
      <c r="X505">
        <v>9</v>
      </c>
      <c r="Y505">
        <v>8</v>
      </c>
      <c r="Z505">
        <v>8</v>
      </c>
      <c r="AA505">
        <v>0</v>
      </c>
      <c r="AB505" s="1" t="s">
        <v>48</v>
      </c>
      <c r="AC505" t="s">
        <v>46</v>
      </c>
      <c r="AD505" t="s">
        <v>38</v>
      </c>
      <c r="AE505" s="2">
        <v>269.10000000000002</v>
      </c>
    </row>
    <row r="506" spans="1:31" x14ac:dyDescent="0.35">
      <c r="A506">
        <v>45</v>
      </c>
      <c r="B506" s="1" t="s">
        <v>30</v>
      </c>
      <c r="C506" s="1" t="s">
        <v>31</v>
      </c>
      <c r="D506">
        <v>26</v>
      </c>
      <c r="E506">
        <v>4</v>
      </c>
      <c r="F506" s="1" t="s">
        <v>32</v>
      </c>
      <c r="G506">
        <v>1</v>
      </c>
      <c r="H506" s="1" t="s">
        <v>33</v>
      </c>
      <c r="I506">
        <v>3</v>
      </c>
      <c r="J506">
        <v>2</v>
      </c>
      <c r="K506" s="1" t="s">
        <v>34</v>
      </c>
      <c r="L506">
        <v>1</v>
      </c>
      <c r="M506" s="1" t="s">
        <v>43</v>
      </c>
      <c r="N506">
        <v>4286</v>
      </c>
      <c r="O506">
        <v>2</v>
      </c>
      <c r="P506" s="1" t="s">
        <v>39</v>
      </c>
      <c r="Q506">
        <v>14</v>
      </c>
      <c r="R506">
        <v>4</v>
      </c>
      <c r="S506">
        <v>2</v>
      </c>
      <c r="T506">
        <v>5</v>
      </c>
      <c r="U506">
        <v>4</v>
      </c>
      <c r="V506">
        <v>3</v>
      </c>
      <c r="W506">
        <v>1</v>
      </c>
      <c r="X506">
        <v>1</v>
      </c>
      <c r="Y506">
        <v>0</v>
      </c>
      <c r="Z506">
        <v>0</v>
      </c>
      <c r="AA506">
        <v>1</v>
      </c>
      <c r="AB506" s="1" t="s">
        <v>36</v>
      </c>
      <c r="AC506" t="s">
        <v>37</v>
      </c>
      <c r="AD506" t="s">
        <v>47</v>
      </c>
      <c r="AE506" s="2">
        <v>4286</v>
      </c>
    </row>
    <row r="507" spans="1:31" x14ac:dyDescent="0.35">
      <c r="A507">
        <v>26</v>
      </c>
      <c r="B507" s="1" t="s">
        <v>39</v>
      </c>
      <c r="C507" s="1" t="s">
        <v>40</v>
      </c>
      <c r="D507">
        <v>6</v>
      </c>
      <c r="E507">
        <v>3</v>
      </c>
      <c r="F507" s="1" t="s">
        <v>32</v>
      </c>
      <c r="G507">
        <v>3</v>
      </c>
      <c r="H507" s="1" t="s">
        <v>33</v>
      </c>
      <c r="I507">
        <v>3</v>
      </c>
      <c r="J507">
        <v>1</v>
      </c>
      <c r="K507" s="1" t="s">
        <v>45</v>
      </c>
      <c r="L507">
        <v>4</v>
      </c>
      <c r="M507" s="1" t="s">
        <v>43</v>
      </c>
      <c r="N507">
        <v>2659</v>
      </c>
      <c r="O507">
        <v>1</v>
      </c>
      <c r="P507" s="1" t="s">
        <v>30</v>
      </c>
      <c r="Q507">
        <v>13</v>
      </c>
      <c r="R507">
        <v>3</v>
      </c>
      <c r="S507">
        <v>1</v>
      </c>
      <c r="T507">
        <v>3</v>
      </c>
      <c r="U507">
        <v>2</v>
      </c>
      <c r="V507">
        <v>3</v>
      </c>
      <c r="W507">
        <v>3</v>
      </c>
      <c r="X507">
        <v>2</v>
      </c>
      <c r="Y507">
        <v>0</v>
      </c>
      <c r="Z507">
        <v>2</v>
      </c>
      <c r="AA507">
        <v>0</v>
      </c>
      <c r="AB507" s="1" t="s">
        <v>48</v>
      </c>
      <c r="AC507" t="s">
        <v>46</v>
      </c>
      <c r="AD507" t="s">
        <v>53</v>
      </c>
      <c r="AE507" s="2">
        <v>886.33333333333337</v>
      </c>
    </row>
    <row r="508" spans="1:31" x14ac:dyDescent="0.35">
      <c r="A508">
        <v>37</v>
      </c>
      <c r="B508" s="1" t="s">
        <v>39</v>
      </c>
      <c r="C508" s="1" t="s">
        <v>40</v>
      </c>
      <c r="D508">
        <v>3</v>
      </c>
      <c r="E508">
        <v>3</v>
      </c>
      <c r="F508" s="1" t="s">
        <v>44</v>
      </c>
      <c r="G508">
        <v>3</v>
      </c>
      <c r="H508" s="1" t="s">
        <v>41</v>
      </c>
      <c r="I508">
        <v>3</v>
      </c>
      <c r="J508">
        <v>3</v>
      </c>
      <c r="K508" s="1" t="s">
        <v>51</v>
      </c>
      <c r="L508">
        <v>3</v>
      </c>
      <c r="M508" s="1" t="s">
        <v>43</v>
      </c>
      <c r="N508">
        <v>9434</v>
      </c>
      <c r="O508">
        <v>1</v>
      </c>
      <c r="P508" s="1" t="s">
        <v>39</v>
      </c>
      <c r="Q508">
        <v>15</v>
      </c>
      <c r="R508">
        <v>3</v>
      </c>
      <c r="S508">
        <v>1</v>
      </c>
      <c r="T508">
        <v>10</v>
      </c>
      <c r="U508">
        <v>2</v>
      </c>
      <c r="V508">
        <v>3</v>
      </c>
      <c r="W508">
        <v>10</v>
      </c>
      <c r="X508">
        <v>7</v>
      </c>
      <c r="Y508">
        <v>7</v>
      </c>
      <c r="Z508">
        <v>8</v>
      </c>
      <c r="AA508">
        <v>0</v>
      </c>
      <c r="AB508" s="1" t="s">
        <v>36</v>
      </c>
      <c r="AC508" t="s">
        <v>37</v>
      </c>
      <c r="AD508" t="s">
        <v>38</v>
      </c>
      <c r="AE508" s="2">
        <v>943.4</v>
      </c>
    </row>
    <row r="509" spans="1:31" x14ac:dyDescent="0.35">
      <c r="A509">
        <v>29</v>
      </c>
      <c r="B509" s="1" t="s">
        <v>39</v>
      </c>
      <c r="C509" s="1" t="s">
        <v>31</v>
      </c>
      <c r="D509">
        <v>3</v>
      </c>
      <c r="E509">
        <v>2</v>
      </c>
      <c r="F509" s="1" t="s">
        <v>49</v>
      </c>
      <c r="G509">
        <v>2</v>
      </c>
      <c r="H509" s="1" t="s">
        <v>33</v>
      </c>
      <c r="I509">
        <v>3</v>
      </c>
      <c r="J509">
        <v>2</v>
      </c>
      <c r="K509" s="1" t="s">
        <v>34</v>
      </c>
      <c r="L509">
        <v>3</v>
      </c>
      <c r="M509" s="1" t="s">
        <v>43</v>
      </c>
      <c r="N509">
        <v>5561</v>
      </c>
      <c r="O509">
        <v>1</v>
      </c>
      <c r="P509" s="1" t="s">
        <v>39</v>
      </c>
      <c r="Q509">
        <v>14</v>
      </c>
      <c r="R509">
        <v>1</v>
      </c>
      <c r="S509">
        <v>1</v>
      </c>
      <c r="T509">
        <v>6</v>
      </c>
      <c r="U509">
        <v>5</v>
      </c>
      <c r="V509">
        <v>2</v>
      </c>
      <c r="W509">
        <v>6</v>
      </c>
      <c r="X509">
        <v>0</v>
      </c>
      <c r="Y509">
        <v>1</v>
      </c>
      <c r="Z509">
        <v>2</v>
      </c>
      <c r="AA509">
        <v>0</v>
      </c>
      <c r="AB509" s="1" t="s">
        <v>48</v>
      </c>
      <c r="AC509" t="s">
        <v>37</v>
      </c>
      <c r="AD509" t="s">
        <v>38</v>
      </c>
      <c r="AE509" s="2">
        <v>926.83333333333337</v>
      </c>
    </row>
    <row r="510" spans="1:31" x14ac:dyDescent="0.35">
      <c r="A510">
        <v>35</v>
      </c>
      <c r="B510" s="1" t="s">
        <v>39</v>
      </c>
      <c r="C510" s="1" t="s">
        <v>40</v>
      </c>
      <c r="D510">
        <v>6</v>
      </c>
      <c r="E510">
        <v>4</v>
      </c>
      <c r="F510" s="1" t="s">
        <v>32</v>
      </c>
      <c r="G510">
        <v>2</v>
      </c>
      <c r="H510" s="1" t="s">
        <v>41</v>
      </c>
      <c r="I510">
        <v>1</v>
      </c>
      <c r="J510">
        <v>2</v>
      </c>
      <c r="K510" s="1" t="s">
        <v>42</v>
      </c>
      <c r="L510">
        <v>4</v>
      </c>
      <c r="M510" s="1" t="s">
        <v>35</v>
      </c>
      <c r="N510">
        <v>6646</v>
      </c>
      <c r="O510">
        <v>1</v>
      </c>
      <c r="P510" s="1" t="s">
        <v>39</v>
      </c>
      <c r="Q510">
        <v>13</v>
      </c>
      <c r="R510">
        <v>2</v>
      </c>
      <c r="S510">
        <v>0</v>
      </c>
      <c r="T510">
        <v>17</v>
      </c>
      <c r="U510">
        <v>3</v>
      </c>
      <c r="V510">
        <v>3</v>
      </c>
      <c r="W510">
        <v>17</v>
      </c>
      <c r="X510">
        <v>11</v>
      </c>
      <c r="Y510">
        <v>11</v>
      </c>
      <c r="Z510">
        <v>8</v>
      </c>
      <c r="AA510">
        <v>0</v>
      </c>
      <c r="AB510" s="1" t="s">
        <v>48</v>
      </c>
      <c r="AC510" t="s">
        <v>37</v>
      </c>
      <c r="AD510" t="s">
        <v>57</v>
      </c>
      <c r="AE510" s="2">
        <v>390.94117647058823</v>
      </c>
    </row>
    <row r="511" spans="1:31" x14ac:dyDescent="0.35">
      <c r="A511">
        <v>33</v>
      </c>
      <c r="B511" s="1" t="s">
        <v>39</v>
      </c>
      <c r="C511" s="1" t="s">
        <v>40</v>
      </c>
      <c r="D511">
        <v>6</v>
      </c>
      <c r="E511">
        <v>3</v>
      </c>
      <c r="F511" s="1" t="s">
        <v>32</v>
      </c>
      <c r="G511">
        <v>3</v>
      </c>
      <c r="H511" s="1" t="s">
        <v>41</v>
      </c>
      <c r="I511">
        <v>3</v>
      </c>
      <c r="J511">
        <v>2</v>
      </c>
      <c r="K511" s="1" t="s">
        <v>52</v>
      </c>
      <c r="L511">
        <v>4</v>
      </c>
      <c r="M511" s="1" t="s">
        <v>50</v>
      </c>
      <c r="N511">
        <v>7725</v>
      </c>
      <c r="O511">
        <v>3</v>
      </c>
      <c r="P511" s="1" t="s">
        <v>39</v>
      </c>
      <c r="Q511">
        <v>23</v>
      </c>
      <c r="R511">
        <v>3</v>
      </c>
      <c r="S511">
        <v>1</v>
      </c>
      <c r="T511">
        <v>15</v>
      </c>
      <c r="U511">
        <v>2</v>
      </c>
      <c r="V511">
        <v>1</v>
      </c>
      <c r="W511">
        <v>13</v>
      </c>
      <c r="X511">
        <v>11</v>
      </c>
      <c r="Y511">
        <v>4</v>
      </c>
      <c r="Z511">
        <v>7</v>
      </c>
      <c r="AA511">
        <v>0</v>
      </c>
      <c r="AB511" s="1" t="s">
        <v>48</v>
      </c>
      <c r="AC511" t="s">
        <v>37</v>
      </c>
      <c r="AD511" t="s">
        <v>57</v>
      </c>
      <c r="AE511" s="2">
        <v>594.23076923076928</v>
      </c>
    </row>
    <row r="512" spans="1:31" x14ac:dyDescent="0.35">
      <c r="A512">
        <v>54</v>
      </c>
      <c r="B512" s="1" t="s">
        <v>39</v>
      </c>
      <c r="C512" s="1" t="s">
        <v>62</v>
      </c>
      <c r="D512">
        <v>19</v>
      </c>
      <c r="E512">
        <v>4</v>
      </c>
      <c r="F512" s="1" t="s">
        <v>49</v>
      </c>
      <c r="G512">
        <v>3</v>
      </c>
      <c r="H512" s="1" t="s">
        <v>41</v>
      </c>
      <c r="I512">
        <v>3</v>
      </c>
      <c r="J512">
        <v>3</v>
      </c>
      <c r="K512" s="1" t="s">
        <v>62</v>
      </c>
      <c r="L512">
        <v>2</v>
      </c>
      <c r="M512" s="1" t="s">
        <v>43</v>
      </c>
      <c r="N512">
        <v>10725</v>
      </c>
      <c r="O512">
        <v>2</v>
      </c>
      <c r="P512" s="1" t="s">
        <v>39</v>
      </c>
      <c r="Q512">
        <v>15</v>
      </c>
      <c r="R512">
        <v>3</v>
      </c>
      <c r="S512">
        <v>1</v>
      </c>
      <c r="T512">
        <v>16</v>
      </c>
      <c r="U512">
        <v>1</v>
      </c>
      <c r="V512">
        <v>4</v>
      </c>
      <c r="W512">
        <v>9</v>
      </c>
      <c r="X512">
        <v>7</v>
      </c>
      <c r="Y512">
        <v>7</v>
      </c>
      <c r="Z512">
        <v>1</v>
      </c>
      <c r="AA512">
        <v>0</v>
      </c>
      <c r="AB512" s="1" t="s">
        <v>82</v>
      </c>
      <c r="AC512" t="s">
        <v>56</v>
      </c>
      <c r="AD512" t="s">
        <v>38</v>
      </c>
      <c r="AE512" s="2">
        <v>1191.6666666666667</v>
      </c>
    </row>
    <row r="513" spans="1:31" x14ac:dyDescent="0.35">
      <c r="A513">
        <v>36</v>
      </c>
      <c r="B513" s="1" t="s">
        <v>39</v>
      </c>
      <c r="C513" s="1" t="s">
        <v>40</v>
      </c>
      <c r="D513">
        <v>9</v>
      </c>
      <c r="E513">
        <v>2</v>
      </c>
      <c r="F513" s="1" t="s">
        <v>49</v>
      </c>
      <c r="G513">
        <v>2</v>
      </c>
      <c r="H513" s="1" t="s">
        <v>41</v>
      </c>
      <c r="I513">
        <v>2</v>
      </c>
      <c r="J513">
        <v>2</v>
      </c>
      <c r="K513" s="1" t="s">
        <v>51</v>
      </c>
      <c r="L513">
        <v>2</v>
      </c>
      <c r="M513" s="1" t="s">
        <v>50</v>
      </c>
      <c r="N513">
        <v>8847</v>
      </c>
      <c r="O513">
        <v>2</v>
      </c>
      <c r="P513" s="1" t="s">
        <v>30</v>
      </c>
      <c r="Q513">
        <v>11</v>
      </c>
      <c r="R513">
        <v>3</v>
      </c>
      <c r="S513">
        <v>1</v>
      </c>
      <c r="T513">
        <v>13</v>
      </c>
      <c r="U513">
        <v>2</v>
      </c>
      <c r="V513">
        <v>3</v>
      </c>
      <c r="W513">
        <v>3</v>
      </c>
      <c r="X513">
        <v>2</v>
      </c>
      <c r="Y513">
        <v>0</v>
      </c>
      <c r="Z513">
        <v>2</v>
      </c>
      <c r="AA513">
        <v>0</v>
      </c>
      <c r="AB513" s="1" t="s">
        <v>36</v>
      </c>
      <c r="AC513" t="s">
        <v>37</v>
      </c>
      <c r="AD513" t="s">
        <v>53</v>
      </c>
      <c r="AE513" s="2">
        <v>2949</v>
      </c>
    </row>
    <row r="514" spans="1:31" x14ac:dyDescent="0.35">
      <c r="A514">
        <v>27</v>
      </c>
      <c r="B514" s="1" t="s">
        <v>39</v>
      </c>
      <c r="C514" s="1" t="s">
        <v>40</v>
      </c>
      <c r="D514">
        <v>3</v>
      </c>
      <c r="E514">
        <v>4</v>
      </c>
      <c r="F514" s="1" t="s">
        <v>49</v>
      </c>
      <c r="G514">
        <v>1</v>
      </c>
      <c r="H514" s="1" t="s">
        <v>41</v>
      </c>
      <c r="I514">
        <v>2</v>
      </c>
      <c r="J514">
        <v>1</v>
      </c>
      <c r="K514" s="1" t="s">
        <v>42</v>
      </c>
      <c r="L514">
        <v>4</v>
      </c>
      <c r="M514" s="1" t="s">
        <v>35</v>
      </c>
      <c r="N514">
        <v>2045</v>
      </c>
      <c r="O514">
        <v>0</v>
      </c>
      <c r="P514" s="1" t="s">
        <v>39</v>
      </c>
      <c r="Q514">
        <v>13</v>
      </c>
      <c r="R514">
        <v>4</v>
      </c>
      <c r="S514">
        <v>0</v>
      </c>
      <c r="T514">
        <v>5</v>
      </c>
      <c r="U514">
        <v>0</v>
      </c>
      <c r="V514">
        <v>3</v>
      </c>
      <c r="W514">
        <v>4</v>
      </c>
      <c r="X514">
        <v>2</v>
      </c>
      <c r="Y514">
        <v>1</v>
      </c>
      <c r="Z514">
        <v>1</v>
      </c>
      <c r="AA514">
        <v>0</v>
      </c>
      <c r="AB514" s="1" t="s">
        <v>48</v>
      </c>
      <c r="AC514" t="s">
        <v>46</v>
      </c>
      <c r="AD514" t="s">
        <v>53</v>
      </c>
      <c r="AE514" s="2">
        <v>511.25</v>
      </c>
    </row>
    <row r="515" spans="1:31" x14ac:dyDescent="0.35">
      <c r="A515">
        <v>20</v>
      </c>
      <c r="B515" s="1" t="s">
        <v>30</v>
      </c>
      <c r="C515" s="1" t="s">
        <v>40</v>
      </c>
      <c r="D515">
        <v>10</v>
      </c>
      <c r="E515">
        <v>1</v>
      </c>
      <c r="F515" s="1" t="s">
        <v>49</v>
      </c>
      <c r="G515">
        <v>4</v>
      </c>
      <c r="H515" s="1" t="s">
        <v>41</v>
      </c>
      <c r="I515">
        <v>3</v>
      </c>
      <c r="J515">
        <v>1</v>
      </c>
      <c r="K515" s="1" t="s">
        <v>42</v>
      </c>
      <c r="L515">
        <v>3</v>
      </c>
      <c r="M515" s="1" t="s">
        <v>35</v>
      </c>
      <c r="N515">
        <v>1009</v>
      </c>
      <c r="O515">
        <v>1</v>
      </c>
      <c r="P515" s="1" t="s">
        <v>30</v>
      </c>
      <c r="Q515">
        <v>11</v>
      </c>
      <c r="R515">
        <v>4</v>
      </c>
      <c r="S515">
        <v>0</v>
      </c>
      <c r="T515">
        <v>1</v>
      </c>
      <c r="U515">
        <v>5</v>
      </c>
      <c r="V515">
        <v>3</v>
      </c>
      <c r="W515">
        <v>1</v>
      </c>
      <c r="X515">
        <v>0</v>
      </c>
      <c r="Y515">
        <v>1</v>
      </c>
      <c r="Z515">
        <v>1</v>
      </c>
      <c r="AA515">
        <v>1</v>
      </c>
      <c r="AB515" s="1" t="s">
        <v>54</v>
      </c>
      <c r="AC515" t="s">
        <v>46</v>
      </c>
      <c r="AD515" t="s">
        <v>47</v>
      </c>
      <c r="AE515" s="2">
        <v>1009</v>
      </c>
    </row>
    <row r="516" spans="1:31" x14ac:dyDescent="0.35">
      <c r="A516">
        <v>33</v>
      </c>
      <c r="B516" s="1" t="s">
        <v>30</v>
      </c>
      <c r="C516" s="1" t="s">
        <v>40</v>
      </c>
      <c r="D516">
        <v>3</v>
      </c>
      <c r="E516">
        <v>3</v>
      </c>
      <c r="F516" s="1" t="s">
        <v>32</v>
      </c>
      <c r="G516">
        <v>1</v>
      </c>
      <c r="H516" s="1" t="s">
        <v>41</v>
      </c>
      <c r="I516">
        <v>3</v>
      </c>
      <c r="J516">
        <v>1</v>
      </c>
      <c r="K516" s="1" t="s">
        <v>42</v>
      </c>
      <c r="L516">
        <v>1</v>
      </c>
      <c r="M516" s="1" t="s">
        <v>35</v>
      </c>
      <c r="N516">
        <v>3348</v>
      </c>
      <c r="O516">
        <v>1</v>
      </c>
      <c r="P516" s="1" t="s">
        <v>30</v>
      </c>
      <c r="Q516">
        <v>11</v>
      </c>
      <c r="R516">
        <v>1</v>
      </c>
      <c r="S516">
        <v>0</v>
      </c>
      <c r="T516">
        <v>10</v>
      </c>
      <c r="U516">
        <v>3</v>
      </c>
      <c r="V516">
        <v>3</v>
      </c>
      <c r="W516">
        <v>10</v>
      </c>
      <c r="X516">
        <v>8</v>
      </c>
      <c r="Y516">
        <v>9</v>
      </c>
      <c r="Z516">
        <v>7</v>
      </c>
      <c r="AA516">
        <v>1</v>
      </c>
      <c r="AB516" s="1" t="s">
        <v>48</v>
      </c>
      <c r="AC516" t="s">
        <v>46</v>
      </c>
      <c r="AD516" t="s">
        <v>38</v>
      </c>
      <c r="AE516" s="2">
        <v>334.8</v>
      </c>
    </row>
    <row r="517" spans="1:31" x14ac:dyDescent="0.35">
      <c r="A517">
        <v>35</v>
      </c>
      <c r="B517" s="1" t="s">
        <v>39</v>
      </c>
      <c r="C517" s="1" t="s">
        <v>40</v>
      </c>
      <c r="D517">
        <v>3</v>
      </c>
      <c r="E517">
        <v>3</v>
      </c>
      <c r="F517" s="1" t="s">
        <v>32</v>
      </c>
      <c r="G517">
        <v>3</v>
      </c>
      <c r="H517" s="1" t="s">
        <v>41</v>
      </c>
      <c r="I517">
        <v>2</v>
      </c>
      <c r="J517">
        <v>1</v>
      </c>
      <c r="K517" s="1" t="s">
        <v>45</v>
      </c>
      <c r="L517">
        <v>3</v>
      </c>
      <c r="M517" s="1" t="s">
        <v>43</v>
      </c>
      <c r="N517">
        <v>1281</v>
      </c>
      <c r="O517">
        <v>1</v>
      </c>
      <c r="P517" s="1" t="s">
        <v>39</v>
      </c>
      <c r="Q517">
        <v>18</v>
      </c>
      <c r="R517">
        <v>3</v>
      </c>
      <c r="S517">
        <v>2</v>
      </c>
      <c r="T517">
        <v>1</v>
      </c>
      <c r="U517">
        <v>3</v>
      </c>
      <c r="V517">
        <v>3</v>
      </c>
      <c r="W517">
        <v>1</v>
      </c>
      <c r="X517">
        <v>0</v>
      </c>
      <c r="Y517">
        <v>0</v>
      </c>
      <c r="Z517">
        <v>0</v>
      </c>
      <c r="AA517">
        <v>0</v>
      </c>
      <c r="AB517" s="1" t="s">
        <v>48</v>
      </c>
      <c r="AC517" t="s">
        <v>46</v>
      </c>
      <c r="AD517" t="s">
        <v>47</v>
      </c>
      <c r="AE517" s="2">
        <v>1281</v>
      </c>
    </row>
    <row r="518" spans="1:31" x14ac:dyDescent="0.35">
      <c r="A518">
        <v>23</v>
      </c>
      <c r="B518" s="1" t="s">
        <v>39</v>
      </c>
      <c r="C518" s="1" t="s">
        <v>40</v>
      </c>
      <c r="D518">
        <v>4</v>
      </c>
      <c r="E518">
        <v>3</v>
      </c>
      <c r="F518" s="1" t="s">
        <v>49</v>
      </c>
      <c r="G518">
        <v>1</v>
      </c>
      <c r="H518" s="1" t="s">
        <v>41</v>
      </c>
      <c r="I518">
        <v>4</v>
      </c>
      <c r="J518">
        <v>1</v>
      </c>
      <c r="K518" s="1" t="s">
        <v>42</v>
      </c>
      <c r="L518">
        <v>1</v>
      </c>
      <c r="M518" s="1" t="s">
        <v>43</v>
      </c>
      <c r="N518">
        <v>2819</v>
      </c>
      <c r="O518">
        <v>2</v>
      </c>
      <c r="P518" s="1" t="s">
        <v>39</v>
      </c>
      <c r="Q518">
        <v>16</v>
      </c>
      <c r="R518">
        <v>1</v>
      </c>
      <c r="S518">
        <v>1</v>
      </c>
      <c r="T518">
        <v>5</v>
      </c>
      <c r="U518">
        <v>3</v>
      </c>
      <c r="V518">
        <v>4</v>
      </c>
      <c r="W518">
        <v>3</v>
      </c>
      <c r="X518">
        <v>2</v>
      </c>
      <c r="Y518">
        <v>0</v>
      </c>
      <c r="Z518">
        <v>2</v>
      </c>
      <c r="AA518">
        <v>0</v>
      </c>
      <c r="AB518" s="1" t="s">
        <v>54</v>
      </c>
      <c r="AC518" t="s">
        <v>46</v>
      </c>
      <c r="AD518" t="s">
        <v>53</v>
      </c>
      <c r="AE518" s="2">
        <v>939.66666666666663</v>
      </c>
    </row>
    <row r="519" spans="1:31" x14ac:dyDescent="0.35">
      <c r="A519">
        <v>25</v>
      </c>
      <c r="B519" s="1" t="s">
        <v>39</v>
      </c>
      <c r="C519" s="1" t="s">
        <v>31</v>
      </c>
      <c r="D519">
        <v>8</v>
      </c>
      <c r="E519">
        <v>3</v>
      </c>
      <c r="F519" s="1" t="s">
        <v>32</v>
      </c>
      <c r="G519">
        <v>4</v>
      </c>
      <c r="H519" s="1" t="s">
        <v>41</v>
      </c>
      <c r="I519">
        <v>4</v>
      </c>
      <c r="J519">
        <v>2</v>
      </c>
      <c r="K519" s="1" t="s">
        <v>34</v>
      </c>
      <c r="L519">
        <v>2</v>
      </c>
      <c r="M519" s="1" t="s">
        <v>43</v>
      </c>
      <c r="N519">
        <v>4851</v>
      </c>
      <c r="O519">
        <v>0</v>
      </c>
      <c r="P519" s="1" t="s">
        <v>39</v>
      </c>
      <c r="Q519">
        <v>22</v>
      </c>
      <c r="R519">
        <v>3</v>
      </c>
      <c r="S519">
        <v>1</v>
      </c>
      <c r="T519">
        <v>4</v>
      </c>
      <c r="U519">
        <v>4</v>
      </c>
      <c r="V519">
        <v>3</v>
      </c>
      <c r="W519">
        <v>3</v>
      </c>
      <c r="X519">
        <v>2</v>
      </c>
      <c r="Y519">
        <v>1</v>
      </c>
      <c r="Z519">
        <v>2</v>
      </c>
      <c r="AA519">
        <v>0</v>
      </c>
      <c r="AB519" s="1" t="s">
        <v>54</v>
      </c>
      <c r="AC519" t="s">
        <v>37</v>
      </c>
      <c r="AD519" t="s">
        <v>53</v>
      </c>
      <c r="AE519" s="2">
        <v>1617</v>
      </c>
    </row>
    <row r="520" spans="1:31" x14ac:dyDescent="0.35">
      <c r="A520">
        <v>38</v>
      </c>
      <c r="B520" s="1" t="s">
        <v>39</v>
      </c>
      <c r="C520" s="1" t="s">
        <v>31</v>
      </c>
      <c r="D520">
        <v>7</v>
      </c>
      <c r="E520">
        <v>4</v>
      </c>
      <c r="F520" s="1" t="s">
        <v>60</v>
      </c>
      <c r="G520">
        <v>4</v>
      </c>
      <c r="H520" s="1" t="s">
        <v>33</v>
      </c>
      <c r="I520">
        <v>2</v>
      </c>
      <c r="J520">
        <v>2</v>
      </c>
      <c r="K520" s="1" t="s">
        <v>34</v>
      </c>
      <c r="L520">
        <v>4</v>
      </c>
      <c r="M520" s="1" t="s">
        <v>35</v>
      </c>
      <c r="N520">
        <v>4028</v>
      </c>
      <c r="O520">
        <v>0</v>
      </c>
      <c r="P520" s="1" t="s">
        <v>39</v>
      </c>
      <c r="Q520">
        <v>20</v>
      </c>
      <c r="R520">
        <v>1</v>
      </c>
      <c r="S520">
        <v>0</v>
      </c>
      <c r="T520">
        <v>8</v>
      </c>
      <c r="U520">
        <v>2</v>
      </c>
      <c r="V520">
        <v>3</v>
      </c>
      <c r="W520">
        <v>7</v>
      </c>
      <c r="X520">
        <v>7</v>
      </c>
      <c r="Y520">
        <v>0</v>
      </c>
      <c r="Z520">
        <v>5</v>
      </c>
      <c r="AA520">
        <v>0</v>
      </c>
      <c r="AB520" s="1" t="s">
        <v>36</v>
      </c>
      <c r="AC520" t="s">
        <v>37</v>
      </c>
      <c r="AD520" t="s">
        <v>38</v>
      </c>
      <c r="AE520" s="2">
        <v>575.42857142857144</v>
      </c>
    </row>
    <row r="521" spans="1:31" x14ac:dyDescent="0.35">
      <c r="A521">
        <v>29</v>
      </c>
      <c r="B521" s="1" t="s">
        <v>39</v>
      </c>
      <c r="C521" s="1" t="s">
        <v>40</v>
      </c>
      <c r="D521">
        <v>1</v>
      </c>
      <c r="E521">
        <v>4</v>
      </c>
      <c r="F521" s="1" t="s">
        <v>32</v>
      </c>
      <c r="G521">
        <v>2</v>
      </c>
      <c r="H521" s="1" t="s">
        <v>41</v>
      </c>
      <c r="I521">
        <v>1</v>
      </c>
      <c r="J521">
        <v>1</v>
      </c>
      <c r="K521" s="1" t="s">
        <v>42</v>
      </c>
      <c r="L521">
        <v>4</v>
      </c>
      <c r="M521" s="1" t="s">
        <v>50</v>
      </c>
      <c r="N521">
        <v>2720</v>
      </c>
      <c r="O521">
        <v>1</v>
      </c>
      <c r="P521" s="1" t="s">
        <v>39</v>
      </c>
      <c r="Q521">
        <v>18</v>
      </c>
      <c r="R521">
        <v>4</v>
      </c>
      <c r="S521">
        <v>1</v>
      </c>
      <c r="T521">
        <v>10</v>
      </c>
      <c r="U521">
        <v>5</v>
      </c>
      <c r="V521">
        <v>3</v>
      </c>
      <c r="W521">
        <v>10</v>
      </c>
      <c r="X521">
        <v>7</v>
      </c>
      <c r="Y521">
        <v>2</v>
      </c>
      <c r="Z521">
        <v>8</v>
      </c>
      <c r="AA521">
        <v>0</v>
      </c>
      <c r="AB521" s="1" t="s">
        <v>48</v>
      </c>
      <c r="AC521" t="s">
        <v>46</v>
      </c>
      <c r="AD521" t="s">
        <v>38</v>
      </c>
      <c r="AE521" s="2">
        <v>272</v>
      </c>
    </row>
    <row r="522" spans="1:31" x14ac:dyDescent="0.35">
      <c r="A522">
        <v>48</v>
      </c>
      <c r="B522" s="1" t="s">
        <v>39</v>
      </c>
      <c r="C522" s="1" t="s">
        <v>31</v>
      </c>
      <c r="D522">
        <v>2</v>
      </c>
      <c r="E522">
        <v>1</v>
      </c>
      <c r="F522" s="1" t="s">
        <v>60</v>
      </c>
      <c r="G522">
        <v>2</v>
      </c>
      <c r="H522" s="1" t="s">
        <v>41</v>
      </c>
      <c r="I522">
        <v>4</v>
      </c>
      <c r="J522">
        <v>2</v>
      </c>
      <c r="K522" s="1" t="s">
        <v>34</v>
      </c>
      <c r="L522">
        <v>2</v>
      </c>
      <c r="M522" s="1" t="s">
        <v>43</v>
      </c>
      <c r="N522">
        <v>8120</v>
      </c>
      <c r="O522">
        <v>3</v>
      </c>
      <c r="P522" s="1" t="s">
        <v>39</v>
      </c>
      <c r="Q522">
        <v>12</v>
      </c>
      <c r="R522">
        <v>4</v>
      </c>
      <c r="S522">
        <v>0</v>
      </c>
      <c r="T522">
        <v>12</v>
      </c>
      <c r="U522">
        <v>3</v>
      </c>
      <c r="V522">
        <v>3</v>
      </c>
      <c r="W522">
        <v>2</v>
      </c>
      <c r="X522">
        <v>2</v>
      </c>
      <c r="Y522">
        <v>2</v>
      </c>
      <c r="Z522">
        <v>2</v>
      </c>
      <c r="AA522">
        <v>0</v>
      </c>
      <c r="AB522" s="1" t="s">
        <v>82</v>
      </c>
      <c r="AC522" t="s">
        <v>37</v>
      </c>
      <c r="AD522" t="s">
        <v>47</v>
      </c>
      <c r="AE522" s="2">
        <v>4060</v>
      </c>
    </row>
    <row r="523" spans="1:31" x14ac:dyDescent="0.35">
      <c r="A523">
        <v>27</v>
      </c>
      <c r="B523" s="1" t="s">
        <v>39</v>
      </c>
      <c r="C523" s="1" t="s">
        <v>31</v>
      </c>
      <c r="D523">
        <v>3</v>
      </c>
      <c r="E523">
        <v>1</v>
      </c>
      <c r="F523" s="1" t="s">
        <v>49</v>
      </c>
      <c r="G523">
        <v>4</v>
      </c>
      <c r="H523" s="1" t="s">
        <v>33</v>
      </c>
      <c r="I523">
        <v>4</v>
      </c>
      <c r="J523">
        <v>2</v>
      </c>
      <c r="K523" s="1" t="s">
        <v>34</v>
      </c>
      <c r="L523">
        <v>4</v>
      </c>
      <c r="M523" s="1" t="s">
        <v>50</v>
      </c>
      <c r="N523">
        <v>4647</v>
      </c>
      <c r="O523">
        <v>1</v>
      </c>
      <c r="P523" s="1" t="s">
        <v>30</v>
      </c>
      <c r="Q523">
        <v>20</v>
      </c>
      <c r="R523">
        <v>2</v>
      </c>
      <c r="S523">
        <v>2</v>
      </c>
      <c r="T523">
        <v>6</v>
      </c>
      <c r="U523">
        <v>3</v>
      </c>
      <c r="V523">
        <v>3</v>
      </c>
      <c r="W523">
        <v>6</v>
      </c>
      <c r="X523">
        <v>5</v>
      </c>
      <c r="Y523">
        <v>0</v>
      </c>
      <c r="Z523">
        <v>4</v>
      </c>
      <c r="AA523">
        <v>0</v>
      </c>
      <c r="AB523" s="1" t="s">
        <v>48</v>
      </c>
      <c r="AC523" t="s">
        <v>37</v>
      </c>
      <c r="AD523" t="s">
        <v>38</v>
      </c>
      <c r="AE523" s="2">
        <v>774.5</v>
      </c>
    </row>
    <row r="524" spans="1:31" x14ac:dyDescent="0.35">
      <c r="A524">
        <v>37</v>
      </c>
      <c r="B524" s="1" t="s">
        <v>39</v>
      </c>
      <c r="C524" s="1" t="s">
        <v>40</v>
      </c>
      <c r="D524">
        <v>10</v>
      </c>
      <c r="E524">
        <v>2</v>
      </c>
      <c r="F524" s="1" t="s">
        <v>32</v>
      </c>
      <c r="G524">
        <v>4</v>
      </c>
      <c r="H524" s="1" t="s">
        <v>41</v>
      </c>
      <c r="I524">
        <v>4</v>
      </c>
      <c r="J524">
        <v>1</v>
      </c>
      <c r="K524" s="1" t="s">
        <v>42</v>
      </c>
      <c r="L524">
        <v>4</v>
      </c>
      <c r="M524" s="1" t="s">
        <v>35</v>
      </c>
      <c r="N524">
        <v>4680</v>
      </c>
      <c r="O524">
        <v>3</v>
      </c>
      <c r="P524" s="1" t="s">
        <v>39</v>
      </c>
      <c r="Q524">
        <v>17</v>
      </c>
      <c r="R524">
        <v>1</v>
      </c>
      <c r="S524">
        <v>0</v>
      </c>
      <c r="T524">
        <v>4</v>
      </c>
      <c r="U524">
        <v>2</v>
      </c>
      <c r="V524">
        <v>3</v>
      </c>
      <c r="W524">
        <v>1</v>
      </c>
      <c r="X524">
        <v>0</v>
      </c>
      <c r="Y524">
        <v>0</v>
      </c>
      <c r="Z524">
        <v>0</v>
      </c>
      <c r="AA524">
        <v>0</v>
      </c>
      <c r="AB524" s="1" t="s">
        <v>36</v>
      </c>
      <c r="AC524" t="s">
        <v>37</v>
      </c>
      <c r="AD524" t="s">
        <v>47</v>
      </c>
      <c r="AE524" s="2">
        <v>4680</v>
      </c>
    </row>
    <row r="525" spans="1:31" x14ac:dyDescent="0.35">
      <c r="A525">
        <v>50</v>
      </c>
      <c r="B525" s="1" t="s">
        <v>39</v>
      </c>
      <c r="C525" s="1" t="s">
        <v>40</v>
      </c>
      <c r="D525">
        <v>28</v>
      </c>
      <c r="E525">
        <v>1</v>
      </c>
      <c r="F525" s="1" t="s">
        <v>49</v>
      </c>
      <c r="G525">
        <v>4</v>
      </c>
      <c r="H525" s="1" t="s">
        <v>41</v>
      </c>
      <c r="I525">
        <v>4</v>
      </c>
      <c r="J525">
        <v>1</v>
      </c>
      <c r="K525" s="1" t="s">
        <v>45</v>
      </c>
      <c r="L525">
        <v>3</v>
      </c>
      <c r="M525" s="1" t="s">
        <v>43</v>
      </c>
      <c r="N525">
        <v>3221</v>
      </c>
      <c r="O525">
        <v>1</v>
      </c>
      <c r="P525" s="1" t="s">
        <v>30</v>
      </c>
      <c r="Q525">
        <v>11</v>
      </c>
      <c r="R525">
        <v>3</v>
      </c>
      <c r="S525">
        <v>3</v>
      </c>
      <c r="T525">
        <v>20</v>
      </c>
      <c r="U525">
        <v>3</v>
      </c>
      <c r="V525">
        <v>3</v>
      </c>
      <c r="W525">
        <v>20</v>
      </c>
      <c r="X525">
        <v>8</v>
      </c>
      <c r="Y525">
        <v>3</v>
      </c>
      <c r="Z525">
        <v>8</v>
      </c>
      <c r="AA525">
        <v>0</v>
      </c>
      <c r="AB525" s="1" t="s">
        <v>82</v>
      </c>
      <c r="AC525" t="s">
        <v>46</v>
      </c>
      <c r="AD525" t="s">
        <v>57</v>
      </c>
      <c r="AE525" s="2">
        <v>161.05000000000001</v>
      </c>
    </row>
    <row r="526" spans="1:31" x14ac:dyDescent="0.35">
      <c r="A526">
        <v>34</v>
      </c>
      <c r="B526" s="1" t="s">
        <v>39</v>
      </c>
      <c r="C526" s="1" t="s">
        <v>40</v>
      </c>
      <c r="D526">
        <v>9</v>
      </c>
      <c r="E526">
        <v>3</v>
      </c>
      <c r="F526" s="1" t="s">
        <v>49</v>
      </c>
      <c r="G526">
        <v>4</v>
      </c>
      <c r="H526" s="1" t="s">
        <v>33</v>
      </c>
      <c r="I526">
        <v>2</v>
      </c>
      <c r="J526">
        <v>3</v>
      </c>
      <c r="K526" s="1" t="s">
        <v>52</v>
      </c>
      <c r="L526">
        <v>2</v>
      </c>
      <c r="M526" s="1" t="s">
        <v>35</v>
      </c>
      <c r="N526">
        <v>8621</v>
      </c>
      <c r="O526">
        <v>1</v>
      </c>
      <c r="P526" s="1" t="s">
        <v>39</v>
      </c>
      <c r="Q526">
        <v>14</v>
      </c>
      <c r="R526">
        <v>2</v>
      </c>
      <c r="S526">
        <v>0</v>
      </c>
      <c r="T526">
        <v>9</v>
      </c>
      <c r="U526">
        <v>3</v>
      </c>
      <c r="V526">
        <v>4</v>
      </c>
      <c r="W526">
        <v>8</v>
      </c>
      <c r="X526">
        <v>7</v>
      </c>
      <c r="Y526">
        <v>7</v>
      </c>
      <c r="Z526">
        <v>7</v>
      </c>
      <c r="AA526">
        <v>0</v>
      </c>
      <c r="AB526" s="1" t="s">
        <v>48</v>
      </c>
      <c r="AC526" t="s">
        <v>37</v>
      </c>
      <c r="AD526" t="s">
        <v>38</v>
      </c>
      <c r="AE526" s="2">
        <v>1077.625</v>
      </c>
    </row>
    <row r="527" spans="1:31" x14ac:dyDescent="0.35">
      <c r="A527">
        <v>24</v>
      </c>
      <c r="B527" s="1" t="s">
        <v>30</v>
      </c>
      <c r="C527" s="1" t="s">
        <v>31</v>
      </c>
      <c r="D527">
        <v>3</v>
      </c>
      <c r="E527">
        <v>2</v>
      </c>
      <c r="F527" s="1" t="s">
        <v>32</v>
      </c>
      <c r="G527">
        <v>1</v>
      </c>
      <c r="H527" s="1" t="s">
        <v>33</v>
      </c>
      <c r="I527">
        <v>3</v>
      </c>
      <c r="J527">
        <v>2</v>
      </c>
      <c r="K527" s="1" t="s">
        <v>34</v>
      </c>
      <c r="L527">
        <v>3</v>
      </c>
      <c r="M527" s="1" t="s">
        <v>35</v>
      </c>
      <c r="N527">
        <v>4577</v>
      </c>
      <c r="O527">
        <v>9</v>
      </c>
      <c r="P527" s="1" t="s">
        <v>39</v>
      </c>
      <c r="Q527">
        <v>14</v>
      </c>
      <c r="R527">
        <v>1</v>
      </c>
      <c r="S527">
        <v>0</v>
      </c>
      <c r="T527">
        <v>4</v>
      </c>
      <c r="U527">
        <v>3</v>
      </c>
      <c r="V527">
        <v>3</v>
      </c>
      <c r="W527">
        <v>2</v>
      </c>
      <c r="X527">
        <v>2</v>
      </c>
      <c r="Y527">
        <v>2</v>
      </c>
      <c r="Z527">
        <v>0</v>
      </c>
      <c r="AA527">
        <v>1</v>
      </c>
      <c r="AB527" s="1" t="s">
        <v>54</v>
      </c>
      <c r="AC527" t="s">
        <v>37</v>
      </c>
      <c r="AD527" t="s">
        <v>47</v>
      </c>
      <c r="AE527" s="2">
        <v>2288.5</v>
      </c>
    </row>
    <row r="528" spans="1:31" x14ac:dyDescent="0.35">
      <c r="A528">
        <v>39</v>
      </c>
      <c r="B528" s="1" t="s">
        <v>39</v>
      </c>
      <c r="C528" s="1" t="s">
        <v>40</v>
      </c>
      <c r="D528">
        <v>2</v>
      </c>
      <c r="E528">
        <v>4</v>
      </c>
      <c r="F528" s="1" t="s">
        <v>61</v>
      </c>
      <c r="G528">
        <v>4</v>
      </c>
      <c r="H528" s="1" t="s">
        <v>33</v>
      </c>
      <c r="I528">
        <v>2</v>
      </c>
      <c r="J528">
        <v>2</v>
      </c>
      <c r="K528" s="1" t="s">
        <v>52</v>
      </c>
      <c r="L528">
        <v>3</v>
      </c>
      <c r="M528" s="1" t="s">
        <v>35</v>
      </c>
      <c r="N528">
        <v>4553</v>
      </c>
      <c r="O528">
        <v>1</v>
      </c>
      <c r="P528" s="1" t="s">
        <v>39</v>
      </c>
      <c r="Q528">
        <v>11</v>
      </c>
      <c r="R528">
        <v>1</v>
      </c>
      <c r="S528">
        <v>0</v>
      </c>
      <c r="T528">
        <v>20</v>
      </c>
      <c r="U528">
        <v>4</v>
      </c>
      <c r="V528">
        <v>3</v>
      </c>
      <c r="W528">
        <v>20</v>
      </c>
      <c r="X528">
        <v>7</v>
      </c>
      <c r="Y528">
        <v>11</v>
      </c>
      <c r="Z528">
        <v>10</v>
      </c>
      <c r="AA528">
        <v>0</v>
      </c>
      <c r="AB528" s="1" t="s">
        <v>36</v>
      </c>
      <c r="AC528" t="s">
        <v>37</v>
      </c>
      <c r="AD528" t="s">
        <v>57</v>
      </c>
      <c r="AE528" s="2">
        <v>227.65</v>
      </c>
    </row>
    <row r="529" spans="1:31" x14ac:dyDescent="0.35">
      <c r="A529">
        <v>32</v>
      </c>
      <c r="B529" s="1" t="s">
        <v>39</v>
      </c>
      <c r="C529" s="1" t="s">
        <v>31</v>
      </c>
      <c r="D529">
        <v>10</v>
      </c>
      <c r="E529">
        <v>3</v>
      </c>
      <c r="F529" s="1" t="s">
        <v>60</v>
      </c>
      <c r="G529">
        <v>4</v>
      </c>
      <c r="H529" s="1" t="s">
        <v>41</v>
      </c>
      <c r="I529">
        <v>3</v>
      </c>
      <c r="J529">
        <v>2</v>
      </c>
      <c r="K529" s="1" t="s">
        <v>34</v>
      </c>
      <c r="L529">
        <v>4</v>
      </c>
      <c r="M529" s="1" t="s">
        <v>35</v>
      </c>
      <c r="N529">
        <v>5396</v>
      </c>
      <c r="O529">
        <v>1</v>
      </c>
      <c r="P529" s="1" t="s">
        <v>39</v>
      </c>
      <c r="Q529">
        <v>12</v>
      </c>
      <c r="R529">
        <v>4</v>
      </c>
      <c r="S529">
        <v>0</v>
      </c>
      <c r="T529">
        <v>10</v>
      </c>
      <c r="U529">
        <v>2</v>
      </c>
      <c r="V529">
        <v>2</v>
      </c>
      <c r="W529">
        <v>10</v>
      </c>
      <c r="X529">
        <v>7</v>
      </c>
      <c r="Y529">
        <v>0</v>
      </c>
      <c r="Z529">
        <v>8</v>
      </c>
      <c r="AA529">
        <v>0</v>
      </c>
      <c r="AB529" s="1" t="s">
        <v>48</v>
      </c>
      <c r="AC529" t="s">
        <v>37</v>
      </c>
      <c r="AD529" t="s">
        <v>38</v>
      </c>
      <c r="AE529" s="2">
        <v>539.6</v>
      </c>
    </row>
    <row r="530" spans="1:31" x14ac:dyDescent="0.35">
      <c r="A530">
        <v>50</v>
      </c>
      <c r="B530" s="1" t="s">
        <v>30</v>
      </c>
      <c r="C530" s="1" t="s">
        <v>31</v>
      </c>
      <c r="D530">
        <v>8</v>
      </c>
      <c r="E530">
        <v>2</v>
      </c>
      <c r="F530" s="1" t="s">
        <v>61</v>
      </c>
      <c r="G530">
        <v>2</v>
      </c>
      <c r="H530" s="1" t="s">
        <v>41</v>
      </c>
      <c r="I530">
        <v>3</v>
      </c>
      <c r="J530">
        <v>2</v>
      </c>
      <c r="K530" s="1" t="s">
        <v>34</v>
      </c>
      <c r="L530">
        <v>3</v>
      </c>
      <c r="M530" s="1" t="s">
        <v>43</v>
      </c>
      <c r="N530">
        <v>6796</v>
      </c>
      <c r="O530">
        <v>3</v>
      </c>
      <c r="P530" s="1" t="s">
        <v>30</v>
      </c>
      <c r="Q530">
        <v>14</v>
      </c>
      <c r="R530">
        <v>1</v>
      </c>
      <c r="S530">
        <v>1</v>
      </c>
      <c r="T530">
        <v>18</v>
      </c>
      <c r="U530">
        <v>4</v>
      </c>
      <c r="V530">
        <v>3</v>
      </c>
      <c r="W530">
        <v>4</v>
      </c>
      <c r="X530">
        <v>3</v>
      </c>
      <c r="Y530">
        <v>1</v>
      </c>
      <c r="Z530">
        <v>3</v>
      </c>
      <c r="AA530">
        <v>1</v>
      </c>
      <c r="AB530" s="1" t="s">
        <v>82</v>
      </c>
      <c r="AC530" t="s">
        <v>37</v>
      </c>
      <c r="AD530" t="s">
        <v>53</v>
      </c>
      <c r="AE530" s="2">
        <v>1699</v>
      </c>
    </row>
    <row r="531" spans="1:31" x14ac:dyDescent="0.35">
      <c r="A531">
        <v>38</v>
      </c>
      <c r="B531" s="1" t="s">
        <v>39</v>
      </c>
      <c r="C531" s="1" t="s">
        <v>40</v>
      </c>
      <c r="D531">
        <v>1</v>
      </c>
      <c r="E531">
        <v>4</v>
      </c>
      <c r="F531" s="1" t="s">
        <v>32</v>
      </c>
      <c r="G531">
        <v>2</v>
      </c>
      <c r="H531" s="1" t="s">
        <v>33</v>
      </c>
      <c r="I531">
        <v>4</v>
      </c>
      <c r="J531">
        <v>2</v>
      </c>
      <c r="K531" s="1" t="s">
        <v>52</v>
      </c>
      <c r="L531">
        <v>4</v>
      </c>
      <c r="M531" s="1" t="s">
        <v>35</v>
      </c>
      <c r="N531">
        <v>7625</v>
      </c>
      <c r="O531">
        <v>0</v>
      </c>
      <c r="P531" s="1" t="s">
        <v>39</v>
      </c>
      <c r="Q531">
        <v>13</v>
      </c>
      <c r="R531">
        <v>3</v>
      </c>
      <c r="S531">
        <v>0</v>
      </c>
      <c r="T531">
        <v>10</v>
      </c>
      <c r="U531">
        <v>4</v>
      </c>
      <c r="V531">
        <v>2</v>
      </c>
      <c r="W531">
        <v>9</v>
      </c>
      <c r="X531">
        <v>7</v>
      </c>
      <c r="Y531">
        <v>1</v>
      </c>
      <c r="Z531">
        <v>8</v>
      </c>
      <c r="AA531">
        <v>0</v>
      </c>
      <c r="AB531" s="1" t="s">
        <v>36</v>
      </c>
      <c r="AC531" t="s">
        <v>37</v>
      </c>
      <c r="AD531" t="s">
        <v>38</v>
      </c>
      <c r="AE531" s="2">
        <v>847.22222222222217</v>
      </c>
    </row>
    <row r="532" spans="1:31" x14ac:dyDescent="0.35">
      <c r="A532">
        <v>27</v>
      </c>
      <c r="B532" s="1" t="s">
        <v>39</v>
      </c>
      <c r="C532" s="1" t="s">
        <v>40</v>
      </c>
      <c r="D532">
        <v>1</v>
      </c>
      <c r="E532">
        <v>2</v>
      </c>
      <c r="F532" s="1" t="s">
        <v>32</v>
      </c>
      <c r="G532">
        <v>3</v>
      </c>
      <c r="H532" s="1" t="s">
        <v>33</v>
      </c>
      <c r="I532">
        <v>3</v>
      </c>
      <c r="J532">
        <v>3</v>
      </c>
      <c r="K532" s="1" t="s">
        <v>51</v>
      </c>
      <c r="L532">
        <v>1</v>
      </c>
      <c r="M532" s="1" t="s">
        <v>43</v>
      </c>
      <c r="N532">
        <v>7412</v>
      </c>
      <c r="O532">
        <v>1</v>
      </c>
      <c r="P532" s="1" t="s">
        <v>39</v>
      </c>
      <c r="Q532">
        <v>11</v>
      </c>
      <c r="R532">
        <v>4</v>
      </c>
      <c r="S532">
        <v>0</v>
      </c>
      <c r="T532">
        <v>9</v>
      </c>
      <c r="U532">
        <v>3</v>
      </c>
      <c r="V532">
        <v>3</v>
      </c>
      <c r="W532">
        <v>9</v>
      </c>
      <c r="X532">
        <v>7</v>
      </c>
      <c r="Y532">
        <v>0</v>
      </c>
      <c r="Z532">
        <v>7</v>
      </c>
      <c r="AA532">
        <v>0</v>
      </c>
      <c r="AB532" s="1" t="s">
        <v>48</v>
      </c>
      <c r="AC532" t="s">
        <v>37</v>
      </c>
      <c r="AD532" t="s">
        <v>38</v>
      </c>
      <c r="AE532" s="2">
        <v>823.55555555555554</v>
      </c>
    </row>
    <row r="533" spans="1:31" x14ac:dyDescent="0.35">
      <c r="A533">
        <v>32</v>
      </c>
      <c r="B533" s="1" t="s">
        <v>39</v>
      </c>
      <c r="C533" s="1" t="s">
        <v>40</v>
      </c>
      <c r="D533">
        <v>3</v>
      </c>
      <c r="E533">
        <v>2</v>
      </c>
      <c r="F533" s="1" t="s">
        <v>32</v>
      </c>
      <c r="G533">
        <v>3</v>
      </c>
      <c r="H533" s="1" t="s">
        <v>33</v>
      </c>
      <c r="I533">
        <v>3</v>
      </c>
      <c r="J533">
        <v>3</v>
      </c>
      <c r="K533" s="1" t="s">
        <v>59</v>
      </c>
      <c r="L533">
        <v>4</v>
      </c>
      <c r="M533" s="1" t="s">
        <v>35</v>
      </c>
      <c r="N533">
        <v>11159</v>
      </c>
      <c r="O533">
        <v>3</v>
      </c>
      <c r="P533" s="1" t="s">
        <v>39</v>
      </c>
      <c r="Q533">
        <v>15</v>
      </c>
      <c r="R533">
        <v>4</v>
      </c>
      <c r="S533">
        <v>0</v>
      </c>
      <c r="T533">
        <v>10</v>
      </c>
      <c r="U533">
        <v>6</v>
      </c>
      <c r="V533">
        <v>3</v>
      </c>
      <c r="W533">
        <v>7</v>
      </c>
      <c r="X533">
        <v>7</v>
      </c>
      <c r="Y533">
        <v>7</v>
      </c>
      <c r="Z533">
        <v>7</v>
      </c>
      <c r="AA533">
        <v>0</v>
      </c>
      <c r="AB533" s="1" t="s">
        <v>48</v>
      </c>
      <c r="AC533" t="s">
        <v>56</v>
      </c>
      <c r="AD533" t="s">
        <v>38</v>
      </c>
      <c r="AE533" s="2">
        <v>1594.1428571428571</v>
      </c>
    </row>
    <row r="534" spans="1:31" x14ac:dyDescent="0.35">
      <c r="A534">
        <v>47</v>
      </c>
      <c r="B534" s="1" t="s">
        <v>39</v>
      </c>
      <c r="C534" s="1" t="s">
        <v>31</v>
      </c>
      <c r="D534">
        <v>14</v>
      </c>
      <c r="E534">
        <v>4</v>
      </c>
      <c r="F534" s="1" t="s">
        <v>60</v>
      </c>
      <c r="G534">
        <v>4</v>
      </c>
      <c r="H534" s="1" t="s">
        <v>41</v>
      </c>
      <c r="I534">
        <v>3</v>
      </c>
      <c r="J534">
        <v>2</v>
      </c>
      <c r="K534" s="1" t="s">
        <v>34</v>
      </c>
      <c r="L534">
        <v>1</v>
      </c>
      <c r="M534" s="1" t="s">
        <v>35</v>
      </c>
      <c r="N534">
        <v>4960</v>
      </c>
      <c r="O534">
        <v>2</v>
      </c>
      <c r="P534" s="1" t="s">
        <v>39</v>
      </c>
      <c r="Q534">
        <v>12</v>
      </c>
      <c r="R534">
        <v>4</v>
      </c>
      <c r="S534">
        <v>0</v>
      </c>
      <c r="T534">
        <v>20</v>
      </c>
      <c r="U534">
        <v>2</v>
      </c>
      <c r="V534">
        <v>3</v>
      </c>
      <c r="W534">
        <v>7</v>
      </c>
      <c r="X534">
        <v>7</v>
      </c>
      <c r="Y534">
        <v>1</v>
      </c>
      <c r="Z534">
        <v>7</v>
      </c>
      <c r="AA534">
        <v>0</v>
      </c>
      <c r="AB534" s="1" t="s">
        <v>82</v>
      </c>
      <c r="AC534" t="s">
        <v>37</v>
      </c>
      <c r="AD534" t="s">
        <v>38</v>
      </c>
      <c r="AE534" s="2">
        <v>708.57142857142856</v>
      </c>
    </row>
    <row r="535" spans="1:31" x14ac:dyDescent="0.35">
      <c r="A535">
        <v>40</v>
      </c>
      <c r="B535" s="1" t="s">
        <v>39</v>
      </c>
      <c r="C535" s="1" t="s">
        <v>31</v>
      </c>
      <c r="D535">
        <v>5</v>
      </c>
      <c r="E535">
        <v>4</v>
      </c>
      <c r="F535" s="1" t="s">
        <v>32</v>
      </c>
      <c r="G535">
        <v>4</v>
      </c>
      <c r="H535" s="1" t="s">
        <v>41</v>
      </c>
      <c r="I535">
        <v>2</v>
      </c>
      <c r="J535">
        <v>3</v>
      </c>
      <c r="K535" s="1" t="s">
        <v>34</v>
      </c>
      <c r="L535">
        <v>1</v>
      </c>
      <c r="M535" s="1" t="s">
        <v>43</v>
      </c>
      <c r="N535">
        <v>10475</v>
      </c>
      <c r="O535">
        <v>5</v>
      </c>
      <c r="P535" s="1" t="s">
        <v>30</v>
      </c>
      <c r="Q535">
        <v>21</v>
      </c>
      <c r="R535">
        <v>3</v>
      </c>
      <c r="S535">
        <v>1</v>
      </c>
      <c r="T535">
        <v>20</v>
      </c>
      <c r="U535">
        <v>2</v>
      </c>
      <c r="V535">
        <v>3</v>
      </c>
      <c r="W535">
        <v>18</v>
      </c>
      <c r="X535">
        <v>13</v>
      </c>
      <c r="Y535">
        <v>1</v>
      </c>
      <c r="Z535">
        <v>12</v>
      </c>
      <c r="AA535">
        <v>0</v>
      </c>
      <c r="AB535" s="1" t="s">
        <v>36</v>
      </c>
      <c r="AC535" t="s">
        <v>56</v>
      </c>
      <c r="AD535" t="s">
        <v>57</v>
      </c>
      <c r="AE535" s="2">
        <v>581.94444444444446</v>
      </c>
    </row>
    <row r="536" spans="1:31" x14ac:dyDescent="0.35">
      <c r="A536">
        <v>53</v>
      </c>
      <c r="B536" s="1" t="s">
        <v>39</v>
      </c>
      <c r="C536" s="1" t="s">
        <v>40</v>
      </c>
      <c r="D536">
        <v>7</v>
      </c>
      <c r="E536">
        <v>3</v>
      </c>
      <c r="F536" s="1" t="s">
        <v>32</v>
      </c>
      <c r="G536">
        <v>3</v>
      </c>
      <c r="H536" s="1" t="s">
        <v>41</v>
      </c>
      <c r="I536">
        <v>4</v>
      </c>
      <c r="J536">
        <v>4</v>
      </c>
      <c r="K536" s="1" t="s">
        <v>59</v>
      </c>
      <c r="L536">
        <v>3</v>
      </c>
      <c r="M536" s="1" t="s">
        <v>43</v>
      </c>
      <c r="N536">
        <v>14814</v>
      </c>
      <c r="O536">
        <v>3</v>
      </c>
      <c r="P536" s="1" t="s">
        <v>39</v>
      </c>
      <c r="Q536">
        <v>19</v>
      </c>
      <c r="R536">
        <v>3</v>
      </c>
      <c r="S536">
        <v>0</v>
      </c>
      <c r="T536">
        <v>32</v>
      </c>
      <c r="U536">
        <v>3</v>
      </c>
      <c r="V536">
        <v>3</v>
      </c>
      <c r="W536">
        <v>5</v>
      </c>
      <c r="X536">
        <v>1</v>
      </c>
      <c r="Y536">
        <v>1</v>
      </c>
      <c r="Z536">
        <v>3</v>
      </c>
      <c r="AA536">
        <v>0</v>
      </c>
      <c r="AB536" s="1" t="s">
        <v>82</v>
      </c>
      <c r="AC536" t="s">
        <v>56</v>
      </c>
      <c r="AD536" t="s">
        <v>53</v>
      </c>
      <c r="AE536" s="2">
        <v>2962.8</v>
      </c>
    </row>
    <row r="537" spans="1:31" x14ac:dyDescent="0.35">
      <c r="A537">
        <v>41</v>
      </c>
      <c r="B537" s="1" t="s">
        <v>39</v>
      </c>
      <c r="C537" s="1" t="s">
        <v>62</v>
      </c>
      <c r="D537">
        <v>10</v>
      </c>
      <c r="E537">
        <v>4</v>
      </c>
      <c r="F537" s="1" t="s">
        <v>62</v>
      </c>
      <c r="G537">
        <v>2</v>
      </c>
      <c r="H537" s="1" t="s">
        <v>41</v>
      </c>
      <c r="I537">
        <v>2</v>
      </c>
      <c r="J537">
        <v>5</v>
      </c>
      <c r="K537" s="1" t="s">
        <v>55</v>
      </c>
      <c r="L537">
        <v>4</v>
      </c>
      <c r="M537" s="1" t="s">
        <v>50</v>
      </c>
      <c r="N537">
        <v>19141</v>
      </c>
      <c r="O537">
        <v>3</v>
      </c>
      <c r="P537" s="1" t="s">
        <v>39</v>
      </c>
      <c r="Q537">
        <v>15</v>
      </c>
      <c r="R537">
        <v>2</v>
      </c>
      <c r="S537">
        <v>3</v>
      </c>
      <c r="T537">
        <v>23</v>
      </c>
      <c r="U537">
        <v>2</v>
      </c>
      <c r="V537">
        <v>2</v>
      </c>
      <c r="W537">
        <v>21</v>
      </c>
      <c r="X537">
        <v>6</v>
      </c>
      <c r="Y537">
        <v>12</v>
      </c>
      <c r="Z537">
        <v>6</v>
      </c>
      <c r="AA537">
        <v>0</v>
      </c>
      <c r="AB537" s="1" t="s">
        <v>36</v>
      </c>
      <c r="AC537" t="s">
        <v>56</v>
      </c>
      <c r="AD537" t="s">
        <v>57</v>
      </c>
      <c r="AE537" s="2">
        <v>911.47619047619048</v>
      </c>
    </row>
    <row r="538" spans="1:31" x14ac:dyDescent="0.35">
      <c r="A538">
        <v>60</v>
      </c>
      <c r="B538" s="1" t="s">
        <v>39</v>
      </c>
      <c r="C538" s="1" t="s">
        <v>31</v>
      </c>
      <c r="D538">
        <v>16</v>
      </c>
      <c r="E538">
        <v>4</v>
      </c>
      <c r="F538" s="1" t="s">
        <v>60</v>
      </c>
      <c r="G538">
        <v>1</v>
      </c>
      <c r="H538" s="1" t="s">
        <v>41</v>
      </c>
      <c r="I538">
        <v>3</v>
      </c>
      <c r="J538">
        <v>2</v>
      </c>
      <c r="K538" s="1" t="s">
        <v>34</v>
      </c>
      <c r="L538">
        <v>1</v>
      </c>
      <c r="M538" s="1" t="s">
        <v>35</v>
      </c>
      <c r="N538">
        <v>5405</v>
      </c>
      <c r="O538">
        <v>8</v>
      </c>
      <c r="P538" s="1" t="s">
        <v>39</v>
      </c>
      <c r="Q538">
        <v>14</v>
      </c>
      <c r="R538">
        <v>4</v>
      </c>
      <c r="S538">
        <v>0</v>
      </c>
      <c r="T538">
        <v>10</v>
      </c>
      <c r="U538">
        <v>1</v>
      </c>
      <c r="V538">
        <v>3</v>
      </c>
      <c r="W538">
        <v>2</v>
      </c>
      <c r="X538">
        <v>2</v>
      </c>
      <c r="Y538">
        <v>2</v>
      </c>
      <c r="Z538">
        <v>2</v>
      </c>
      <c r="AA538">
        <v>0</v>
      </c>
      <c r="AB538" s="1" t="s">
        <v>82</v>
      </c>
      <c r="AC538" t="s">
        <v>37</v>
      </c>
      <c r="AD538" t="s">
        <v>47</v>
      </c>
      <c r="AE538" s="2">
        <v>2702.5</v>
      </c>
    </row>
    <row r="539" spans="1:31" x14ac:dyDescent="0.35">
      <c r="A539">
        <v>27</v>
      </c>
      <c r="B539" s="1" t="s">
        <v>39</v>
      </c>
      <c r="C539" s="1" t="s">
        <v>40</v>
      </c>
      <c r="D539">
        <v>10</v>
      </c>
      <c r="E539">
        <v>2</v>
      </c>
      <c r="F539" s="1" t="s">
        <v>32</v>
      </c>
      <c r="G539">
        <v>4</v>
      </c>
      <c r="H539" s="1" t="s">
        <v>41</v>
      </c>
      <c r="I539">
        <v>3</v>
      </c>
      <c r="J539">
        <v>3</v>
      </c>
      <c r="K539" s="1" t="s">
        <v>51</v>
      </c>
      <c r="L539">
        <v>1</v>
      </c>
      <c r="M539" s="1" t="s">
        <v>50</v>
      </c>
      <c r="N539">
        <v>8793</v>
      </c>
      <c r="O539">
        <v>1</v>
      </c>
      <c r="P539" s="1" t="s">
        <v>39</v>
      </c>
      <c r="Q539">
        <v>21</v>
      </c>
      <c r="R539">
        <v>3</v>
      </c>
      <c r="S539">
        <v>2</v>
      </c>
      <c r="T539">
        <v>9</v>
      </c>
      <c r="U539">
        <v>4</v>
      </c>
      <c r="V539">
        <v>2</v>
      </c>
      <c r="W539">
        <v>9</v>
      </c>
      <c r="X539">
        <v>7</v>
      </c>
      <c r="Y539">
        <v>1</v>
      </c>
      <c r="Z539">
        <v>7</v>
      </c>
      <c r="AA539">
        <v>0</v>
      </c>
      <c r="AB539" s="1" t="s">
        <v>48</v>
      </c>
      <c r="AC539" t="s">
        <v>37</v>
      </c>
      <c r="AD539" t="s">
        <v>38</v>
      </c>
      <c r="AE539" s="2">
        <v>977</v>
      </c>
    </row>
    <row r="540" spans="1:31" x14ac:dyDescent="0.35">
      <c r="A540">
        <v>41</v>
      </c>
      <c r="B540" s="1" t="s">
        <v>39</v>
      </c>
      <c r="C540" s="1" t="s">
        <v>62</v>
      </c>
      <c r="D540">
        <v>1</v>
      </c>
      <c r="E540">
        <v>3</v>
      </c>
      <c r="F540" s="1" t="s">
        <v>62</v>
      </c>
      <c r="G540">
        <v>4</v>
      </c>
      <c r="H540" s="1" t="s">
        <v>41</v>
      </c>
      <c r="I540">
        <v>2</v>
      </c>
      <c r="J540">
        <v>5</v>
      </c>
      <c r="K540" s="1" t="s">
        <v>55</v>
      </c>
      <c r="L540">
        <v>3</v>
      </c>
      <c r="M540" s="1" t="s">
        <v>43</v>
      </c>
      <c r="N540">
        <v>19189</v>
      </c>
      <c r="O540">
        <v>1</v>
      </c>
      <c r="P540" s="1" t="s">
        <v>39</v>
      </c>
      <c r="Q540">
        <v>12</v>
      </c>
      <c r="R540">
        <v>2</v>
      </c>
      <c r="S540">
        <v>1</v>
      </c>
      <c r="T540">
        <v>22</v>
      </c>
      <c r="U540">
        <v>3</v>
      </c>
      <c r="V540">
        <v>3</v>
      </c>
      <c r="W540">
        <v>22</v>
      </c>
      <c r="X540">
        <v>7</v>
      </c>
      <c r="Y540">
        <v>2</v>
      </c>
      <c r="Z540">
        <v>10</v>
      </c>
      <c r="AA540">
        <v>0</v>
      </c>
      <c r="AB540" s="1" t="s">
        <v>36</v>
      </c>
      <c r="AC540" t="s">
        <v>56</v>
      </c>
      <c r="AD540" t="s">
        <v>57</v>
      </c>
      <c r="AE540" s="2">
        <v>872.22727272727275</v>
      </c>
    </row>
    <row r="541" spans="1:31" x14ac:dyDescent="0.35">
      <c r="A541">
        <v>50</v>
      </c>
      <c r="B541" s="1" t="s">
        <v>39</v>
      </c>
      <c r="C541" s="1" t="s">
        <v>31</v>
      </c>
      <c r="D541">
        <v>8</v>
      </c>
      <c r="E541">
        <v>4</v>
      </c>
      <c r="F541" s="1" t="s">
        <v>60</v>
      </c>
      <c r="G541">
        <v>4</v>
      </c>
      <c r="H541" s="1" t="s">
        <v>41</v>
      </c>
      <c r="I541">
        <v>3</v>
      </c>
      <c r="J541">
        <v>1</v>
      </c>
      <c r="K541" s="1" t="s">
        <v>58</v>
      </c>
      <c r="L541">
        <v>2</v>
      </c>
      <c r="M541" s="1" t="s">
        <v>43</v>
      </c>
      <c r="N541">
        <v>3875</v>
      </c>
      <c r="O541">
        <v>7</v>
      </c>
      <c r="P541" s="1" t="s">
        <v>39</v>
      </c>
      <c r="Q541">
        <v>15</v>
      </c>
      <c r="R541">
        <v>4</v>
      </c>
      <c r="S541">
        <v>1</v>
      </c>
      <c r="T541">
        <v>4</v>
      </c>
      <c r="U541">
        <v>2</v>
      </c>
      <c r="V541">
        <v>3</v>
      </c>
      <c r="W541">
        <v>2</v>
      </c>
      <c r="X541">
        <v>2</v>
      </c>
      <c r="Y541">
        <v>2</v>
      </c>
      <c r="Z541">
        <v>2</v>
      </c>
      <c r="AA541">
        <v>0</v>
      </c>
      <c r="AB541" s="1" t="s">
        <v>82</v>
      </c>
      <c r="AC541" t="s">
        <v>46</v>
      </c>
      <c r="AD541" t="s">
        <v>47</v>
      </c>
      <c r="AE541" s="2">
        <v>1937.5</v>
      </c>
    </row>
    <row r="542" spans="1:31" x14ac:dyDescent="0.35">
      <c r="A542">
        <v>28</v>
      </c>
      <c r="B542" s="1" t="s">
        <v>30</v>
      </c>
      <c r="C542" s="1" t="s">
        <v>40</v>
      </c>
      <c r="D542">
        <v>1</v>
      </c>
      <c r="E542">
        <v>2</v>
      </c>
      <c r="F542" s="1" t="s">
        <v>32</v>
      </c>
      <c r="G542">
        <v>1</v>
      </c>
      <c r="H542" s="1" t="s">
        <v>33</v>
      </c>
      <c r="I542">
        <v>1</v>
      </c>
      <c r="J542">
        <v>1</v>
      </c>
      <c r="K542" s="1" t="s">
        <v>42</v>
      </c>
      <c r="L542">
        <v>2</v>
      </c>
      <c r="M542" s="1" t="s">
        <v>35</v>
      </c>
      <c r="N542">
        <v>2216</v>
      </c>
      <c r="O542">
        <v>7</v>
      </c>
      <c r="P542" s="1" t="s">
        <v>30</v>
      </c>
      <c r="Q542">
        <v>13</v>
      </c>
      <c r="R542">
        <v>4</v>
      </c>
      <c r="S542">
        <v>0</v>
      </c>
      <c r="T542">
        <v>10</v>
      </c>
      <c r="U542">
        <v>4</v>
      </c>
      <c r="V542">
        <v>3</v>
      </c>
      <c r="W542">
        <v>7</v>
      </c>
      <c r="X542">
        <v>7</v>
      </c>
      <c r="Y542">
        <v>3</v>
      </c>
      <c r="Z542">
        <v>7</v>
      </c>
      <c r="AA542">
        <v>1</v>
      </c>
      <c r="AB542" s="1" t="s">
        <v>48</v>
      </c>
      <c r="AC542" t="s">
        <v>46</v>
      </c>
      <c r="AD542" t="s">
        <v>38</v>
      </c>
      <c r="AE542" s="2">
        <v>316.57142857142856</v>
      </c>
    </row>
    <row r="543" spans="1:31" x14ac:dyDescent="0.35">
      <c r="A543">
        <v>36</v>
      </c>
      <c r="B543" s="1" t="s">
        <v>39</v>
      </c>
      <c r="C543" s="1" t="s">
        <v>40</v>
      </c>
      <c r="D543">
        <v>8</v>
      </c>
      <c r="E543">
        <v>3</v>
      </c>
      <c r="F543" s="1" t="s">
        <v>32</v>
      </c>
      <c r="G543">
        <v>1</v>
      </c>
      <c r="H543" s="1" t="s">
        <v>33</v>
      </c>
      <c r="I543">
        <v>4</v>
      </c>
      <c r="J543">
        <v>3</v>
      </c>
      <c r="K543" s="1" t="s">
        <v>59</v>
      </c>
      <c r="L543">
        <v>1</v>
      </c>
      <c r="M543" s="1" t="s">
        <v>43</v>
      </c>
      <c r="N543">
        <v>11713</v>
      </c>
      <c r="O543">
        <v>9</v>
      </c>
      <c r="P543" s="1" t="s">
        <v>39</v>
      </c>
      <c r="Q543">
        <v>14</v>
      </c>
      <c r="R543">
        <v>1</v>
      </c>
      <c r="S543">
        <v>1</v>
      </c>
      <c r="T543">
        <v>10</v>
      </c>
      <c r="U543">
        <v>2</v>
      </c>
      <c r="V543">
        <v>3</v>
      </c>
      <c r="W543">
        <v>8</v>
      </c>
      <c r="X543">
        <v>7</v>
      </c>
      <c r="Y543">
        <v>0</v>
      </c>
      <c r="Z543">
        <v>5</v>
      </c>
      <c r="AA543">
        <v>0</v>
      </c>
      <c r="AB543" s="1" t="s">
        <v>36</v>
      </c>
      <c r="AC543" t="s">
        <v>56</v>
      </c>
      <c r="AD543" t="s">
        <v>38</v>
      </c>
      <c r="AE543" s="2">
        <v>1464.125</v>
      </c>
    </row>
    <row r="544" spans="1:31" x14ac:dyDescent="0.35">
      <c r="A544">
        <v>38</v>
      </c>
      <c r="B544" s="1" t="s">
        <v>39</v>
      </c>
      <c r="C544" s="1" t="s">
        <v>40</v>
      </c>
      <c r="D544">
        <v>1</v>
      </c>
      <c r="E544">
        <v>3</v>
      </c>
      <c r="F544" s="1" t="s">
        <v>32</v>
      </c>
      <c r="G544">
        <v>3</v>
      </c>
      <c r="H544" s="1" t="s">
        <v>33</v>
      </c>
      <c r="I544">
        <v>3</v>
      </c>
      <c r="J544">
        <v>3</v>
      </c>
      <c r="K544" s="1" t="s">
        <v>51</v>
      </c>
      <c r="L544">
        <v>3</v>
      </c>
      <c r="M544" s="1" t="s">
        <v>35</v>
      </c>
      <c r="N544">
        <v>7861</v>
      </c>
      <c r="O544">
        <v>4</v>
      </c>
      <c r="P544" s="1" t="s">
        <v>30</v>
      </c>
      <c r="Q544">
        <v>14</v>
      </c>
      <c r="R544">
        <v>4</v>
      </c>
      <c r="S544">
        <v>0</v>
      </c>
      <c r="T544">
        <v>10</v>
      </c>
      <c r="U544">
        <v>4</v>
      </c>
      <c r="V544">
        <v>4</v>
      </c>
      <c r="W544">
        <v>1</v>
      </c>
      <c r="X544">
        <v>0</v>
      </c>
      <c r="Y544">
        <v>0</v>
      </c>
      <c r="Z544">
        <v>0</v>
      </c>
      <c r="AA544">
        <v>0</v>
      </c>
      <c r="AB544" s="1" t="s">
        <v>36</v>
      </c>
      <c r="AC544" t="s">
        <v>37</v>
      </c>
      <c r="AD544" t="s">
        <v>47</v>
      </c>
      <c r="AE544" s="2">
        <v>7861</v>
      </c>
    </row>
    <row r="545" spans="1:31" x14ac:dyDescent="0.35">
      <c r="A545">
        <v>44</v>
      </c>
      <c r="B545" s="1" t="s">
        <v>39</v>
      </c>
      <c r="C545" s="1" t="s">
        <v>40</v>
      </c>
      <c r="D545">
        <v>24</v>
      </c>
      <c r="E545">
        <v>3</v>
      </c>
      <c r="F545" s="1" t="s">
        <v>49</v>
      </c>
      <c r="G545">
        <v>1</v>
      </c>
      <c r="H545" s="1" t="s">
        <v>41</v>
      </c>
      <c r="I545">
        <v>1</v>
      </c>
      <c r="J545">
        <v>1</v>
      </c>
      <c r="K545" s="1" t="s">
        <v>45</v>
      </c>
      <c r="L545">
        <v>3</v>
      </c>
      <c r="M545" s="1" t="s">
        <v>35</v>
      </c>
      <c r="N545">
        <v>3708</v>
      </c>
      <c r="O545">
        <v>2</v>
      </c>
      <c r="P545" s="1" t="s">
        <v>39</v>
      </c>
      <c r="Q545">
        <v>14</v>
      </c>
      <c r="R545">
        <v>3</v>
      </c>
      <c r="S545">
        <v>0</v>
      </c>
      <c r="T545">
        <v>9</v>
      </c>
      <c r="U545">
        <v>5</v>
      </c>
      <c r="V545">
        <v>3</v>
      </c>
      <c r="W545">
        <v>5</v>
      </c>
      <c r="X545">
        <v>2</v>
      </c>
      <c r="Y545">
        <v>1</v>
      </c>
      <c r="Z545">
        <v>4</v>
      </c>
      <c r="AA545">
        <v>0</v>
      </c>
      <c r="AB545" s="1" t="s">
        <v>36</v>
      </c>
      <c r="AC545" t="s">
        <v>46</v>
      </c>
      <c r="AD545" t="s">
        <v>53</v>
      </c>
      <c r="AE545" s="2">
        <v>741.6</v>
      </c>
    </row>
    <row r="546" spans="1:31" x14ac:dyDescent="0.35">
      <c r="A546">
        <v>47</v>
      </c>
      <c r="B546" s="1" t="s">
        <v>39</v>
      </c>
      <c r="C546" s="1" t="s">
        <v>31</v>
      </c>
      <c r="D546">
        <v>3</v>
      </c>
      <c r="E546">
        <v>3</v>
      </c>
      <c r="F546" s="1" t="s">
        <v>49</v>
      </c>
      <c r="G546">
        <v>4</v>
      </c>
      <c r="H546" s="1" t="s">
        <v>33</v>
      </c>
      <c r="I546">
        <v>3</v>
      </c>
      <c r="J546">
        <v>4</v>
      </c>
      <c r="K546" s="1" t="s">
        <v>34</v>
      </c>
      <c r="L546">
        <v>3</v>
      </c>
      <c r="M546" s="1" t="s">
        <v>50</v>
      </c>
      <c r="N546">
        <v>13770</v>
      </c>
      <c r="O546">
        <v>9</v>
      </c>
      <c r="P546" s="1" t="s">
        <v>30</v>
      </c>
      <c r="Q546">
        <v>12</v>
      </c>
      <c r="R546">
        <v>4</v>
      </c>
      <c r="S546">
        <v>2</v>
      </c>
      <c r="T546">
        <v>28</v>
      </c>
      <c r="U546">
        <v>2</v>
      </c>
      <c r="V546">
        <v>2</v>
      </c>
      <c r="W546">
        <v>22</v>
      </c>
      <c r="X546">
        <v>2</v>
      </c>
      <c r="Y546">
        <v>11</v>
      </c>
      <c r="Z546">
        <v>13</v>
      </c>
      <c r="AA546">
        <v>0</v>
      </c>
      <c r="AB546" s="1" t="s">
        <v>82</v>
      </c>
      <c r="AC546" t="s">
        <v>56</v>
      </c>
      <c r="AD546" t="s">
        <v>57</v>
      </c>
      <c r="AE546" s="2">
        <v>625.90909090909088</v>
      </c>
    </row>
    <row r="547" spans="1:31" x14ac:dyDescent="0.35">
      <c r="A547">
        <v>30</v>
      </c>
      <c r="B547" s="1" t="s">
        <v>39</v>
      </c>
      <c r="C547" s="1" t="s">
        <v>31</v>
      </c>
      <c r="D547">
        <v>27</v>
      </c>
      <c r="E547">
        <v>5</v>
      </c>
      <c r="F547" s="1" t="s">
        <v>60</v>
      </c>
      <c r="G547">
        <v>3</v>
      </c>
      <c r="H547" s="1" t="s">
        <v>41</v>
      </c>
      <c r="I547">
        <v>3</v>
      </c>
      <c r="J547">
        <v>2</v>
      </c>
      <c r="K547" s="1" t="s">
        <v>34</v>
      </c>
      <c r="L547">
        <v>4</v>
      </c>
      <c r="M547" s="1" t="s">
        <v>50</v>
      </c>
      <c r="N547">
        <v>5304</v>
      </c>
      <c r="O547">
        <v>7</v>
      </c>
      <c r="P547" s="1" t="s">
        <v>39</v>
      </c>
      <c r="Q547">
        <v>23</v>
      </c>
      <c r="R547">
        <v>4</v>
      </c>
      <c r="S547">
        <v>1</v>
      </c>
      <c r="T547">
        <v>10</v>
      </c>
      <c r="U547">
        <v>2</v>
      </c>
      <c r="V547">
        <v>2</v>
      </c>
      <c r="W547">
        <v>8</v>
      </c>
      <c r="X547">
        <v>7</v>
      </c>
      <c r="Y547">
        <v>7</v>
      </c>
      <c r="Z547">
        <v>7</v>
      </c>
      <c r="AA547">
        <v>0</v>
      </c>
      <c r="AB547" s="1" t="s">
        <v>48</v>
      </c>
      <c r="AC547" t="s">
        <v>37</v>
      </c>
      <c r="AD547" t="s">
        <v>38</v>
      </c>
      <c r="AE547" s="2">
        <v>663</v>
      </c>
    </row>
    <row r="548" spans="1:31" x14ac:dyDescent="0.35">
      <c r="A548">
        <v>29</v>
      </c>
      <c r="B548" s="1" t="s">
        <v>39</v>
      </c>
      <c r="C548" s="1" t="s">
        <v>31</v>
      </c>
      <c r="D548">
        <v>10</v>
      </c>
      <c r="E548">
        <v>3</v>
      </c>
      <c r="F548" s="1" t="s">
        <v>32</v>
      </c>
      <c r="G548">
        <v>3</v>
      </c>
      <c r="H548" s="1" t="s">
        <v>41</v>
      </c>
      <c r="I548">
        <v>3</v>
      </c>
      <c r="J548">
        <v>1</v>
      </c>
      <c r="K548" s="1" t="s">
        <v>58</v>
      </c>
      <c r="L548">
        <v>3</v>
      </c>
      <c r="M548" s="1" t="s">
        <v>35</v>
      </c>
      <c r="N548">
        <v>2642</v>
      </c>
      <c r="O548">
        <v>1</v>
      </c>
      <c r="P548" s="1" t="s">
        <v>39</v>
      </c>
      <c r="Q548">
        <v>11</v>
      </c>
      <c r="R548">
        <v>3</v>
      </c>
      <c r="S548">
        <v>0</v>
      </c>
      <c r="T548">
        <v>1</v>
      </c>
      <c r="U548">
        <v>6</v>
      </c>
      <c r="V548">
        <v>3</v>
      </c>
      <c r="W548">
        <v>1</v>
      </c>
      <c r="X548">
        <v>0</v>
      </c>
      <c r="Y548">
        <v>0</v>
      </c>
      <c r="Z548">
        <v>0</v>
      </c>
      <c r="AA548">
        <v>0</v>
      </c>
      <c r="AB548" s="1" t="s">
        <v>48</v>
      </c>
      <c r="AC548" t="s">
        <v>46</v>
      </c>
      <c r="AD548" t="s">
        <v>47</v>
      </c>
      <c r="AE548" s="2">
        <v>2642</v>
      </c>
    </row>
    <row r="549" spans="1:31" x14ac:dyDescent="0.35">
      <c r="A549">
        <v>42</v>
      </c>
      <c r="B549" s="1" t="s">
        <v>30</v>
      </c>
      <c r="C549" s="1" t="s">
        <v>40</v>
      </c>
      <c r="D549">
        <v>19</v>
      </c>
      <c r="E549">
        <v>3</v>
      </c>
      <c r="F549" s="1" t="s">
        <v>49</v>
      </c>
      <c r="G549">
        <v>3</v>
      </c>
      <c r="H549" s="1" t="s">
        <v>41</v>
      </c>
      <c r="I549">
        <v>4</v>
      </c>
      <c r="J549">
        <v>1</v>
      </c>
      <c r="K549" s="1" t="s">
        <v>42</v>
      </c>
      <c r="L549">
        <v>3</v>
      </c>
      <c r="M549" s="1" t="s">
        <v>50</v>
      </c>
      <c r="N549">
        <v>2759</v>
      </c>
      <c r="O549">
        <v>6</v>
      </c>
      <c r="P549" s="1" t="s">
        <v>30</v>
      </c>
      <c r="Q549">
        <v>12</v>
      </c>
      <c r="R549">
        <v>4</v>
      </c>
      <c r="S549">
        <v>0</v>
      </c>
      <c r="T549">
        <v>7</v>
      </c>
      <c r="U549">
        <v>2</v>
      </c>
      <c r="V549">
        <v>3</v>
      </c>
      <c r="W549">
        <v>2</v>
      </c>
      <c r="X549">
        <v>2</v>
      </c>
      <c r="Y549">
        <v>2</v>
      </c>
      <c r="Z549">
        <v>2</v>
      </c>
      <c r="AA549">
        <v>1</v>
      </c>
      <c r="AB549" s="1" t="s">
        <v>36</v>
      </c>
      <c r="AC549" t="s">
        <v>46</v>
      </c>
      <c r="AD549" t="s">
        <v>47</v>
      </c>
      <c r="AE549" s="2">
        <v>1379.5</v>
      </c>
    </row>
    <row r="550" spans="1:31" x14ac:dyDescent="0.35">
      <c r="A550">
        <v>43</v>
      </c>
      <c r="B550" s="1" t="s">
        <v>39</v>
      </c>
      <c r="C550" s="1" t="s">
        <v>31</v>
      </c>
      <c r="D550">
        <v>15</v>
      </c>
      <c r="E550">
        <v>3</v>
      </c>
      <c r="F550" s="1" t="s">
        <v>32</v>
      </c>
      <c r="G550">
        <v>4</v>
      </c>
      <c r="H550" s="1" t="s">
        <v>41</v>
      </c>
      <c r="I550">
        <v>2</v>
      </c>
      <c r="J550">
        <v>2</v>
      </c>
      <c r="K550" s="1" t="s">
        <v>34</v>
      </c>
      <c r="L550">
        <v>4</v>
      </c>
      <c r="M550" s="1" t="s">
        <v>43</v>
      </c>
      <c r="N550">
        <v>6804</v>
      </c>
      <c r="O550">
        <v>3</v>
      </c>
      <c r="P550" s="1" t="s">
        <v>39</v>
      </c>
      <c r="Q550">
        <v>18</v>
      </c>
      <c r="R550">
        <v>3</v>
      </c>
      <c r="S550">
        <v>1</v>
      </c>
      <c r="T550">
        <v>7</v>
      </c>
      <c r="U550">
        <v>5</v>
      </c>
      <c r="V550">
        <v>3</v>
      </c>
      <c r="W550">
        <v>2</v>
      </c>
      <c r="X550">
        <v>2</v>
      </c>
      <c r="Y550">
        <v>2</v>
      </c>
      <c r="Z550">
        <v>2</v>
      </c>
      <c r="AA550">
        <v>0</v>
      </c>
      <c r="AB550" s="1" t="s">
        <v>36</v>
      </c>
      <c r="AC550" t="s">
        <v>37</v>
      </c>
      <c r="AD550" t="s">
        <v>47</v>
      </c>
      <c r="AE550" s="2">
        <v>3402</v>
      </c>
    </row>
    <row r="551" spans="1:31" x14ac:dyDescent="0.35">
      <c r="A551">
        <v>34</v>
      </c>
      <c r="B551" s="1" t="s">
        <v>39</v>
      </c>
      <c r="C551" s="1" t="s">
        <v>40</v>
      </c>
      <c r="D551">
        <v>8</v>
      </c>
      <c r="E551">
        <v>2</v>
      </c>
      <c r="F551" s="1" t="s">
        <v>49</v>
      </c>
      <c r="G551">
        <v>2</v>
      </c>
      <c r="H551" s="1" t="s">
        <v>33</v>
      </c>
      <c r="I551">
        <v>3</v>
      </c>
      <c r="J551">
        <v>2</v>
      </c>
      <c r="K551" s="1" t="s">
        <v>52</v>
      </c>
      <c r="L551">
        <v>3</v>
      </c>
      <c r="M551" s="1" t="s">
        <v>35</v>
      </c>
      <c r="N551">
        <v>6142</v>
      </c>
      <c r="O551">
        <v>3</v>
      </c>
      <c r="P551" s="1" t="s">
        <v>39</v>
      </c>
      <c r="Q551">
        <v>11</v>
      </c>
      <c r="R551">
        <v>4</v>
      </c>
      <c r="S551">
        <v>0</v>
      </c>
      <c r="T551">
        <v>10</v>
      </c>
      <c r="U551">
        <v>2</v>
      </c>
      <c r="V551">
        <v>3</v>
      </c>
      <c r="W551">
        <v>5</v>
      </c>
      <c r="X551">
        <v>1</v>
      </c>
      <c r="Y551">
        <v>4</v>
      </c>
      <c r="Z551">
        <v>3</v>
      </c>
      <c r="AA551">
        <v>0</v>
      </c>
      <c r="AB551" s="1" t="s">
        <v>48</v>
      </c>
      <c r="AC551" t="s">
        <v>37</v>
      </c>
      <c r="AD551" t="s">
        <v>53</v>
      </c>
      <c r="AE551" s="2">
        <v>1228.4000000000001</v>
      </c>
    </row>
    <row r="552" spans="1:31" x14ac:dyDescent="0.35">
      <c r="A552">
        <v>23</v>
      </c>
      <c r="B552" s="1" t="s">
        <v>39</v>
      </c>
      <c r="C552" s="1" t="s">
        <v>40</v>
      </c>
      <c r="D552">
        <v>9</v>
      </c>
      <c r="E552">
        <v>1</v>
      </c>
      <c r="F552" s="1" t="s">
        <v>49</v>
      </c>
      <c r="G552">
        <v>2</v>
      </c>
      <c r="H552" s="1" t="s">
        <v>41</v>
      </c>
      <c r="I552">
        <v>3</v>
      </c>
      <c r="J552">
        <v>1</v>
      </c>
      <c r="K552" s="1" t="s">
        <v>45</v>
      </c>
      <c r="L552">
        <v>1</v>
      </c>
      <c r="M552" s="1" t="s">
        <v>43</v>
      </c>
      <c r="N552">
        <v>2500</v>
      </c>
      <c r="O552">
        <v>1</v>
      </c>
      <c r="P552" s="1" t="s">
        <v>39</v>
      </c>
      <c r="Q552">
        <v>14</v>
      </c>
      <c r="R552">
        <v>4</v>
      </c>
      <c r="S552">
        <v>1</v>
      </c>
      <c r="T552">
        <v>5</v>
      </c>
      <c r="U552">
        <v>2</v>
      </c>
      <c r="V552">
        <v>4</v>
      </c>
      <c r="W552">
        <v>4</v>
      </c>
      <c r="X552">
        <v>3</v>
      </c>
      <c r="Y552">
        <v>0</v>
      </c>
      <c r="Z552">
        <v>2</v>
      </c>
      <c r="AA552">
        <v>0</v>
      </c>
      <c r="AB552" s="1" t="s">
        <v>54</v>
      </c>
      <c r="AC552" t="s">
        <v>46</v>
      </c>
      <c r="AD552" t="s">
        <v>53</v>
      </c>
      <c r="AE552" s="2">
        <v>625</v>
      </c>
    </row>
    <row r="553" spans="1:31" x14ac:dyDescent="0.35">
      <c r="A553">
        <v>39</v>
      </c>
      <c r="B553" s="1" t="s">
        <v>39</v>
      </c>
      <c r="C553" s="1" t="s">
        <v>62</v>
      </c>
      <c r="D553">
        <v>3</v>
      </c>
      <c r="E553">
        <v>3</v>
      </c>
      <c r="F553" s="1" t="s">
        <v>62</v>
      </c>
      <c r="G553">
        <v>3</v>
      </c>
      <c r="H553" s="1" t="s">
        <v>33</v>
      </c>
      <c r="I553">
        <v>4</v>
      </c>
      <c r="J553">
        <v>2</v>
      </c>
      <c r="K553" s="1" t="s">
        <v>62</v>
      </c>
      <c r="L553">
        <v>2</v>
      </c>
      <c r="M553" s="1" t="s">
        <v>43</v>
      </c>
      <c r="N553">
        <v>6389</v>
      </c>
      <c r="O553">
        <v>9</v>
      </c>
      <c r="P553" s="1" t="s">
        <v>39</v>
      </c>
      <c r="Q553">
        <v>15</v>
      </c>
      <c r="R553">
        <v>3</v>
      </c>
      <c r="S553">
        <v>1</v>
      </c>
      <c r="T553">
        <v>12</v>
      </c>
      <c r="U553">
        <v>3</v>
      </c>
      <c r="V553">
        <v>1</v>
      </c>
      <c r="W553">
        <v>8</v>
      </c>
      <c r="X553">
        <v>3</v>
      </c>
      <c r="Y553">
        <v>3</v>
      </c>
      <c r="Z553">
        <v>6</v>
      </c>
      <c r="AA553">
        <v>0</v>
      </c>
      <c r="AB553" s="1" t="s">
        <v>36</v>
      </c>
      <c r="AC553" t="s">
        <v>37</v>
      </c>
      <c r="AD553" t="s">
        <v>38</v>
      </c>
      <c r="AE553" s="2">
        <v>798.625</v>
      </c>
    </row>
    <row r="554" spans="1:31" x14ac:dyDescent="0.35">
      <c r="A554">
        <v>56</v>
      </c>
      <c r="B554" s="1" t="s">
        <v>39</v>
      </c>
      <c r="C554" s="1" t="s">
        <v>40</v>
      </c>
      <c r="D554">
        <v>9</v>
      </c>
      <c r="E554">
        <v>3</v>
      </c>
      <c r="F554" s="1" t="s">
        <v>49</v>
      </c>
      <c r="G554">
        <v>3</v>
      </c>
      <c r="H554" s="1" t="s">
        <v>41</v>
      </c>
      <c r="I554">
        <v>3</v>
      </c>
      <c r="J554">
        <v>4</v>
      </c>
      <c r="K554" s="1" t="s">
        <v>52</v>
      </c>
      <c r="L554">
        <v>4</v>
      </c>
      <c r="M554" s="1" t="s">
        <v>43</v>
      </c>
      <c r="N554">
        <v>11103</v>
      </c>
      <c r="O554">
        <v>7</v>
      </c>
      <c r="P554" s="1" t="s">
        <v>39</v>
      </c>
      <c r="Q554">
        <v>11</v>
      </c>
      <c r="R554">
        <v>3</v>
      </c>
      <c r="S554">
        <v>0</v>
      </c>
      <c r="T554">
        <v>30</v>
      </c>
      <c r="U554">
        <v>1</v>
      </c>
      <c r="V554">
        <v>2</v>
      </c>
      <c r="W554">
        <v>10</v>
      </c>
      <c r="X554">
        <v>7</v>
      </c>
      <c r="Y554">
        <v>1</v>
      </c>
      <c r="Z554">
        <v>1</v>
      </c>
      <c r="AA554">
        <v>0</v>
      </c>
      <c r="AB554" s="1" t="s">
        <v>82</v>
      </c>
      <c r="AC554" t="s">
        <v>56</v>
      </c>
      <c r="AD554" t="s">
        <v>38</v>
      </c>
      <c r="AE554" s="2">
        <v>1110.3</v>
      </c>
    </row>
    <row r="555" spans="1:31" x14ac:dyDescent="0.35">
      <c r="A555">
        <v>40</v>
      </c>
      <c r="B555" s="1" t="s">
        <v>39</v>
      </c>
      <c r="C555" s="1" t="s">
        <v>40</v>
      </c>
      <c r="D555">
        <v>2</v>
      </c>
      <c r="E555">
        <v>1</v>
      </c>
      <c r="F555" s="1" t="s">
        <v>49</v>
      </c>
      <c r="G555">
        <v>4</v>
      </c>
      <c r="H555" s="1" t="s">
        <v>33</v>
      </c>
      <c r="I555">
        <v>2</v>
      </c>
      <c r="J555">
        <v>1</v>
      </c>
      <c r="K555" s="1" t="s">
        <v>42</v>
      </c>
      <c r="L555">
        <v>4</v>
      </c>
      <c r="M555" s="1" t="s">
        <v>35</v>
      </c>
      <c r="N555">
        <v>2342</v>
      </c>
      <c r="O555">
        <v>0</v>
      </c>
      <c r="P555" s="1" t="s">
        <v>30</v>
      </c>
      <c r="Q555">
        <v>20</v>
      </c>
      <c r="R555">
        <v>4</v>
      </c>
      <c r="S555">
        <v>0</v>
      </c>
      <c r="T555">
        <v>5</v>
      </c>
      <c r="U555">
        <v>2</v>
      </c>
      <c r="V555">
        <v>2</v>
      </c>
      <c r="W555">
        <v>4</v>
      </c>
      <c r="X555">
        <v>2</v>
      </c>
      <c r="Y555">
        <v>2</v>
      </c>
      <c r="Z555">
        <v>3</v>
      </c>
      <c r="AA555">
        <v>0</v>
      </c>
      <c r="AB555" s="1" t="s">
        <v>36</v>
      </c>
      <c r="AC555" t="s">
        <v>46</v>
      </c>
      <c r="AD555" t="s">
        <v>53</v>
      </c>
      <c r="AE555" s="2">
        <v>585.5</v>
      </c>
    </row>
    <row r="556" spans="1:31" x14ac:dyDescent="0.35">
      <c r="A556">
        <v>27</v>
      </c>
      <c r="B556" s="1" t="s">
        <v>39</v>
      </c>
      <c r="C556" s="1" t="s">
        <v>40</v>
      </c>
      <c r="D556">
        <v>7</v>
      </c>
      <c r="E556">
        <v>3</v>
      </c>
      <c r="F556" s="1" t="s">
        <v>49</v>
      </c>
      <c r="G556">
        <v>4</v>
      </c>
      <c r="H556" s="1" t="s">
        <v>33</v>
      </c>
      <c r="I556">
        <v>2</v>
      </c>
      <c r="J556">
        <v>2</v>
      </c>
      <c r="K556" s="1" t="s">
        <v>52</v>
      </c>
      <c r="L556">
        <v>1</v>
      </c>
      <c r="M556" s="1" t="s">
        <v>35</v>
      </c>
      <c r="N556">
        <v>6811</v>
      </c>
      <c r="O556">
        <v>8</v>
      </c>
      <c r="P556" s="1" t="s">
        <v>39</v>
      </c>
      <c r="Q556">
        <v>19</v>
      </c>
      <c r="R556">
        <v>1</v>
      </c>
      <c r="S556">
        <v>0</v>
      </c>
      <c r="T556">
        <v>9</v>
      </c>
      <c r="U556">
        <v>2</v>
      </c>
      <c r="V556">
        <v>1</v>
      </c>
      <c r="W556">
        <v>7</v>
      </c>
      <c r="X556">
        <v>6</v>
      </c>
      <c r="Y556">
        <v>0</v>
      </c>
      <c r="Z556">
        <v>7</v>
      </c>
      <c r="AA556">
        <v>0</v>
      </c>
      <c r="AB556" s="1" t="s">
        <v>48</v>
      </c>
      <c r="AC556" t="s">
        <v>37</v>
      </c>
      <c r="AD556" t="s">
        <v>38</v>
      </c>
      <c r="AE556" s="2">
        <v>973</v>
      </c>
    </row>
    <row r="557" spans="1:31" x14ac:dyDescent="0.35">
      <c r="A557">
        <v>29</v>
      </c>
      <c r="B557" s="1" t="s">
        <v>39</v>
      </c>
      <c r="C557" s="1" t="s">
        <v>31</v>
      </c>
      <c r="D557">
        <v>10</v>
      </c>
      <c r="E557">
        <v>3</v>
      </c>
      <c r="F557" s="1" t="s">
        <v>60</v>
      </c>
      <c r="G557">
        <v>4</v>
      </c>
      <c r="H557" s="1" t="s">
        <v>41</v>
      </c>
      <c r="I557">
        <v>3</v>
      </c>
      <c r="J557">
        <v>1</v>
      </c>
      <c r="K557" s="1" t="s">
        <v>58</v>
      </c>
      <c r="L557">
        <v>2</v>
      </c>
      <c r="M557" s="1" t="s">
        <v>50</v>
      </c>
      <c r="N557">
        <v>2297</v>
      </c>
      <c r="O557">
        <v>1</v>
      </c>
      <c r="P557" s="1" t="s">
        <v>39</v>
      </c>
      <c r="Q557">
        <v>14</v>
      </c>
      <c r="R557">
        <v>4</v>
      </c>
      <c r="S557">
        <v>2</v>
      </c>
      <c r="T557">
        <v>2</v>
      </c>
      <c r="U557">
        <v>2</v>
      </c>
      <c r="V557">
        <v>3</v>
      </c>
      <c r="W557">
        <v>2</v>
      </c>
      <c r="X557">
        <v>2</v>
      </c>
      <c r="Y557">
        <v>2</v>
      </c>
      <c r="Z557">
        <v>2</v>
      </c>
      <c r="AA557">
        <v>0</v>
      </c>
      <c r="AB557" s="1" t="s">
        <v>48</v>
      </c>
      <c r="AC557" t="s">
        <v>46</v>
      </c>
      <c r="AD557" t="s">
        <v>47</v>
      </c>
      <c r="AE557" s="2">
        <v>1148.5</v>
      </c>
    </row>
    <row r="558" spans="1:31" x14ac:dyDescent="0.35">
      <c r="A558">
        <v>53</v>
      </c>
      <c r="B558" s="1" t="s">
        <v>39</v>
      </c>
      <c r="C558" s="1" t="s">
        <v>40</v>
      </c>
      <c r="D558">
        <v>6</v>
      </c>
      <c r="E558">
        <v>3</v>
      </c>
      <c r="F558" s="1" t="s">
        <v>32</v>
      </c>
      <c r="G558">
        <v>4</v>
      </c>
      <c r="H558" s="1" t="s">
        <v>41</v>
      </c>
      <c r="I558">
        <v>3</v>
      </c>
      <c r="J558">
        <v>2</v>
      </c>
      <c r="K558" s="1" t="s">
        <v>45</v>
      </c>
      <c r="L558">
        <v>4</v>
      </c>
      <c r="M558" s="1" t="s">
        <v>35</v>
      </c>
      <c r="N558">
        <v>2450</v>
      </c>
      <c r="O558">
        <v>2</v>
      </c>
      <c r="P558" s="1" t="s">
        <v>39</v>
      </c>
      <c r="Q558">
        <v>17</v>
      </c>
      <c r="R558">
        <v>4</v>
      </c>
      <c r="S558">
        <v>0</v>
      </c>
      <c r="T558">
        <v>19</v>
      </c>
      <c r="U558">
        <v>4</v>
      </c>
      <c r="V558">
        <v>3</v>
      </c>
      <c r="W558">
        <v>2</v>
      </c>
      <c r="X558">
        <v>2</v>
      </c>
      <c r="Y558">
        <v>2</v>
      </c>
      <c r="Z558">
        <v>2</v>
      </c>
      <c r="AA558">
        <v>0</v>
      </c>
      <c r="AB558" s="1" t="s">
        <v>82</v>
      </c>
      <c r="AC558" t="s">
        <v>46</v>
      </c>
      <c r="AD558" t="s">
        <v>47</v>
      </c>
      <c r="AE558" s="2">
        <v>1225</v>
      </c>
    </row>
    <row r="559" spans="1:31" x14ac:dyDescent="0.35">
      <c r="A559">
        <v>35</v>
      </c>
      <c r="B559" s="1" t="s">
        <v>39</v>
      </c>
      <c r="C559" s="1" t="s">
        <v>40</v>
      </c>
      <c r="D559">
        <v>2</v>
      </c>
      <c r="E559">
        <v>4</v>
      </c>
      <c r="F559" s="1" t="s">
        <v>32</v>
      </c>
      <c r="G559">
        <v>4</v>
      </c>
      <c r="H559" s="1" t="s">
        <v>33</v>
      </c>
      <c r="I559">
        <v>3</v>
      </c>
      <c r="J559">
        <v>2</v>
      </c>
      <c r="K559" s="1" t="s">
        <v>52</v>
      </c>
      <c r="L559">
        <v>1</v>
      </c>
      <c r="M559" s="1" t="s">
        <v>50</v>
      </c>
      <c r="N559">
        <v>5093</v>
      </c>
      <c r="O559">
        <v>2</v>
      </c>
      <c r="P559" s="1" t="s">
        <v>39</v>
      </c>
      <c r="Q559">
        <v>11</v>
      </c>
      <c r="R559">
        <v>1</v>
      </c>
      <c r="S559">
        <v>1</v>
      </c>
      <c r="T559">
        <v>16</v>
      </c>
      <c r="U559">
        <v>2</v>
      </c>
      <c r="V559">
        <v>4</v>
      </c>
      <c r="W559">
        <v>1</v>
      </c>
      <c r="X559">
        <v>0</v>
      </c>
      <c r="Y559">
        <v>0</v>
      </c>
      <c r="Z559">
        <v>0</v>
      </c>
      <c r="AA559">
        <v>0</v>
      </c>
      <c r="AB559" s="1" t="s">
        <v>48</v>
      </c>
      <c r="AC559" t="s">
        <v>37</v>
      </c>
      <c r="AD559" t="s">
        <v>47</v>
      </c>
      <c r="AE559" s="2">
        <v>5093</v>
      </c>
    </row>
    <row r="560" spans="1:31" x14ac:dyDescent="0.35">
      <c r="A560">
        <v>32</v>
      </c>
      <c r="B560" s="1" t="s">
        <v>39</v>
      </c>
      <c r="C560" s="1" t="s">
        <v>40</v>
      </c>
      <c r="D560">
        <v>24</v>
      </c>
      <c r="E560">
        <v>4</v>
      </c>
      <c r="F560" s="1" t="s">
        <v>32</v>
      </c>
      <c r="G560">
        <v>1</v>
      </c>
      <c r="H560" s="1" t="s">
        <v>41</v>
      </c>
      <c r="I560">
        <v>3</v>
      </c>
      <c r="J560">
        <v>2</v>
      </c>
      <c r="K560" s="1" t="s">
        <v>45</v>
      </c>
      <c r="L560">
        <v>4</v>
      </c>
      <c r="M560" s="1" t="s">
        <v>43</v>
      </c>
      <c r="N560">
        <v>5309</v>
      </c>
      <c r="O560">
        <v>1</v>
      </c>
      <c r="P560" s="1" t="s">
        <v>39</v>
      </c>
      <c r="Q560">
        <v>15</v>
      </c>
      <c r="R560">
        <v>4</v>
      </c>
      <c r="S560">
        <v>2</v>
      </c>
      <c r="T560">
        <v>10</v>
      </c>
      <c r="U560">
        <v>2</v>
      </c>
      <c r="V560">
        <v>3</v>
      </c>
      <c r="W560">
        <v>10</v>
      </c>
      <c r="X560">
        <v>8</v>
      </c>
      <c r="Y560">
        <v>4</v>
      </c>
      <c r="Z560">
        <v>7</v>
      </c>
      <c r="AA560">
        <v>0</v>
      </c>
      <c r="AB560" s="1" t="s">
        <v>48</v>
      </c>
      <c r="AC560" t="s">
        <v>37</v>
      </c>
      <c r="AD560" t="s">
        <v>38</v>
      </c>
      <c r="AE560" s="2">
        <v>530.9</v>
      </c>
    </row>
    <row r="561" spans="1:31" x14ac:dyDescent="0.35">
      <c r="A561">
        <v>38</v>
      </c>
      <c r="B561" s="1" t="s">
        <v>39</v>
      </c>
      <c r="C561" s="1" t="s">
        <v>40</v>
      </c>
      <c r="D561">
        <v>2</v>
      </c>
      <c r="E561">
        <v>5</v>
      </c>
      <c r="F561" s="1" t="s">
        <v>49</v>
      </c>
      <c r="G561">
        <v>4</v>
      </c>
      <c r="H561" s="1" t="s">
        <v>41</v>
      </c>
      <c r="I561">
        <v>3</v>
      </c>
      <c r="J561">
        <v>1</v>
      </c>
      <c r="K561" s="1" t="s">
        <v>42</v>
      </c>
      <c r="L561">
        <v>3</v>
      </c>
      <c r="M561" s="1" t="s">
        <v>43</v>
      </c>
      <c r="N561">
        <v>3057</v>
      </c>
      <c r="O561">
        <v>6</v>
      </c>
      <c r="P561" s="1" t="s">
        <v>30</v>
      </c>
      <c r="Q561">
        <v>13</v>
      </c>
      <c r="R561">
        <v>2</v>
      </c>
      <c r="S561">
        <v>1</v>
      </c>
      <c r="T561">
        <v>6</v>
      </c>
      <c r="U561">
        <v>0</v>
      </c>
      <c r="V561">
        <v>1</v>
      </c>
      <c r="W561">
        <v>1</v>
      </c>
      <c r="X561">
        <v>0</v>
      </c>
      <c r="Y561">
        <v>0</v>
      </c>
      <c r="Z561">
        <v>1</v>
      </c>
      <c r="AA561">
        <v>0</v>
      </c>
      <c r="AB561" s="1" t="s">
        <v>36</v>
      </c>
      <c r="AC561" t="s">
        <v>46</v>
      </c>
      <c r="AD561" t="s">
        <v>47</v>
      </c>
      <c r="AE561" s="2">
        <v>3057</v>
      </c>
    </row>
    <row r="562" spans="1:31" x14ac:dyDescent="0.35">
      <c r="A562">
        <v>34</v>
      </c>
      <c r="B562" s="1" t="s">
        <v>39</v>
      </c>
      <c r="C562" s="1" t="s">
        <v>40</v>
      </c>
      <c r="D562">
        <v>8</v>
      </c>
      <c r="E562">
        <v>5</v>
      </c>
      <c r="F562" s="1" t="s">
        <v>32</v>
      </c>
      <c r="G562">
        <v>2</v>
      </c>
      <c r="H562" s="1" t="s">
        <v>33</v>
      </c>
      <c r="I562">
        <v>3</v>
      </c>
      <c r="J562">
        <v>2</v>
      </c>
      <c r="K562" s="1" t="s">
        <v>51</v>
      </c>
      <c r="L562">
        <v>1</v>
      </c>
      <c r="M562" s="1" t="s">
        <v>50</v>
      </c>
      <c r="N562">
        <v>5121</v>
      </c>
      <c r="O562">
        <v>3</v>
      </c>
      <c r="P562" s="1" t="s">
        <v>39</v>
      </c>
      <c r="Q562">
        <v>14</v>
      </c>
      <c r="R562">
        <v>3</v>
      </c>
      <c r="S562">
        <v>1</v>
      </c>
      <c r="T562">
        <v>7</v>
      </c>
      <c r="U562">
        <v>3</v>
      </c>
      <c r="V562">
        <v>3</v>
      </c>
      <c r="W562">
        <v>0</v>
      </c>
      <c r="X562">
        <v>0</v>
      </c>
      <c r="Y562">
        <v>0</v>
      </c>
      <c r="Z562">
        <v>0</v>
      </c>
      <c r="AA562">
        <v>0</v>
      </c>
      <c r="AB562" s="1" t="s">
        <v>48</v>
      </c>
      <c r="AC562" t="s">
        <v>37</v>
      </c>
      <c r="AD562" t="s">
        <v>47</v>
      </c>
      <c r="AE562" s="2">
        <v>5121</v>
      </c>
    </row>
    <row r="563" spans="1:31" x14ac:dyDescent="0.35">
      <c r="A563">
        <v>52</v>
      </c>
      <c r="B563" s="1" t="s">
        <v>39</v>
      </c>
      <c r="C563" s="1" t="s">
        <v>31</v>
      </c>
      <c r="D563">
        <v>3</v>
      </c>
      <c r="E563">
        <v>4</v>
      </c>
      <c r="F563" s="1" t="s">
        <v>60</v>
      </c>
      <c r="G563">
        <v>3</v>
      </c>
      <c r="H563" s="1" t="s">
        <v>41</v>
      </c>
      <c r="I563">
        <v>2</v>
      </c>
      <c r="J563">
        <v>4</v>
      </c>
      <c r="K563" s="1" t="s">
        <v>55</v>
      </c>
      <c r="L563">
        <v>1</v>
      </c>
      <c r="M563" s="1" t="s">
        <v>43</v>
      </c>
      <c r="N563">
        <v>16856</v>
      </c>
      <c r="O563">
        <v>1</v>
      </c>
      <c r="P563" s="1" t="s">
        <v>39</v>
      </c>
      <c r="Q563">
        <v>11</v>
      </c>
      <c r="R563">
        <v>1</v>
      </c>
      <c r="S563">
        <v>0</v>
      </c>
      <c r="T563">
        <v>34</v>
      </c>
      <c r="U563">
        <v>3</v>
      </c>
      <c r="V563">
        <v>4</v>
      </c>
      <c r="W563">
        <v>34</v>
      </c>
      <c r="X563">
        <v>6</v>
      </c>
      <c r="Y563">
        <v>1</v>
      </c>
      <c r="Z563">
        <v>16</v>
      </c>
      <c r="AA563">
        <v>0</v>
      </c>
      <c r="AB563" s="1" t="s">
        <v>82</v>
      </c>
      <c r="AC563" t="s">
        <v>56</v>
      </c>
      <c r="AD563" t="s">
        <v>57</v>
      </c>
      <c r="AE563" s="2">
        <v>495.76470588235293</v>
      </c>
    </row>
    <row r="564" spans="1:31" x14ac:dyDescent="0.35">
      <c r="A564">
        <v>33</v>
      </c>
      <c r="B564" s="1" t="s">
        <v>30</v>
      </c>
      <c r="C564" s="1" t="s">
        <v>40</v>
      </c>
      <c r="D564">
        <v>1</v>
      </c>
      <c r="E564">
        <v>4</v>
      </c>
      <c r="F564" s="1" t="s">
        <v>44</v>
      </c>
      <c r="G564">
        <v>4</v>
      </c>
      <c r="H564" s="1" t="s">
        <v>41</v>
      </c>
      <c r="I564">
        <v>3</v>
      </c>
      <c r="J564">
        <v>1</v>
      </c>
      <c r="K564" s="1" t="s">
        <v>42</v>
      </c>
      <c r="L564">
        <v>4</v>
      </c>
      <c r="M564" s="1" t="s">
        <v>35</v>
      </c>
      <c r="N564">
        <v>2686</v>
      </c>
      <c r="O564">
        <v>1</v>
      </c>
      <c r="P564" s="1" t="s">
        <v>30</v>
      </c>
      <c r="Q564">
        <v>13</v>
      </c>
      <c r="R564">
        <v>3</v>
      </c>
      <c r="S564">
        <v>0</v>
      </c>
      <c r="T564">
        <v>10</v>
      </c>
      <c r="U564">
        <v>2</v>
      </c>
      <c r="V564">
        <v>2</v>
      </c>
      <c r="W564">
        <v>10</v>
      </c>
      <c r="X564">
        <v>9</v>
      </c>
      <c r="Y564">
        <v>7</v>
      </c>
      <c r="Z564">
        <v>8</v>
      </c>
      <c r="AA564">
        <v>1</v>
      </c>
      <c r="AB564" s="1" t="s">
        <v>48</v>
      </c>
      <c r="AC564" t="s">
        <v>46</v>
      </c>
      <c r="AD564" t="s">
        <v>38</v>
      </c>
      <c r="AE564" s="2">
        <v>268.60000000000002</v>
      </c>
    </row>
    <row r="565" spans="1:31" x14ac:dyDescent="0.35">
      <c r="A565">
        <v>25</v>
      </c>
      <c r="B565" s="1" t="s">
        <v>39</v>
      </c>
      <c r="C565" s="1" t="s">
        <v>31</v>
      </c>
      <c r="D565">
        <v>26</v>
      </c>
      <c r="E565">
        <v>1</v>
      </c>
      <c r="F565" s="1" t="s">
        <v>49</v>
      </c>
      <c r="G565">
        <v>3</v>
      </c>
      <c r="H565" s="1" t="s">
        <v>33</v>
      </c>
      <c r="I565">
        <v>3</v>
      </c>
      <c r="J565">
        <v>2</v>
      </c>
      <c r="K565" s="1" t="s">
        <v>34</v>
      </c>
      <c r="L565">
        <v>4</v>
      </c>
      <c r="M565" s="1" t="s">
        <v>35</v>
      </c>
      <c r="N565">
        <v>6180</v>
      </c>
      <c r="O565">
        <v>1</v>
      </c>
      <c r="P565" s="1" t="s">
        <v>39</v>
      </c>
      <c r="Q565">
        <v>23</v>
      </c>
      <c r="R565">
        <v>2</v>
      </c>
      <c r="S565">
        <v>0</v>
      </c>
      <c r="T565">
        <v>6</v>
      </c>
      <c r="U565">
        <v>5</v>
      </c>
      <c r="V565">
        <v>2</v>
      </c>
      <c r="W565">
        <v>6</v>
      </c>
      <c r="X565">
        <v>5</v>
      </c>
      <c r="Y565">
        <v>1</v>
      </c>
      <c r="Z565">
        <v>4</v>
      </c>
      <c r="AA565">
        <v>0</v>
      </c>
      <c r="AB565" s="1" t="s">
        <v>54</v>
      </c>
      <c r="AC565" t="s">
        <v>37</v>
      </c>
      <c r="AD565" t="s">
        <v>38</v>
      </c>
      <c r="AE565" s="2">
        <v>1030</v>
      </c>
    </row>
    <row r="566" spans="1:31" x14ac:dyDescent="0.35">
      <c r="A566">
        <v>45</v>
      </c>
      <c r="B566" s="1" t="s">
        <v>39</v>
      </c>
      <c r="C566" s="1" t="s">
        <v>31</v>
      </c>
      <c r="D566">
        <v>2</v>
      </c>
      <c r="E566">
        <v>2</v>
      </c>
      <c r="F566" s="1" t="s">
        <v>61</v>
      </c>
      <c r="G566">
        <v>2</v>
      </c>
      <c r="H566" s="1" t="s">
        <v>41</v>
      </c>
      <c r="I566">
        <v>1</v>
      </c>
      <c r="J566">
        <v>2</v>
      </c>
      <c r="K566" s="1" t="s">
        <v>58</v>
      </c>
      <c r="L566">
        <v>3</v>
      </c>
      <c r="M566" s="1" t="s">
        <v>35</v>
      </c>
      <c r="N566">
        <v>6632</v>
      </c>
      <c r="O566">
        <v>0</v>
      </c>
      <c r="P566" s="1" t="s">
        <v>39</v>
      </c>
      <c r="Q566">
        <v>13</v>
      </c>
      <c r="R566">
        <v>1</v>
      </c>
      <c r="S566">
        <v>0</v>
      </c>
      <c r="T566">
        <v>9</v>
      </c>
      <c r="U566">
        <v>3</v>
      </c>
      <c r="V566">
        <v>3</v>
      </c>
      <c r="W566">
        <v>8</v>
      </c>
      <c r="X566">
        <v>7</v>
      </c>
      <c r="Y566">
        <v>3</v>
      </c>
      <c r="Z566">
        <v>1</v>
      </c>
      <c r="AA566">
        <v>0</v>
      </c>
      <c r="AB566" s="1" t="s">
        <v>36</v>
      </c>
      <c r="AC566" t="s">
        <v>37</v>
      </c>
      <c r="AD566" t="s">
        <v>38</v>
      </c>
      <c r="AE566" s="2">
        <v>829</v>
      </c>
    </row>
    <row r="567" spans="1:31" x14ac:dyDescent="0.35">
      <c r="A567">
        <v>23</v>
      </c>
      <c r="B567" s="1" t="s">
        <v>39</v>
      </c>
      <c r="C567" s="1" t="s">
        <v>40</v>
      </c>
      <c r="D567">
        <v>10</v>
      </c>
      <c r="E567">
        <v>1</v>
      </c>
      <c r="F567" s="1" t="s">
        <v>49</v>
      </c>
      <c r="G567">
        <v>1</v>
      </c>
      <c r="H567" s="1" t="s">
        <v>41</v>
      </c>
      <c r="I567">
        <v>4</v>
      </c>
      <c r="J567">
        <v>1</v>
      </c>
      <c r="K567" s="1" t="s">
        <v>42</v>
      </c>
      <c r="L567">
        <v>3</v>
      </c>
      <c r="M567" s="1" t="s">
        <v>35</v>
      </c>
      <c r="N567">
        <v>3505</v>
      </c>
      <c r="O567">
        <v>1</v>
      </c>
      <c r="P567" s="1" t="s">
        <v>39</v>
      </c>
      <c r="Q567">
        <v>18</v>
      </c>
      <c r="R567">
        <v>4</v>
      </c>
      <c r="S567">
        <v>0</v>
      </c>
      <c r="T567">
        <v>2</v>
      </c>
      <c r="U567">
        <v>3</v>
      </c>
      <c r="V567">
        <v>3</v>
      </c>
      <c r="W567">
        <v>2</v>
      </c>
      <c r="X567">
        <v>2</v>
      </c>
      <c r="Y567">
        <v>0</v>
      </c>
      <c r="Z567">
        <v>2</v>
      </c>
      <c r="AA567">
        <v>0</v>
      </c>
      <c r="AB567" s="1" t="s">
        <v>54</v>
      </c>
      <c r="AC567" t="s">
        <v>46</v>
      </c>
      <c r="AD567" t="s">
        <v>47</v>
      </c>
      <c r="AE567" s="2">
        <v>1752.5</v>
      </c>
    </row>
    <row r="568" spans="1:31" x14ac:dyDescent="0.35">
      <c r="A568">
        <v>47</v>
      </c>
      <c r="B568" s="1" t="s">
        <v>30</v>
      </c>
      <c r="C568" s="1" t="s">
        <v>31</v>
      </c>
      <c r="D568">
        <v>27</v>
      </c>
      <c r="E568">
        <v>2</v>
      </c>
      <c r="F568" s="1" t="s">
        <v>32</v>
      </c>
      <c r="G568">
        <v>2</v>
      </c>
      <c r="H568" s="1" t="s">
        <v>33</v>
      </c>
      <c r="I568">
        <v>4</v>
      </c>
      <c r="J568">
        <v>2</v>
      </c>
      <c r="K568" s="1" t="s">
        <v>34</v>
      </c>
      <c r="L568">
        <v>3</v>
      </c>
      <c r="M568" s="1" t="s">
        <v>35</v>
      </c>
      <c r="N568">
        <v>6397</v>
      </c>
      <c r="O568">
        <v>4</v>
      </c>
      <c r="P568" s="1" t="s">
        <v>30</v>
      </c>
      <c r="Q568">
        <v>12</v>
      </c>
      <c r="R568">
        <v>4</v>
      </c>
      <c r="S568">
        <v>0</v>
      </c>
      <c r="T568">
        <v>8</v>
      </c>
      <c r="U568">
        <v>2</v>
      </c>
      <c r="V568">
        <v>3</v>
      </c>
      <c r="W568">
        <v>5</v>
      </c>
      <c r="X568">
        <v>4</v>
      </c>
      <c r="Y568">
        <v>1</v>
      </c>
      <c r="Z568">
        <v>3</v>
      </c>
      <c r="AA568">
        <v>1</v>
      </c>
      <c r="AB568" s="1" t="s">
        <v>82</v>
      </c>
      <c r="AC568" t="s">
        <v>37</v>
      </c>
      <c r="AD568" t="s">
        <v>53</v>
      </c>
      <c r="AE568" s="2">
        <v>1279.4000000000001</v>
      </c>
    </row>
    <row r="569" spans="1:31" x14ac:dyDescent="0.35">
      <c r="A569">
        <v>34</v>
      </c>
      <c r="B569" s="1" t="s">
        <v>39</v>
      </c>
      <c r="C569" s="1" t="s">
        <v>31</v>
      </c>
      <c r="D569">
        <v>2</v>
      </c>
      <c r="E569">
        <v>3</v>
      </c>
      <c r="F569" s="1" t="s">
        <v>44</v>
      </c>
      <c r="G569">
        <v>4</v>
      </c>
      <c r="H569" s="1" t="s">
        <v>41</v>
      </c>
      <c r="I569">
        <v>3</v>
      </c>
      <c r="J569">
        <v>2</v>
      </c>
      <c r="K569" s="1" t="s">
        <v>34</v>
      </c>
      <c r="L569">
        <v>4</v>
      </c>
      <c r="M569" s="1" t="s">
        <v>35</v>
      </c>
      <c r="N569">
        <v>6274</v>
      </c>
      <c r="O569">
        <v>1</v>
      </c>
      <c r="P569" s="1" t="s">
        <v>39</v>
      </c>
      <c r="Q569">
        <v>22</v>
      </c>
      <c r="R569">
        <v>3</v>
      </c>
      <c r="S569">
        <v>0</v>
      </c>
      <c r="T569">
        <v>6</v>
      </c>
      <c r="U569">
        <v>5</v>
      </c>
      <c r="V569">
        <v>3</v>
      </c>
      <c r="W569">
        <v>6</v>
      </c>
      <c r="X569">
        <v>5</v>
      </c>
      <c r="Y569">
        <v>1</v>
      </c>
      <c r="Z569">
        <v>4</v>
      </c>
      <c r="AA569">
        <v>0</v>
      </c>
      <c r="AB569" s="1" t="s">
        <v>48</v>
      </c>
      <c r="AC569" t="s">
        <v>37</v>
      </c>
      <c r="AD569" t="s">
        <v>38</v>
      </c>
      <c r="AE569" s="2">
        <v>1045.6666666666667</v>
      </c>
    </row>
    <row r="570" spans="1:31" x14ac:dyDescent="0.35">
      <c r="A570">
        <v>55</v>
      </c>
      <c r="B570" s="1" t="s">
        <v>30</v>
      </c>
      <c r="C570" s="1" t="s">
        <v>40</v>
      </c>
      <c r="D570">
        <v>2</v>
      </c>
      <c r="E570">
        <v>3</v>
      </c>
      <c r="F570" s="1" t="s">
        <v>49</v>
      </c>
      <c r="G570">
        <v>4</v>
      </c>
      <c r="H570" s="1" t="s">
        <v>41</v>
      </c>
      <c r="I570">
        <v>3</v>
      </c>
      <c r="J570">
        <v>5</v>
      </c>
      <c r="K570" s="1" t="s">
        <v>55</v>
      </c>
      <c r="L570">
        <v>1</v>
      </c>
      <c r="M570" s="1" t="s">
        <v>43</v>
      </c>
      <c r="N570">
        <v>19859</v>
      </c>
      <c r="O570">
        <v>5</v>
      </c>
      <c r="P570" s="1" t="s">
        <v>30</v>
      </c>
      <c r="Q570">
        <v>13</v>
      </c>
      <c r="R570">
        <v>4</v>
      </c>
      <c r="S570">
        <v>1</v>
      </c>
      <c r="T570">
        <v>24</v>
      </c>
      <c r="U570">
        <v>2</v>
      </c>
      <c r="V570">
        <v>3</v>
      </c>
      <c r="W570">
        <v>5</v>
      </c>
      <c r="X570">
        <v>2</v>
      </c>
      <c r="Y570">
        <v>1</v>
      </c>
      <c r="Z570">
        <v>4</v>
      </c>
      <c r="AA570">
        <v>1</v>
      </c>
      <c r="AB570" s="1" t="s">
        <v>82</v>
      </c>
      <c r="AC570" t="s">
        <v>56</v>
      </c>
      <c r="AD570" t="s">
        <v>53</v>
      </c>
      <c r="AE570" s="2">
        <v>3971.8</v>
      </c>
    </row>
    <row r="571" spans="1:31" x14ac:dyDescent="0.35">
      <c r="A571">
        <v>36</v>
      </c>
      <c r="B571" s="1" t="s">
        <v>39</v>
      </c>
      <c r="C571" s="1" t="s">
        <v>31</v>
      </c>
      <c r="D571">
        <v>8</v>
      </c>
      <c r="E571">
        <v>4</v>
      </c>
      <c r="F571" s="1" t="s">
        <v>32</v>
      </c>
      <c r="G571">
        <v>1</v>
      </c>
      <c r="H571" s="1" t="s">
        <v>41</v>
      </c>
      <c r="I571">
        <v>2</v>
      </c>
      <c r="J571">
        <v>3</v>
      </c>
      <c r="K571" s="1" t="s">
        <v>34</v>
      </c>
      <c r="L571">
        <v>1</v>
      </c>
      <c r="M571" s="1" t="s">
        <v>35</v>
      </c>
      <c r="N571">
        <v>7587</v>
      </c>
      <c r="O571">
        <v>1</v>
      </c>
      <c r="P571" s="1" t="s">
        <v>39</v>
      </c>
      <c r="Q571">
        <v>15</v>
      </c>
      <c r="R571">
        <v>2</v>
      </c>
      <c r="S571">
        <v>0</v>
      </c>
      <c r="T571">
        <v>10</v>
      </c>
      <c r="U571">
        <v>1</v>
      </c>
      <c r="V571">
        <v>3</v>
      </c>
      <c r="W571">
        <v>10</v>
      </c>
      <c r="X571">
        <v>7</v>
      </c>
      <c r="Y571">
        <v>0</v>
      </c>
      <c r="Z571">
        <v>9</v>
      </c>
      <c r="AA571">
        <v>0</v>
      </c>
      <c r="AB571" s="1" t="s">
        <v>36</v>
      </c>
      <c r="AC571" t="s">
        <v>37</v>
      </c>
      <c r="AD571" t="s">
        <v>38</v>
      </c>
      <c r="AE571" s="2">
        <v>758.7</v>
      </c>
    </row>
    <row r="572" spans="1:31" x14ac:dyDescent="0.35">
      <c r="A572">
        <v>52</v>
      </c>
      <c r="B572" s="1" t="s">
        <v>39</v>
      </c>
      <c r="C572" s="1" t="s">
        <v>40</v>
      </c>
      <c r="D572">
        <v>19</v>
      </c>
      <c r="E572">
        <v>4</v>
      </c>
      <c r="F572" s="1" t="s">
        <v>49</v>
      </c>
      <c r="G572">
        <v>4</v>
      </c>
      <c r="H572" s="1" t="s">
        <v>41</v>
      </c>
      <c r="I572">
        <v>3</v>
      </c>
      <c r="J572">
        <v>1</v>
      </c>
      <c r="K572" s="1" t="s">
        <v>42</v>
      </c>
      <c r="L572">
        <v>4</v>
      </c>
      <c r="M572" s="1" t="s">
        <v>43</v>
      </c>
      <c r="N572">
        <v>4258</v>
      </c>
      <c r="O572">
        <v>0</v>
      </c>
      <c r="P572" s="1" t="s">
        <v>39</v>
      </c>
      <c r="Q572">
        <v>18</v>
      </c>
      <c r="R572">
        <v>1</v>
      </c>
      <c r="S572">
        <v>1</v>
      </c>
      <c r="T572">
        <v>5</v>
      </c>
      <c r="U572">
        <v>3</v>
      </c>
      <c r="V572">
        <v>3</v>
      </c>
      <c r="W572">
        <v>4</v>
      </c>
      <c r="X572">
        <v>3</v>
      </c>
      <c r="Y572">
        <v>1</v>
      </c>
      <c r="Z572">
        <v>2</v>
      </c>
      <c r="AA572">
        <v>0</v>
      </c>
      <c r="AB572" s="1" t="s">
        <v>82</v>
      </c>
      <c r="AC572" t="s">
        <v>37</v>
      </c>
      <c r="AD572" t="s">
        <v>53</v>
      </c>
      <c r="AE572" s="2">
        <v>1064.5</v>
      </c>
    </row>
    <row r="573" spans="1:31" x14ac:dyDescent="0.35">
      <c r="A573">
        <v>26</v>
      </c>
      <c r="B573" s="1" t="s">
        <v>39</v>
      </c>
      <c r="C573" s="1" t="s">
        <v>40</v>
      </c>
      <c r="D573">
        <v>1</v>
      </c>
      <c r="E573">
        <v>2</v>
      </c>
      <c r="F573" s="1" t="s">
        <v>32</v>
      </c>
      <c r="G573">
        <v>1</v>
      </c>
      <c r="H573" s="1" t="s">
        <v>33</v>
      </c>
      <c r="I573">
        <v>1</v>
      </c>
      <c r="J573">
        <v>1</v>
      </c>
      <c r="K573" s="1" t="s">
        <v>45</v>
      </c>
      <c r="L573">
        <v>4</v>
      </c>
      <c r="M573" s="1" t="s">
        <v>50</v>
      </c>
      <c r="N573">
        <v>4364</v>
      </c>
      <c r="O573">
        <v>3</v>
      </c>
      <c r="P573" s="1" t="s">
        <v>39</v>
      </c>
      <c r="Q573">
        <v>14</v>
      </c>
      <c r="R573">
        <v>1</v>
      </c>
      <c r="S573">
        <v>1</v>
      </c>
      <c r="T573">
        <v>5</v>
      </c>
      <c r="U573">
        <v>2</v>
      </c>
      <c r="V573">
        <v>3</v>
      </c>
      <c r="W573">
        <v>2</v>
      </c>
      <c r="X573">
        <v>2</v>
      </c>
      <c r="Y573">
        <v>2</v>
      </c>
      <c r="Z573">
        <v>0</v>
      </c>
      <c r="AA573">
        <v>0</v>
      </c>
      <c r="AB573" s="1" t="s">
        <v>48</v>
      </c>
      <c r="AC573" t="s">
        <v>37</v>
      </c>
      <c r="AD573" t="s">
        <v>47</v>
      </c>
      <c r="AE573" s="2">
        <v>2182</v>
      </c>
    </row>
    <row r="574" spans="1:31" x14ac:dyDescent="0.35">
      <c r="A574">
        <v>29</v>
      </c>
      <c r="B574" s="1" t="s">
        <v>39</v>
      </c>
      <c r="C574" s="1" t="s">
        <v>40</v>
      </c>
      <c r="D574">
        <v>27</v>
      </c>
      <c r="E574">
        <v>3</v>
      </c>
      <c r="F574" s="1" t="s">
        <v>49</v>
      </c>
      <c r="G574">
        <v>2</v>
      </c>
      <c r="H574" s="1" t="s">
        <v>33</v>
      </c>
      <c r="I574">
        <v>3</v>
      </c>
      <c r="J574">
        <v>2</v>
      </c>
      <c r="K574" s="1" t="s">
        <v>52</v>
      </c>
      <c r="L574">
        <v>3</v>
      </c>
      <c r="M574" s="1" t="s">
        <v>43</v>
      </c>
      <c r="N574">
        <v>4335</v>
      </c>
      <c r="O574">
        <v>4</v>
      </c>
      <c r="P574" s="1" t="s">
        <v>39</v>
      </c>
      <c r="Q574">
        <v>12</v>
      </c>
      <c r="R574">
        <v>1</v>
      </c>
      <c r="S574">
        <v>1</v>
      </c>
      <c r="T574">
        <v>11</v>
      </c>
      <c r="U574">
        <v>3</v>
      </c>
      <c r="V574">
        <v>2</v>
      </c>
      <c r="W574">
        <v>8</v>
      </c>
      <c r="X574">
        <v>7</v>
      </c>
      <c r="Y574">
        <v>1</v>
      </c>
      <c r="Z574">
        <v>1</v>
      </c>
      <c r="AA574">
        <v>0</v>
      </c>
      <c r="AB574" s="1" t="s">
        <v>48</v>
      </c>
      <c r="AC574" t="s">
        <v>37</v>
      </c>
      <c r="AD574" t="s">
        <v>38</v>
      </c>
      <c r="AE574" s="2">
        <v>541.875</v>
      </c>
    </row>
    <row r="575" spans="1:31" x14ac:dyDescent="0.35">
      <c r="A575">
        <v>26</v>
      </c>
      <c r="B575" s="1" t="s">
        <v>30</v>
      </c>
      <c r="C575" s="1" t="s">
        <v>31</v>
      </c>
      <c r="D575">
        <v>8</v>
      </c>
      <c r="E575">
        <v>3</v>
      </c>
      <c r="F575" s="1" t="s">
        <v>61</v>
      </c>
      <c r="G575">
        <v>4</v>
      </c>
      <c r="H575" s="1" t="s">
        <v>41</v>
      </c>
      <c r="I575">
        <v>2</v>
      </c>
      <c r="J575">
        <v>2</v>
      </c>
      <c r="K575" s="1" t="s">
        <v>34</v>
      </c>
      <c r="L575">
        <v>1</v>
      </c>
      <c r="M575" s="1" t="s">
        <v>35</v>
      </c>
      <c r="N575">
        <v>5326</v>
      </c>
      <c r="O575">
        <v>6</v>
      </c>
      <c r="P575" s="1" t="s">
        <v>39</v>
      </c>
      <c r="Q575">
        <v>17</v>
      </c>
      <c r="R575">
        <v>3</v>
      </c>
      <c r="S575">
        <v>0</v>
      </c>
      <c r="T575">
        <v>6</v>
      </c>
      <c r="U575">
        <v>2</v>
      </c>
      <c r="V575">
        <v>2</v>
      </c>
      <c r="W575">
        <v>4</v>
      </c>
      <c r="X575">
        <v>3</v>
      </c>
      <c r="Y575">
        <v>1</v>
      </c>
      <c r="Z575">
        <v>2</v>
      </c>
      <c r="AA575">
        <v>1</v>
      </c>
      <c r="AB575" s="1" t="s">
        <v>48</v>
      </c>
      <c r="AC575" t="s">
        <v>37</v>
      </c>
      <c r="AD575" t="s">
        <v>53</v>
      </c>
      <c r="AE575" s="2">
        <v>1331.5</v>
      </c>
    </row>
    <row r="576" spans="1:31" x14ac:dyDescent="0.35">
      <c r="A576">
        <v>34</v>
      </c>
      <c r="B576" s="1" t="s">
        <v>39</v>
      </c>
      <c r="C576" s="1" t="s">
        <v>40</v>
      </c>
      <c r="D576">
        <v>1</v>
      </c>
      <c r="E576">
        <v>4</v>
      </c>
      <c r="F576" s="1" t="s">
        <v>32</v>
      </c>
      <c r="G576">
        <v>2</v>
      </c>
      <c r="H576" s="1" t="s">
        <v>33</v>
      </c>
      <c r="I576">
        <v>4</v>
      </c>
      <c r="J576">
        <v>1</v>
      </c>
      <c r="K576" s="1" t="s">
        <v>42</v>
      </c>
      <c r="L576">
        <v>4</v>
      </c>
      <c r="M576" s="1" t="s">
        <v>35</v>
      </c>
      <c r="N576">
        <v>3280</v>
      </c>
      <c r="O576">
        <v>2</v>
      </c>
      <c r="P576" s="1" t="s">
        <v>39</v>
      </c>
      <c r="Q576">
        <v>16</v>
      </c>
      <c r="R576">
        <v>3</v>
      </c>
      <c r="S576">
        <v>0</v>
      </c>
      <c r="T576">
        <v>10</v>
      </c>
      <c r="U576">
        <v>2</v>
      </c>
      <c r="V576">
        <v>3</v>
      </c>
      <c r="W576">
        <v>4</v>
      </c>
      <c r="X576">
        <v>2</v>
      </c>
      <c r="Y576">
        <v>1</v>
      </c>
      <c r="Z576">
        <v>3</v>
      </c>
      <c r="AA576">
        <v>0</v>
      </c>
      <c r="AB576" s="1" t="s">
        <v>48</v>
      </c>
      <c r="AC576" t="s">
        <v>46</v>
      </c>
      <c r="AD576" t="s">
        <v>53</v>
      </c>
      <c r="AE576" s="2">
        <v>820</v>
      </c>
    </row>
    <row r="577" spans="1:31" x14ac:dyDescent="0.35">
      <c r="A577">
        <v>54</v>
      </c>
      <c r="B577" s="1" t="s">
        <v>39</v>
      </c>
      <c r="C577" s="1" t="s">
        <v>40</v>
      </c>
      <c r="D577">
        <v>19</v>
      </c>
      <c r="E577">
        <v>4</v>
      </c>
      <c r="F577" s="1" t="s">
        <v>49</v>
      </c>
      <c r="G577">
        <v>4</v>
      </c>
      <c r="H577" s="1" t="s">
        <v>33</v>
      </c>
      <c r="I577">
        <v>3</v>
      </c>
      <c r="J577">
        <v>2</v>
      </c>
      <c r="K577" s="1" t="s">
        <v>51</v>
      </c>
      <c r="L577">
        <v>1</v>
      </c>
      <c r="M577" s="1" t="s">
        <v>50</v>
      </c>
      <c r="N577">
        <v>5485</v>
      </c>
      <c r="O577">
        <v>9</v>
      </c>
      <c r="P577" s="1" t="s">
        <v>30</v>
      </c>
      <c r="Q577">
        <v>11</v>
      </c>
      <c r="R577">
        <v>2</v>
      </c>
      <c r="S577">
        <v>2</v>
      </c>
      <c r="T577">
        <v>9</v>
      </c>
      <c r="U577">
        <v>4</v>
      </c>
      <c r="V577">
        <v>3</v>
      </c>
      <c r="W577">
        <v>5</v>
      </c>
      <c r="X577">
        <v>3</v>
      </c>
      <c r="Y577">
        <v>1</v>
      </c>
      <c r="Z577">
        <v>4</v>
      </c>
      <c r="AA577">
        <v>0</v>
      </c>
      <c r="AB577" s="1" t="s">
        <v>82</v>
      </c>
      <c r="AC577" t="s">
        <v>37</v>
      </c>
      <c r="AD577" t="s">
        <v>53</v>
      </c>
      <c r="AE577" s="2">
        <v>1097</v>
      </c>
    </row>
    <row r="578" spans="1:31" x14ac:dyDescent="0.35">
      <c r="A578">
        <v>27</v>
      </c>
      <c r="B578" s="1" t="s">
        <v>39</v>
      </c>
      <c r="C578" s="1" t="s">
        <v>31</v>
      </c>
      <c r="D578">
        <v>8</v>
      </c>
      <c r="E578">
        <v>1</v>
      </c>
      <c r="F578" s="1" t="s">
        <v>60</v>
      </c>
      <c r="G578">
        <v>3</v>
      </c>
      <c r="H578" s="1" t="s">
        <v>41</v>
      </c>
      <c r="I578">
        <v>3</v>
      </c>
      <c r="J578">
        <v>2</v>
      </c>
      <c r="K578" s="1" t="s">
        <v>34</v>
      </c>
      <c r="L578">
        <v>4</v>
      </c>
      <c r="M578" s="1" t="s">
        <v>43</v>
      </c>
      <c r="N578">
        <v>4342</v>
      </c>
      <c r="O578">
        <v>0</v>
      </c>
      <c r="P578" s="1" t="s">
        <v>39</v>
      </c>
      <c r="Q578">
        <v>19</v>
      </c>
      <c r="R578">
        <v>2</v>
      </c>
      <c r="S578">
        <v>1</v>
      </c>
      <c r="T578">
        <v>5</v>
      </c>
      <c r="U578">
        <v>3</v>
      </c>
      <c r="V578">
        <v>3</v>
      </c>
      <c r="W578">
        <v>4</v>
      </c>
      <c r="X578">
        <v>2</v>
      </c>
      <c r="Y578">
        <v>1</v>
      </c>
      <c r="Z578">
        <v>1</v>
      </c>
      <c r="AA578">
        <v>0</v>
      </c>
      <c r="AB578" s="1" t="s">
        <v>48</v>
      </c>
      <c r="AC578" t="s">
        <v>37</v>
      </c>
      <c r="AD578" t="s">
        <v>53</v>
      </c>
      <c r="AE578" s="2">
        <v>1085.5</v>
      </c>
    </row>
    <row r="579" spans="1:31" x14ac:dyDescent="0.35">
      <c r="A579">
        <v>37</v>
      </c>
      <c r="B579" s="1" t="s">
        <v>39</v>
      </c>
      <c r="C579" s="1" t="s">
        <v>40</v>
      </c>
      <c r="D579">
        <v>10</v>
      </c>
      <c r="E579">
        <v>1</v>
      </c>
      <c r="F579" s="1" t="s">
        <v>32</v>
      </c>
      <c r="G579">
        <v>4</v>
      </c>
      <c r="H579" s="1" t="s">
        <v>33</v>
      </c>
      <c r="I579">
        <v>3</v>
      </c>
      <c r="J579">
        <v>1</v>
      </c>
      <c r="K579" s="1" t="s">
        <v>42</v>
      </c>
      <c r="L579">
        <v>1</v>
      </c>
      <c r="M579" s="1" t="s">
        <v>50</v>
      </c>
      <c r="N579">
        <v>2782</v>
      </c>
      <c r="O579">
        <v>0</v>
      </c>
      <c r="P579" s="1" t="s">
        <v>30</v>
      </c>
      <c r="Q579">
        <v>13</v>
      </c>
      <c r="R579">
        <v>2</v>
      </c>
      <c r="S579">
        <v>2</v>
      </c>
      <c r="T579">
        <v>6</v>
      </c>
      <c r="U579">
        <v>3</v>
      </c>
      <c r="V579">
        <v>2</v>
      </c>
      <c r="W579">
        <v>5</v>
      </c>
      <c r="X579">
        <v>3</v>
      </c>
      <c r="Y579">
        <v>4</v>
      </c>
      <c r="Z579">
        <v>3</v>
      </c>
      <c r="AA579">
        <v>0</v>
      </c>
      <c r="AB579" s="1" t="s">
        <v>36</v>
      </c>
      <c r="AC579" t="s">
        <v>46</v>
      </c>
      <c r="AD579" t="s">
        <v>53</v>
      </c>
      <c r="AE579" s="2">
        <v>556.4</v>
      </c>
    </row>
    <row r="580" spans="1:31" x14ac:dyDescent="0.35">
      <c r="A580">
        <v>38</v>
      </c>
      <c r="B580" s="1" t="s">
        <v>39</v>
      </c>
      <c r="C580" s="1" t="s">
        <v>40</v>
      </c>
      <c r="D580">
        <v>2</v>
      </c>
      <c r="E580">
        <v>4</v>
      </c>
      <c r="F580" s="1" t="s">
        <v>32</v>
      </c>
      <c r="G580">
        <v>1</v>
      </c>
      <c r="H580" s="1" t="s">
        <v>33</v>
      </c>
      <c r="I580">
        <v>4</v>
      </c>
      <c r="J580">
        <v>2</v>
      </c>
      <c r="K580" s="1" t="s">
        <v>51</v>
      </c>
      <c r="L580">
        <v>1</v>
      </c>
      <c r="M580" s="1" t="s">
        <v>35</v>
      </c>
      <c r="N580">
        <v>5980</v>
      </c>
      <c r="O580">
        <v>6</v>
      </c>
      <c r="P580" s="1" t="s">
        <v>30</v>
      </c>
      <c r="Q580">
        <v>12</v>
      </c>
      <c r="R580">
        <v>4</v>
      </c>
      <c r="S580">
        <v>0</v>
      </c>
      <c r="T580">
        <v>17</v>
      </c>
      <c r="U580">
        <v>2</v>
      </c>
      <c r="V580">
        <v>3</v>
      </c>
      <c r="W580">
        <v>15</v>
      </c>
      <c r="X580">
        <v>7</v>
      </c>
      <c r="Y580">
        <v>4</v>
      </c>
      <c r="Z580">
        <v>12</v>
      </c>
      <c r="AA580">
        <v>0</v>
      </c>
      <c r="AB580" s="1" t="s">
        <v>36</v>
      </c>
      <c r="AC580" t="s">
        <v>37</v>
      </c>
      <c r="AD580" t="s">
        <v>57</v>
      </c>
      <c r="AE580" s="2">
        <v>398.66666666666669</v>
      </c>
    </row>
    <row r="581" spans="1:31" x14ac:dyDescent="0.35">
      <c r="A581">
        <v>34</v>
      </c>
      <c r="B581" s="1" t="s">
        <v>39</v>
      </c>
      <c r="C581" s="1" t="s">
        <v>40</v>
      </c>
      <c r="D581">
        <v>2</v>
      </c>
      <c r="E581">
        <v>4</v>
      </c>
      <c r="F581" s="1" t="s">
        <v>49</v>
      </c>
      <c r="G581">
        <v>3</v>
      </c>
      <c r="H581" s="1" t="s">
        <v>33</v>
      </c>
      <c r="I581">
        <v>2</v>
      </c>
      <c r="J581">
        <v>1</v>
      </c>
      <c r="K581" s="1" t="s">
        <v>42</v>
      </c>
      <c r="L581">
        <v>1</v>
      </c>
      <c r="M581" s="1" t="s">
        <v>35</v>
      </c>
      <c r="N581">
        <v>4381</v>
      </c>
      <c r="O581">
        <v>1</v>
      </c>
      <c r="P581" s="1" t="s">
        <v>39</v>
      </c>
      <c r="Q581">
        <v>11</v>
      </c>
      <c r="R581">
        <v>3</v>
      </c>
      <c r="S581">
        <v>0</v>
      </c>
      <c r="T581">
        <v>6</v>
      </c>
      <c r="U581">
        <v>3</v>
      </c>
      <c r="V581">
        <v>3</v>
      </c>
      <c r="W581">
        <v>6</v>
      </c>
      <c r="X581">
        <v>5</v>
      </c>
      <c r="Y581">
        <v>1</v>
      </c>
      <c r="Z581">
        <v>3</v>
      </c>
      <c r="AA581">
        <v>0</v>
      </c>
      <c r="AB581" s="1" t="s">
        <v>48</v>
      </c>
      <c r="AC581" t="s">
        <v>37</v>
      </c>
      <c r="AD581" t="s">
        <v>38</v>
      </c>
      <c r="AE581" s="2">
        <v>730.16666666666663</v>
      </c>
    </row>
    <row r="582" spans="1:31" x14ac:dyDescent="0.35">
      <c r="A582">
        <v>35</v>
      </c>
      <c r="B582" s="1" t="s">
        <v>39</v>
      </c>
      <c r="C582" s="1" t="s">
        <v>31</v>
      </c>
      <c r="D582">
        <v>8</v>
      </c>
      <c r="E582">
        <v>4</v>
      </c>
      <c r="F582" s="1" t="s">
        <v>32</v>
      </c>
      <c r="G582">
        <v>1</v>
      </c>
      <c r="H582" s="1" t="s">
        <v>33</v>
      </c>
      <c r="I582">
        <v>3</v>
      </c>
      <c r="J582">
        <v>1</v>
      </c>
      <c r="K582" s="1" t="s">
        <v>58</v>
      </c>
      <c r="L582">
        <v>4</v>
      </c>
      <c r="M582" s="1" t="s">
        <v>43</v>
      </c>
      <c r="N582">
        <v>2572</v>
      </c>
      <c r="O582">
        <v>1</v>
      </c>
      <c r="P582" s="1" t="s">
        <v>39</v>
      </c>
      <c r="Q582">
        <v>16</v>
      </c>
      <c r="R582">
        <v>2</v>
      </c>
      <c r="S582">
        <v>1</v>
      </c>
      <c r="T582">
        <v>3</v>
      </c>
      <c r="U582">
        <v>1</v>
      </c>
      <c r="V582">
        <v>2</v>
      </c>
      <c r="W582">
        <v>3</v>
      </c>
      <c r="X582">
        <v>2</v>
      </c>
      <c r="Y582">
        <v>0</v>
      </c>
      <c r="Z582">
        <v>2</v>
      </c>
      <c r="AA582">
        <v>0</v>
      </c>
      <c r="AB582" s="1" t="s">
        <v>48</v>
      </c>
      <c r="AC582" t="s">
        <v>46</v>
      </c>
      <c r="AD582" t="s">
        <v>53</v>
      </c>
      <c r="AE582" s="2">
        <v>857.33333333333337</v>
      </c>
    </row>
    <row r="583" spans="1:31" x14ac:dyDescent="0.35">
      <c r="A583">
        <v>30</v>
      </c>
      <c r="B583" s="1" t="s">
        <v>39</v>
      </c>
      <c r="C583" s="1" t="s">
        <v>40</v>
      </c>
      <c r="D583">
        <v>1</v>
      </c>
      <c r="E583">
        <v>3</v>
      </c>
      <c r="F583" s="1" t="s">
        <v>32</v>
      </c>
      <c r="G583">
        <v>4</v>
      </c>
      <c r="H583" s="1" t="s">
        <v>41</v>
      </c>
      <c r="I583">
        <v>1</v>
      </c>
      <c r="J583">
        <v>1</v>
      </c>
      <c r="K583" s="1" t="s">
        <v>45</v>
      </c>
      <c r="L583">
        <v>3</v>
      </c>
      <c r="M583" s="1" t="s">
        <v>43</v>
      </c>
      <c r="N583">
        <v>3833</v>
      </c>
      <c r="O583">
        <v>3</v>
      </c>
      <c r="P583" s="1" t="s">
        <v>39</v>
      </c>
      <c r="Q583">
        <v>21</v>
      </c>
      <c r="R583">
        <v>3</v>
      </c>
      <c r="S583">
        <v>2</v>
      </c>
      <c r="T583">
        <v>7</v>
      </c>
      <c r="U583">
        <v>2</v>
      </c>
      <c r="V583">
        <v>3</v>
      </c>
      <c r="W583">
        <v>2</v>
      </c>
      <c r="X583">
        <v>2</v>
      </c>
      <c r="Y583">
        <v>0</v>
      </c>
      <c r="Z583">
        <v>2</v>
      </c>
      <c r="AA583">
        <v>0</v>
      </c>
      <c r="AB583" s="1" t="s">
        <v>48</v>
      </c>
      <c r="AC583" t="s">
        <v>46</v>
      </c>
      <c r="AD583" t="s">
        <v>47</v>
      </c>
      <c r="AE583" s="2">
        <v>1916.5</v>
      </c>
    </row>
    <row r="584" spans="1:31" x14ac:dyDescent="0.35">
      <c r="A584">
        <v>40</v>
      </c>
      <c r="B584" s="1" t="s">
        <v>39</v>
      </c>
      <c r="C584" s="1" t="s">
        <v>40</v>
      </c>
      <c r="D584">
        <v>2</v>
      </c>
      <c r="E584">
        <v>2</v>
      </c>
      <c r="F584" s="1" t="s">
        <v>49</v>
      </c>
      <c r="G584">
        <v>3</v>
      </c>
      <c r="H584" s="1" t="s">
        <v>33</v>
      </c>
      <c r="I584">
        <v>4</v>
      </c>
      <c r="J584">
        <v>2</v>
      </c>
      <c r="K584" s="1" t="s">
        <v>52</v>
      </c>
      <c r="L584">
        <v>2</v>
      </c>
      <c r="M584" s="1" t="s">
        <v>43</v>
      </c>
      <c r="N584">
        <v>4244</v>
      </c>
      <c r="O584">
        <v>1</v>
      </c>
      <c r="P584" s="1" t="s">
        <v>39</v>
      </c>
      <c r="Q584">
        <v>24</v>
      </c>
      <c r="R584">
        <v>4</v>
      </c>
      <c r="S584">
        <v>1</v>
      </c>
      <c r="T584">
        <v>8</v>
      </c>
      <c r="U584">
        <v>2</v>
      </c>
      <c r="V584">
        <v>3</v>
      </c>
      <c r="W584">
        <v>8</v>
      </c>
      <c r="X584">
        <v>7</v>
      </c>
      <c r="Y584">
        <v>3</v>
      </c>
      <c r="Z584">
        <v>7</v>
      </c>
      <c r="AA584">
        <v>0</v>
      </c>
      <c r="AB584" s="1" t="s">
        <v>36</v>
      </c>
      <c r="AC584" t="s">
        <v>37</v>
      </c>
      <c r="AD584" t="s">
        <v>38</v>
      </c>
      <c r="AE584" s="2">
        <v>530.5</v>
      </c>
    </row>
    <row r="585" spans="1:31" x14ac:dyDescent="0.35">
      <c r="A585">
        <v>34</v>
      </c>
      <c r="B585" s="1" t="s">
        <v>39</v>
      </c>
      <c r="C585" s="1" t="s">
        <v>31</v>
      </c>
      <c r="D585">
        <v>8</v>
      </c>
      <c r="E585">
        <v>2</v>
      </c>
      <c r="F585" s="1" t="s">
        <v>32</v>
      </c>
      <c r="G585">
        <v>3</v>
      </c>
      <c r="H585" s="1" t="s">
        <v>33</v>
      </c>
      <c r="I585">
        <v>3</v>
      </c>
      <c r="J585">
        <v>2</v>
      </c>
      <c r="K585" s="1" t="s">
        <v>34</v>
      </c>
      <c r="L585">
        <v>1</v>
      </c>
      <c r="M585" s="1" t="s">
        <v>43</v>
      </c>
      <c r="N585">
        <v>6500</v>
      </c>
      <c r="O585">
        <v>5</v>
      </c>
      <c r="P585" s="1" t="s">
        <v>39</v>
      </c>
      <c r="Q585">
        <v>17</v>
      </c>
      <c r="R585">
        <v>2</v>
      </c>
      <c r="S585">
        <v>1</v>
      </c>
      <c r="T585">
        <v>6</v>
      </c>
      <c r="U585">
        <v>1</v>
      </c>
      <c r="V585">
        <v>3</v>
      </c>
      <c r="W585">
        <v>3</v>
      </c>
      <c r="X585">
        <v>2</v>
      </c>
      <c r="Y585">
        <v>1</v>
      </c>
      <c r="Z585">
        <v>2</v>
      </c>
      <c r="AA585">
        <v>0</v>
      </c>
      <c r="AB585" s="1" t="s">
        <v>48</v>
      </c>
      <c r="AC585" t="s">
        <v>37</v>
      </c>
      <c r="AD585" t="s">
        <v>53</v>
      </c>
      <c r="AE585" s="2">
        <v>2166.6666666666665</v>
      </c>
    </row>
    <row r="586" spans="1:31" x14ac:dyDescent="0.35">
      <c r="A586">
        <v>42</v>
      </c>
      <c r="B586" s="1" t="s">
        <v>39</v>
      </c>
      <c r="C586" s="1" t="s">
        <v>40</v>
      </c>
      <c r="D586">
        <v>8</v>
      </c>
      <c r="E586">
        <v>3</v>
      </c>
      <c r="F586" s="1" t="s">
        <v>32</v>
      </c>
      <c r="G586">
        <v>2</v>
      </c>
      <c r="H586" s="1" t="s">
        <v>41</v>
      </c>
      <c r="I586">
        <v>3</v>
      </c>
      <c r="J586">
        <v>5</v>
      </c>
      <c r="K586" s="1" t="s">
        <v>55</v>
      </c>
      <c r="L586">
        <v>4</v>
      </c>
      <c r="M586" s="1" t="s">
        <v>50</v>
      </c>
      <c r="N586">
        <v>18430</v>
      </c>
      <c r="O586">
        <v>1</v>
      </c>
      <c r="P586" s="1" t="s">
        <v>39</v>
      </c>
      <c r="Q586">
        <v>13</v>
      </c>
      <c r="R586">
        <v>2</v>
      </c>
      <c r="S586">
        <v>1</v>
      </c>
      <c r="T586">
        <v>24</v>
      </c>
      <c r="U586">
        <v>4</v>
      </c>
      <c r="V586">
        <v>2</v>
      </c>
      <c r="W586">
        <v>24</v>
      </c>
      <c r="X586">
        <v>7</v>
      </c>
      <c r="Y586">
        <v>14</v>
      </c>
      <c r="Z586">
        <v>9</v>
      </c>
      <c r="AA586">
        <v>0</v>
      </c>
      <c r="AB586" s="1" t="s">
        <v>36</v>
      </c>
      <c r="AC586" t="s">
        <v>56</v>
      </c>
      <c r="AD586" t="s">
        <v>57</v>
      </c>
      <c r="AE586" s="2">
        <v>767.91666666666663</v>
      </c>
    </row>
    <row r="587" spans="1:31" x14ac:dyDescent="0.35">
      <c r="A587">
        <v>23</v>
      </c>
      <c r="B587" s="1" t="s">
        <v>30</v>
      </c>
      <c r="C587" s="1" t="s">
        <v>40</v>
      </c>
      <c r="D587">
        <v>6</v>
      </c>
      <c r="E587">
        <v>3</v>
      </c>
      <c r="F587" s="1" t="s">
        <v>32</v>
      </c>
      <c r="G587">
        <v>3</v>
      </c>
      <c r="H587" s="1" t="s">
        <v>41</v>
      </c>
      <c r="I587">
        <v>4</v>
      </c>
      <c r="J587">
        <v>1</v>
      </c>
      <c r="K587" s="1" t="s">
        <v>45</v>
      </c>
      <c r="L587">
        <v>1</v>
      </c>
      <c r="M587" s="1" t="s">
        <v>43</v>
      </c>
      <c r="N587">
        <v>1601</v>
      </c>
      <c r="O587">
        <v>1</v>
      </c>
      <c r="P587" s="1" t="s">
        <v>30</v>
      </c>
      <c r="Q587">
        <v>21</v>
      </c>
      <c r="R587">
        <v>3</v>
      </c>
      <c r="S587">
        <v>2</v>
      </c>
      <c r="T587">
        <v>1</v>
      </c>
      <c r="U587">
        <v>2</v>
      </c>
      <c r="V587">
        <v>3</v>
      </c>
      <c r="W587">
        <v>0</v>
      </c>
      <c r="X587">
        <v>0</v>
      </c>
      <c r="Y587">
        <v>0</v>
      </c>
      <c r="Z587">
        <v>0</v>
      </c>
      <c r="AA587">
        <v>1</v>
      </c>
      <c r="AB587" s="1" t="s">
        <v>54</v>
      </c>
      <c r="AC587" t="s">
        <v>46</v>
      </c>
      <c r="AD587" t="s">
        <v>47</v>
      </c>
      <c r="AE587" s="2">
        <v>1601</v>
      </c>
    </row>
    <row r="588" spans="1:31" x14ac:dyDescent="0.35">
      <c r="A588">
        <v>24</v>
      </c>
      <c r="B588" s="1" t="s">
        <v>39</v>
      </c>
      <c r="C588" s="1" t="s">
        <v>40</v>
      </c>
      <c r="D588">
        <v>9</v>
      </c>
      <c r="E588">
        <v>3</v>
      </c>
      <c r="F588" s="1" t="s">
        <v>32</v>
      </c>
      <c r="G588">
        <v>3</v>
      </c>
      <c r="H588" s="1" t="s">
        <v>41</v>
      </c>
      <c r="I588">
        <v>2</v>
      </c>
      <c r="J588">
        <v>1</v>
      </c>
      <c r="K588" s="1" t="s">
        <v>45</v>
      </c>
      <c r="L588">
        <v>2</v>
      </c>
      <c r="M588" s="1" t="s">
        <v>50</v>
      </c>
      <c r="N588">
        <v>2694</v>
      </c>
      <c r="O588">
        <v>1</v>
      </c>
      <c r="P588" s="1" t="s">
        <v>39</v>
      </c>
      <c r="Q588">
        <v>11</v>
      </c>
      <c r="R588">
        <v>3</v>
      </c>
      <c r="S588">
        <v>3</v>
      </c>
      <c r="T588">
        <v>1</v>
      </c>
      <c r="U588">
        <v>4</v>
      </c>
      <c r="V588">
        <v>3</v>
      </c>
      <c r="W588">
        <v>1</v>
      </c>
      <c r="X588">
        <v>0</v>
      </c>
      <c r="Y588">
        <v>0</v>
      </c>
      <c r="Z588">
        <v>0</v>
      </c>
      <c r="AA588">
        <v>0</v>
      </c>
      <c r="AB588" s="1" t="s">
        <v>54</v>
      </c>
      <c r="AC588" t="s">
        <v>46</v>
      </c>
      <c r="AD588" t="s">
        <v>47</v>
      </c>
      <c r="AE588" s="2">
        <v>2694</v>
      </c>
    </row>
    <row r="589" spans="1:31" x14ac:dyDescent="0.35">
      <c r="A589">
        <v>52</v>
      </c>
      <c r="B589" s="1" t="s">
        <v>39</v>
      </c>
      <c r="C589" s="1" t="s">
        <v>40</v>
      </c>
      <c r="D589">
        <v>11</v>
      </c>
      <c r="E589">
        <v>4</v>
      </c>
      <c r="F589" s="1" t="s">
        <v>32</v>
      </c>
      <c r="G589">
        <v>4</v>
      </c>
      <c r="H589" s="1" t="s">
        <v>33</v>
      </c>
      <c r="I589">
        <v>3</v>
      </c>
      <c r="J589">
        <v>2</v>
      </c>
      <c r="K589" s="1" t="s">
        <v>45</v>
      </c>
      <c r="L589">
        <v>3</v>
      </c>
      <c r="M589" s="1" t="s">
        <v>43</v>
      </c>
      <c r="N589">
        <v>3149</v>
      </c>
      <c r="O589">
        <v>8</v>
      </c>
      <c r="P589" s="1" t="s">
        <v>39</v>
      </c>
      <c r="Q589">
        <v>20</v>
      </c>
      <c r="R589">
        <v>2</v>
      </c>
      <c r="S589">
        <v>1</v>
      </c>
      <c r="T589">
        <v>9</v>
      </c>
      <c r="U589">
        <v>3</v>
      </c>
      <c r="V589">
        <v>3</v>
      </c>
      <c r="W589">
        <v>5</v>
      </c>
      <c r="X589">
        <v>2</v>
      </c>
      <c r="Y589">
        <v>1</v>
      </c>
      <c r="Z589">
        <v>4</v>
      </c>
      <c r="AA589">
        <v>0</v>
      </c>
      <c r="AB589" s="1" t="s">
        <v>82</v>
      </c>
      <c r="AC589" t="s">
        <v>46</v>
      </c>
      <c r="AD589" t="s">
        <v>53</v>
      </c>
      <c r="AE589" s="2">
        <v>629.79999999999995</v>
      </c>
    </row>
    <row r="590" spans="1:31" x14ac:dyDescent="0.35">
      <c r="A590">
        <v>50</v>
      </c>
      <c r="B590" s="1" t="s">
        <v>39</v>
      </c>
      <c r="C590" s="1" t="s">
        <v>40</v>
      </c>
      <c r="D590">
        <v>2</v>
      </c>
      <c r="E590">
        <v>3</v>
      </c>
      <c r="F590" s="1" t="s">
        <v>49</v>
      </c>
      <c r="G590">
        <v>3</v>
      </c>
      <c r="H590" s="1" t="s">
        <v>41</v>
      </c>
      <c r="I590">
        <v>3</v>
      </c>
      <c r="J590">
        <v>4</v>
      </c>
      <c r="K590" s="1" t="s">
        <v>59</v>
      </c>
      <c r="L590">
        <v>3</v>
      </c>
      <c r="M590" s="1" t="s">
        <v>43</v>
      </c>
      <c r="N590">
        <v>17639</v>
      </c>
      <c r="O590">
        <v>5</v>
      </c>
      <c r="P590" s="1" t="s">
        <v>39</v>
      </c>
      <c r="Q590">
        <v>16</v>
      </c>
      <c r="R590">
        <v>4</v>
      </c>
      <c r="S590">
        <v>0</v>
      </c>
      <c r="T590">
        <v>30</v>
      </c>
      <c r="U590">
        <v>3</v>
      </c>
      <c r="V590">
        <v>3</v>
      </c>
      <c r="W590">
        <v>4</v>
      </c>
      <c r="X590">
        <v>3</v>
      </c>
      <c r="Y590">
        <v>0</v>
      </c>
      <c r="Z590">
        <v>3</v>
      </c>
      <c r="AA590">
        <v>0</v>
      </c>
      <c r="AB590" s="1" t="s">
        <v>82</v>
      </c>
      <c r="AC590" t="s">
        <v>56</v>
      </c>
      <c r="AD590" t="s">
        <v>53</v>
      </c>
      <c r="AE590" s="2">
        <v>4409.75</v>
      </c>
    </row>
    <row r="591" spans="1:31" x14ac:dyDescent="0.35">
      <c r="A591">
        <v>29</v>
      </c>
      <c r="B591" s="1" t="s">
        <v>30</v>
      </c>
      <c r="C591" s="1" t="s">
        <v>40</v>
      </c>
      <c r="D591">
        <v>1</v>
      </c>
      <c r="E591">
        <v>2</v>
      </c>
      <c r="F591" s="1" t="s">
        <v>32</v>
      </c>
      <c r="G591">
        <v>2</v>
      </c>
      <c r="H591" s="1" t="s">
        <v>33</v>
      </c>
      <c r="I591">
        <v>2</v>
      </c>
      <c r="J591">
        <v>1</v>
      </c>
      <c r="K591" s="1" t="s">
        <v>45</v>
      </c>
      <c r="L591">
        <v>1</v>
      </c>
      <c r="M591" s="1" t="s">
        <v>43</v>
      </c>
      <c r="N591">
        <v>2319</v>
      </c>
      <c r="O591">
        <v>1</v>
      </c>
      <c r="P591" s="1" t="s">
        <v>30</v>
      </c>
      <c r="Q591">
        <v>11</v>
      </c>
      <c r="R591">
        <v>4</v>
      </c>
      <c r="S591">
        <v>1</v>
      </c>
      <c r="T591">
        <v>1</v>
      </c>
      <c r="U591">
        <v>1</v>
      </c>
      <c r="V591">
        <v>3</v>
      </c>
      <c r="W591">
        <v>1</v>
      </c>
      <c r="X591">
        <v>0</v>
      </c>
      <c r="Y591">
        <v>0</v>
      </c>
      <c r="Z591">
        <v>0</v>
      </c>
      <c r="AA591">
        <v>1</v>
      </c>
      <c r="AB591" s="1" t="s">
        <v>48</v>
      </c>
      <c r="AC591" t="s">
        <v>46</v>
      </c>
      <c r="AD591" t="s">
        <v>47</v>
      </c>
      <c r="AE591" s="2">
        <v>2319</v>
      </c>
    </row>
    <row r="592" spans="1:31" x14ac:dyDescent="0.35">
      <c r="A592">
        <v>33</v>
      </c>
      <c r="B592" s="1" t="s">
        <v>39</v>
      </c>
      <c r="C592" s="1" t="s">
        <v>40</v>
      </c>
      <c r="D592">
        <v>7</v>
      </c>
      <c r="E592">
        <v>3</v>
      </c>
      <c r="F592" s="1" t="s">
        <v>49</v>
      </c>
      <c r="G592">
        <v>3</v>
      </c>
      <c r="H592" s="1" t="s">
        <v>41</v>
      </c>
      <c r="I592">
        <v>3</v>
      </c>
      <c r="J592">
        <v>3</v>
      </c>
      <c r="K592" s="1" t="s">
        <v>59</v>
      </c>
      <c r="L592">
        <v>3</v>
      </c>
      <c r="M592" s="1" t="s">
        <v>43</v>
      </c>
      <c r="N592">
        <v>11691</v>
      </c>
      <c r="O592">
        <v>0</v>
      </c>
      <c r="P592" s="1" t="s">
        <v>39</v>
      </c>
      <c r="Q592">
        <v>11</v>
      </c>
      <c r="R592">
        <v>4</v>
      </c>
      <c r="S592">
        <v>0</v>
      </c>
      <c r="T592">
        <v>14</v>
      </c>
      <c r="U592">
        <v>3</v>
      </c>
      <c r="V592">
        <v>4</v>
      </c>
      <c r="W592">
        <v>13</v>
      </c>
      <c r="X592">
        <v>9</v>
      </c>
      <c r="Y592">
        <v>3</v>
      </c>
      <c r="Z592">
        <v>7</v>
      </c>
      <c r="AA592">
        <v>0</v>
      </c>
      <c r="AB592" s="1" t="s">
        <v>48</v>
      </c>
      <c r="AC592" t="s">
        <v>56</v>
      </c>
      <c r="AD592" t="s">
        <v>57</v>
      </c>
      <c r="AE592" s="2">
        <v>899.30769230769226</v>
      </c>
    </row>
    <row r="593" spans="1:31" x14ac:dyDescent="0.35">
      <c r="A593">
        <v>33</v>
      </c>
      <c r="B593" s="1" t="s">
        <v>30</v>
      </c>
      <c r="C593" s="1" t="s">
        <v>31</v>
      </c>
      <c r="D593">
        <v>16</v>
      </c>
      <c r="E593">
        <v>3</v>
      </c>
      <c r="F593" s="1" t="s">
        <v>60</v>
      </c>
      <c r="G593">
        <v>1</v>
      </c>
      <c r="H593" s="1" t="s">
        <v>33</v>
      </c>
      <c r="I593">
        <v>3</v>
      </c>
      <c r="J593">
        <v>2</v>
      </c>
      <c r="K593" s="1" t="s">
        <v>34</v>
      </c>
      <c r="L593">
        <v>1</v>
      </c>
      <c r="M593" s="1" t="s">
        <v>35</v>
      </c>
      <c r="N593">
        <v>5324</v>
      </c>
      <c r="O593">
        <v>5</v>
      </c>
      <c r="P593" s="1" t="s">
        <v>39</v>
      </c>
      <c r="Q593">
        <v>15</v>
      </c>
      <c r="R593">
        <v>3</v>
      </c>
      <c r="S593">
        <v>0</v>
      </c>
      <c r="T593">
        <v>6</v>
      </c>
      <c r="U593">
        <v>3</v>
      </c>
      <c r="V593">
        <v>3</v>
      </c>
      <c r="W593">
        <v>3</v>
      </c>
      <c r="X593">
        <v>2</v>
      </c>
      <c r="Y593">
        <v>0</v>
      </c>
      <c r="Z593">
        <v>2</v>
      </c>
      <c r="AA593">
        <v>1</v>
      </c>
      <c r="AB593" s="1" t="s">
        <v>48</v>
      </c>
      <c r="AC593" t="s">
        <v>37</v>
      </c>
      <c r="AD593" t="s">
        <v>53</v>
      </c>
      <c r="AE593" s="2">
        <v>1774.6666666666667</v>
      </c>
    </row>
    <row r="594" spans="1:31" x14ac:dyDescent="0.35">
      <c r="A594">
        <v>47</v>
      </c>
      <c r="B594" s="1" t="s">
        <v>39</v>
      </c>
      <c r="C594" s="1" t="s">
        <v>40</v>
      </c>
      <c r="D594">
        <v>2</v>
      </c>
      <c r="E594">
        <v>2</v>
      </c>
      <c r="F594" s="1" t="s">
        <v>44</v>
      </c>
      <c r="G594">
        <v>3</v>
      </c>
      <c r="H594" s="1" t="s">
        <v>33</v>
      </c>
      <c r="I594">
        <v>3</v>
      </c>
      <c r="J594">
        <v>4</v>
      </c>
      <c r="K594" s="1" t="s">
        <v>55</v>
      </c>
      <c r="L594">
        <v>4</v>
      </c>
      <c r="M594" s="1" t="s">
        <v>43</v>
      </c>
      <c r="N594">
        <v>16752</v>
      </c>
      <c r="O594">
        <v>1</v>
      </c>
      <c r="P594" s="1" t="s">
        <v>30</v>
      </c>
      <c r="Q594">
        <v>11</v>
      </c>
      <c r="R594">
        <v>3</v>
      </c>
      <c r="S594">
        <v>1</v>
      </c>
      <c r="T594">
        <v>26</v>
      </c>
      <c r="U594">
        <v>3</v>
      </c>
      <c r="V594">
        <v>2</v>
      </c>
      <c r="W594">
        <v>26</v>
      </c>
      <c r="X594">
        <v>14</v>
      </c>
      <c r="Y594">
        <v>3</v>
      </c>
      <c r="Z594">
        <v>0</v>
      </c>
      <c r="AA594">
        <v>0</v>
      </c>
      <c r="AB594" s="1" t="s">
        <v>82</v>
      </c>
      <c r="AC594" t="s">
        <v>56</v>
      </c>
      <c r="AD594" t="s">
        <v>57</v>
      </c>
      <c r="AE594" s="2">
        <v>644.30769230769226</v>
      </c>
    </row>
    <row r="595" spans="1:31" x14ac:dyDescent="0.35">
      <c r="A595">
        <v>36</v>
      </c>
      <c r="B595" s="1" t="s">
        <v>39</v>
      </c>
      <c r="C595" s="1" t="s">
        <v>40</v>
      </c>
      <c r="D595">
        <v>1</v>
      </c>
      <c r="E595">
        <v>3</v>
      </c>
      <c r="F595" s="1" t="s">
        <v>44</v>
      </c>
      <c r="G595">
        <v>3</v>
      </c>
      <c r="H595" s="1" t="s">
        <v>33</v>
      </c>
      <c r="I595">
        <v>3</v>
      </c>
      <c r="J595">
        <v>2</v>
      </c>
      <c r="K595" s="1" t="s">
        <v>51</v>
      </c>
      <c r="L595">
        <v>2</v>
      </c>
      <c r="M595" s="1" t="s">
        <v>43</v>
      </c>
      <c r="N595">
        <v>5228</v>
      </c>
      <c r="O595">
        <v>0</v>
      </c>
      <c r="P595" s="1" t="s">
        <v>39</v>
      </c>
      <c r="Q595">
        <v>15</v>
      </c>
      <c r="R595">
        <v>1</v>
      </c>
      <c r="S595">
        <v>1</v>
      </c>
      <c r="T595">
        <v>10</v>
      </c>
      <c r="U595">
        <v>2</v>
      </c>
      <c r="V595">
        <v>3</v>
      </c>
      <c r="W595">
        <v>9</v>
      </c>
      <c r="X595">
        <v>7</v>
      </c>
      <c r="Y595">
        <v>0</v>
      </c>
      <c r="Z595">
        <v>5</v>
      </c>
      <c r="AA595">
        <v>0</v>
      </c>
      <c r="AB595" s="1" t="s">
        <v>36</v>
      </c>
      <c r="AC595" t="s">
        <v>37</v>
      </c>
      <c r="AD595" t="s">
        <v>38</v>
      </c>
      <c r="AE595" s="2">
        <v>580.88888888888891</v>
      </c>
    </row>
    <row r="596" spans="1:31" x14ac:dyDescent="0.35">
      <c r="A596">
        <v>29</v>
      </c>
      <c r="B596" s="1" t="s">
        <v>39</v>
      </c>
      <c r="C596" s="1" t="s">
        <v>40</v>
      </c>
      <c r="D596">
        <v>23</v>
      </c>
      <c r="E596">
        <v>2</v>
      </c>
      <c r="F596" s="1" t="s">
        <v>32</v>
      </c>
      <c r="G596">
        <v>3</v>
      </c>
      <c r="H596" s="1" t="s">
        <v>41</v>
      </c>
      <c r="I596">
        <v>4</v>
      </c>
      <c r="J596">
        <v>1</v>
      </c>
      <c r="K596" s="1" t="s">
        <v>42</v>
      </c>
      <c r="L596">
        <v>3</v>
      </c>
      <c r="M596" s="1" t="s">
        <v>43</v>
      </c>
      <c r="N596">
        <v>2700</v>
      </c>
      <c r="O596">
        <v>1</v>
      </c>
      <c r="P596" s="1" t="s">
        <v>39</v>
      </c>
      <c r="Q596">
        <v>24</v>
      </c>
      <c r="R596">
        <v>3</v>
      </c>
      <c r="S596">
        <v>1</v>
      </c>
      <c r="T596">
        <v>10</v>
      </c>
      <c r="U596">
        <v>3</v>
      </c>
      <c r="V596">
        <v>3</v>
      </c>
      <c r="W596">
        <v>10</v>
      </c>
      <c r="X596">
        <v>7</v>
      </c>
      <c r="Y596">
        <v>0</v>
      </c>
      <c r="Z596">
        <v>7</v>
      </c>
      <c r="AA596">
        <v>0</v>
      </c>
      <c r="AB596" s="1" t="s">
        <v>48</v>
      </c>
      <c r="AC596" t="s">
        <v>46</v>
      </c>
      <c r="AD596" t="s">
        <v>38</v>
      </c>
      <c r="AE596" s="2">
        <v>270</v>
      </c>
    </row>
    <row r="597" spans="1:31" x14ac:dyDescent="0.35">
      <c r="A597">
        <v>58</v>
      </c>
      <c r="B597" s="1" t="s">
        <v>30</v>
      </c>
      <c r="C597" s="1" t="s">
        <v>40</v>
      </c>
      <c r="D597">
        <v>2</v>
      </c>
      <c r="E597">
        <v>4</v>
      </c>
      <c r="F597" s="1" t="s">
        <v>32</v>
      </c>
      <c r="G597">
        <v>4</v>
      </c>
      <c r="H597" s="1" t="s">
        <v>41</v>
      </c>
      <c r="I597">
        <v>3</v>
      </c>
      <c r="J597">
        <v>5</v>
      </c>
      <c r="K597" s="1" t="s">
        <v>59</v>
      </c>
      <c r="L597">
        <v>2</v>
      </c>
      <c r="M597" s="1" t="s">
        <v>35</v>
      </c>
      <c r="N597">
        <v>19246</v>
      </c>
      <c r="O597">
        <v>7</v>
      </c>
      <c r="P597" s="1" t="s">
        <v>30</v>
      </c>
      <c r="Q597">
        <v>12</v>
      </c>
      <c r="R597">
        <v>4</v>
      </c>
      <c r="S597">
        <v>0</v>
      </c>
      <c r="T597">
        <v>40</v>
      </c>
      <c r="U597">
        <v>2</v>
      </c>
      <c r="V597">
        <v>3</v>
      </c>
      <c r="W597">
        <v>31</v>
      </c>
      <c r="X597">
        <v>15</v>
      </c>
      <c r="Y597">
        <v>13</v>
      </c>
      <c r="Z597">
        <v>8</v>
      </c>
      <c r="AA597">
        <v>1</v>
      </c>
      <c r="AB597" s="1" t="s">
        <v>82</v>
      </c>
      <c r="AC597" t="s">
        <v>56</v>
      </c>
      <c r="AD597" t="s">
        <v>57</v>
      </c>
      <c r="AE597" s="2">
        <v>620.83870967741939</v>
      </c>
    </row>
    <row r="598" spans="1:31" x14ac:dyDescent="0.35">
      <c r="A598">
        <v>35</v>
      </c>
      <c r="B598" s="1" t="s">
        <v>39</v>
      </c>
      <c r="C598" s="1" t="s">
        <v>40</v>
      </c>
      <c r="D598">
        <v>1</v>
      </c>
      <c r="E598">
        <v>4</v>
      </c>
      <c r="F598" s="1" t="s">
        <v>32</v>
      </c>
      <c r="G598">
        <v>4</v>
      </c>
      <c r="H598" s="1" t="s">
        <v>33</v>
      </c>
      <c r="I598">
        <v>4</v>
      </c>
      <c r="J598">
        <v>1</v>
      </c>
      <c r="K598" s="1" t="s">
        <v>42</v>
      </c>
      <c r="L598">
        <v>3</v>
      </c>
      <c r="M598" s="1" t="s">
        <v>35</v>
      </c>
      <c r="N598">
        <v>2506</v>
      </c>
      <c r="O598">
        <v>3</v>
      </c>
      <c r="P598" s="1" t="s">
        <v>39</v>
      </c>
      <c r="Q598">
        <v>13</v>
      </c>
      <c r="R598">
        <v>3</v>
      </c>
      <c r="S598">
        <v>0</v>
      </c>
      <c r="T598">
        <v>7</v>
      </c>
      <c r="U598">
        <v>0</v>
      </c>
      <c r="V598">
        <v>3</v>
      </c>
      <c r="W598">
        <v>2</v>
      </c>
      <c r="X598">
        <v>2</v>
      </c>
      <c r="Y598">
        <v>2</v>
      </c>
      <c r="Z598">
        <v>2</v>
      </c>
      <c r="AA598">
        <v>0</v>
      </c>
      <c r="AB598" s="1" t="s">
        <v>48</v>
      </c>
      <c r="AC598" t="s">
        <v>46</v>
      </c>
      <c r="AD598" t="s">
        <v>47</v>
      </c>
      <c r="AE598" s="2">
        <v>1253</v>
      </c>
    </row>
    <row r="599" spans="1:31" x14ac:dyDescent="0.35">
      <c r="A599">
        <v>42</v>
      </c>
      <c r="B599" s="1" t="s">
        <v>39</v>
      </c>
      <c r="C599" s="1" t="s">
        <v>40</v>
      </c>
      <c r="D599">
        <v>1</v>
      </c>
      <c r="E599">
        <v>2</v>
      </c>
      <c r="F599" s="1" t="s">
        <v>32</v>
      </c>
      <c r="G599">
        <v>4</v>
      </c>
      <c r="H599" s="1" t="s">
        <v>33</v>
      </c>
      <c r="I599">
        <v>2</v>
      </c>
      <c r="J599">
        <v>2</v>
      </c>
      <c r="K599" s="1" t="s">
        <v>51</v>
      </c>
      <c r="L599">
        <v>4</v>
      </c>
      <c r="M599" s="1" t="s">
        <v>43</v>
      </c>
      <c r="N599">
        <v>6062</v>
      </c>
      <c r="O599">
        <v>9</v>
      </c>
      <c r="P599" s="1" t="s">
        <v>30</v>
      </c>
      <c r="Q599">
        <v>13</v>
      </c>
      <c r="R599">
        <v>4</v>
      </c>
      <c r="S599">
        <v>1</v>
      </c>
      <c r="T599">
        <v>8</v>
      </c>
      <c r="U599">
        <v>4</v>
      </c>
      <c r="V599">
        <v>3</v>
      </c>
      <c r="W599">
        <v>4</v>
      </c>
      <c r="X599">
        <v>3</v>
      </c>
      <c r="Y599">
        <v>0</v>
      </c>
      <c r="Z599">
        <v>2</v>
      </c>
      <c r="AA599">
        <v>0</v>
      </c>
      <c r="AB599" s="1" t="s">
        <v>36</v>
      </c>
      <c r="AC599" t="s">
        <v>37</v>
      </c>
      <c r="AD599" t="s">
        <v>53</v>
      </c>
      <c r="AE599" s="2">
        <v>1515.5</v>
      </c>
    </row>
    <row r="600" spans="1:31" x14ac:dyDescent="0.35">
      <c r="A600">
        <v>28</v>
      </c>
      <c r="B600" s="1" t="s">
        <v>30</v>
      </c>
      <c r="C600" s="1" t="s">
        <v>40</v>
      </c>
      <c r="D600">
        <v>2</v>
      </c>
      <c r="E600">
        <v>4</v>
      </c>
      <c r="F600" s="1" t="s">
        <v>49</v>
      </c>
      <c r="G600">
        <v>3</v>
      </c>
      <c r="H600" s="1" t="s">
        <v>41</v>
      </c>
      <c r="I600">
        <v>3</v>
      </c>
      <c r="J600">
        <v>1</v>
      </c>
      <c r="K600" s="1" t="s">
        <v>42</v>
      </c>
      <c r="L600">
        <v>3</v>
      </c>
      <c r="M600" s="1" t="s">
        <v>35</v>
      </c>
      <c r="N600">
        <v>4382</v>
      </c>
      <c r="O600">
        <v>6</v>
      </c>
      <c r="P600" s="1" t="s">
        <v>39</v>
      </c>
      <c r="Q600">
        <v>17</v>
      </c>
      <c r="R600">
        <v>4</v>
      </c>
      <c r="S600">
        <v>0</v>
      </c>
      <c r="T600">
        <v>5</v>
      </c>
      <c r="U600">
        <v>3</v>
      </c>
      <c r="V600">
        <v>2</v>
      </c>
      <c r="W600">
        <v>2</v>
      </c>
      <c r="X600">
        <v>2</v>
      </c>
      <c r="Y600">
        <v>2</v>
      </c>
      <c r="Z600">
        <v>1</v>
      </c>
      <c r="AA600">
        <v>1</v>
      </c>
      <c r="AB600" s="1" t="s">
        <v>48</v>
      </c>
      <c r="AC600" t="s">
        <v>37</v>
      </c>
      <c r="AD600" t="s">
        <v>47</v>
      </c>
      <c r="AE600" s="2">
        <v>2191</v>
      </c>
    </row>
    <row r="601" spans="1:31" x14ac:dyDescent="0.35">
      <c r="A601">
        <v>36</v>
      </c>
      <c r="B601" s="1" t="s">
        <v>39</v>
      </c>
      <c r="C601" s="1" t="s">
        <v>62</v>
      </c>
      <c r="D601">
        <v>13</v>
      </c>
      <c r="E601">
        <v>3</v>
      </c>
      <c r="F601" s="1" t="s">
        <v>62</v>
      </c>
      <c r="G601">
        <v>3</v>
      </c>
      <c r="H601" s="1" t="s">
        <v>41</v>
      </c>
      <c r="I601">
        <v>3</v>
      </c>
      <c r="J601">
        <v>1</v>
      </c>
      <c r="K601" s="1" t="s">
        <v>62</v>
      </c>
      <c r="L601">
        <v>2</v>
      </c>
      <c r="M601" s="1" t="s">
        <v>43</v>
      </c>
      <c r="N601">
        <v>2143</v>
      </c>
      <c r="O601">
        <v>4</v>
      </c>
      <c r="P601" s="1" t="s">
        <v>39</v>
      </c>
      <c r="Q601">
        <v>13</v>
      </c>
      <c r="R601">
        <v>2</v>
      </c>
      <c r="S601">
        <v>1</v>
      </c>
      <c r="T601">
        <v>8</v>
      </c>
      <c r="U601">
        <v>2</v>
      </c>
      <c r="V601">
        <v>3</v>
      </c>
      <c r="W601">
        <v>5</v>
      </c>
      <c r="X601">
        <v>2</v>
      </c>
      <c r="Y601">
        <v>0</v>
      </c>
      <c r="Z601">
        <v>4</v>
      </c>
      <c r="AA601">
        <v>0</v>
      </c>
      <c r="AB601" s="1" t="s">
        <v>36</v>
      </c>
      <c r="AC601" t="s">
        <v>46</v>
      </c>
      <c r="AD601" t="s">
        <v>53</v>
      </c>
      <c r="AE601" s="2">
        <v>428.6</v>
      </c>
    </row>
    <row r="602" spans="1:31" x14ac:dyDescent="0.35">
      <c r="A602">
        <v>32</v>
      </c>
      <c r="B602" s="1" t="s">
        <v>39</v>
      </c>
      <c r="C602" s="1" t="s">
        <v>40</v>
      </c>
      <c r="D602">
        <v>4</v>
      </c>
      <c r="E602">
        <v>3</v>
      </c>
      <c r="F602" s="1" t="s">
        <v>32</v>
      </c>
      <c r="G602">
        <v>3</v>
      </c>
      <c r="H602" s="1" t="s">
        <v>33</v>
      </c>
      <c r="I602">
        <v>2</v>
      </c>
      <c r="J602">
        <v>2</v>
      </c>
      <c r="K602" s="1" t="s">
        <v>51</v>
      </c>
      <c r="L602">
        <v>3</v>
      </c>
      <c r="M602" s="1" t="s">
        <v>43</v>
      </c>
      <c r="N602">
        <v>6162</v>
      </c>
      <c r="O602">
        <v>1</v>
      </c>
      <c r="P602" s="1" t="s">
        <v>39</v>
      </c>
      <c r="Q602">
        <v>12</v>
      </c>
      <c r="R602">
        <v>3</v>
      </c>
      <c r="S602">
        <v>1</v>
      </c>
      <c r="T602">
        <v>14</v>
      </c>
      <c r="U602">
        <v>3</v>
      </c>
      <c r="V602">
        <v>3</v>
      </c>
      <c r="W602">
        <v>14</v>
      </c>
      <c r="X602">
        <v>13</v>
      </c>
      <c r="Y602">
        <v>6</v>
      </c>
      <c r="Z602">
        <v>8</v>
      </c>
      <c r="AA602">
        <v>0</v>
      </c>
      <c r="AB602" s="1" t="s">
        <v>48</v>
      </c>
      <c r="AC602" t="s">
        <v>37</v>
      </c>
      <c r="AD602" t="s">
        <v>57</v>
      </c>
      <c r="AE602" s="2">
        <v>440.14285714285717</v>
      </c>
    </row>
    <row r="603" spans="1:31" x14ac:dyDescent="0.35">
      <c r="A603">
        <v>40</v>
      </c>
      <c r="B603" s="1" t="s">
        <v>39</v>
      </c>
      <c r="C603" s="1" t="s">
        <v>40</v>
      </c>
      <c r="D603">
        <v>16</v>
      </c>
      <c r="E603">
        <v>4</v>
      </c>
      <c r="F603" s="1" t="s">
        <v>49</v>
      </c>
      <c r="G603">
        <v>1</v>
      </c>
      <c r="H603" s="1" t="s">
        <v>41</v>
      </c>
      <c r="I603">
        <v>2</v>
      </c>
      <c r="J603">
        <v>2</v>
      </c>
      <c r="K603" s="1" t="s">
        <v>45</v>
      </c>
      <c r="L603">
        <v>3</v>
      </c>
      <c r="M603" s="1" t="s">
        <v>35</v>
      </c>
      <c r="N603">
        <v>5094</v>
      </c>
      <c r="O603">
        <v>6</v>
      </c>
      <c r="P603" s="1" t="s">
        <v>39</v>
      </c>
      <c r="Q603">
        <v>14</v>
      </c>
      <c r="R603">
        <v>4</v>
      </c>
      <c r="S603">
        <v>0</v>
      </c>
      <c r="T603">
        <v>10</v>
      </c>
      <c r="U603">
        <v>6</v>
      </c>
      <c r="V603">
        <v>3</v>
      </c>
      <c r="W603">
        <v>1</v>
      </c>
      <c r="X603">
        <v>0</v>
      </c>
      <c r="Y603">
        <v>0</v>
      </c>
      <c r="Z603">
        <v>0</v>
      </c>
      <c r="AA603">
        <v>0</v>
      </c>
      <c r="AB603" s="1" t="s">
        <v>36</v>
      </c>
      <c r="AC603" t="s">
        <v>37</v>
      </c>
      <c r="AD603" t="s">
        <v>47</v>
      </c>
      <c r="AE603" s="2">
        <v>5094</v>
      </c>
    </row>
    <row r="604" spans="1:31" x14ac:dyDescent="0.35">
      <c r="A604">
        <v>30</v>
      </c>
      <c r="B604" s="1" t="s">
        <v>39</v>
      </c>
      <c r="C604" s="1" t="s">
        <v>40</v>
      </c>
      <c r="D604">
        <v>2</v>
      </c>
      <c r="E604">
        <v>3</v>
      </c>
      <c r="F604" s="1" t="s">
        <v>49</v>
      </c>
      <c r="G604">
        <v>3</v>
      </c>
      <c r="H604" s="1" t="s">
        <v>33</v>
      </c>
      <c r="I604">
        <v>2</v>
      </c>
      <c r="J604">
        <v>2</v>
      </c>
      <c r="K604" s="1" t="s">
        <v>51</v>
      </c>
      <c r="L604">
        <v>4</v>
      </c>
      <c r="M604" s="1" t="s">
        <v>35</v>
      </c>
      <c r="N604">
        <v>6877</v>
      </c>
      <c r="O604">
        <v>5</v>
      </c>
      <c r="P604" s="1" t="s">
        <v>30</v>
      </c>
      <c r="Q604">
        <v>24</v>
      </c>
      <c r="R604">
        <v>2</v>
      </c>
      <c r="S604">
        <v>0</v>
      </c>
      <c r="T604">
        <v>12</v>
      </c>
      <c r="U604">
        <v>4</v>
      </c>
      <c r="V604">
        <v>2</v>
      </c>
      <c r="W604">
        <v>0</v>
      </c>
      <c r="X604">
        <v>0</v>
      </c>
      <c r="Y604">
        <v>0</v>
      </c>
      <c r="Z604">
        <v>0</v>
      </c>
      <c r="AA604">
        <v>0</v>
      </c>
      <c r="AB604" s="1" t="s">
        <v>48</v>
      </c>
      <c r="AC604" t="s">
        <v>37</v>
      </c>
      <c r="AD604" t="s">
        <v>47</v>
      </c>
      <c r="AE604" s="2">
        <v>6877</v>
      </c>
    </row>
    <row r="605" spans="1:31" x14ac:dyDescent="0.35">
      <c r="A605">
        <v>45</v>
      </c>
      <c r="B605" s="1" t="s">
        <v>39</v>
      </c>
      <c r="C605" s="1" t="s">
        <v>40</v>
      </c>
      <c r="D605">
        <v>2</v>
      </c>
      <c r="E605">
        <v>3</v>
      </c>
      <c r="F605" s="1" t="s">
        <v>32</v>
      </c>
      <c r="G605">
        <v>2</v>
      </c>
      <c r="H605" s="1" t="s">
        <v>33</v>
      </c>
      <c r="I605">
        <v>2</v>
      </c>
      <c r="J605">
        <v>1</v>
      </c>
      <c r="K605" s="1" t="s">
        <v>42</v>
      </c>
      <c r="L605">
        <v>3</v>
      </c>
      <c r="M605" s="1" t="s">
        <v>35</v>
      </c>
      <c r="N605">
        <v>2274</v>
      </c>
      <c r="O605">
        <v>1</v>
      </c>
      <c r="P605" s="1" t="s">
        <v>39</v>
      </c>
      <c r="Q605">
        <v>14</v>
      </c>
      <c r="R605">
        <v>4</v>
      </c>
      <c r="S605">
        <v>0</v>
      </c>
      <c r="T605">
        <v>1</v>
      </c>
      <c r="U605">
        <v>3</v>
      </c>
      <c r="V605">
        <v>3</v>
      </c>
      <c r="W605">
        <v>1</v>
      </c>
      <c r="X605">
        <v>0</v>
      </c>
      <c r="Y605">
        <v>0</v>
      </c>
      <c r="Z605">
        <v>0</v>
      </c>
      <c r="AA605">
        <v>0</v>
      </c>
      <c r="AB605" s="1" t="s">
        <v>36</v>
      </c>
      <c r="AC605" t="s">
        <v>46</v>
      </c>
      <c r="AD605" t="s">
        <v>47</v>
      </c>
      <c r="AE605" s="2">
        <v>2274</v>
      </c>
    </row>
    <row r="606" spans="1:31" x14ac:dyDescent="0.35">
      <c r="A606">
        <v>42</v>
      </c>
      <c r="B606" s="1" t="s">
        <v>39</v>
      </c>
      <c r="C606" s="1" t="s">
        <v>40</v>
      </c>
      <c r="D606">
        <v>29</v>
      </c>
      <c r="E606">
        <v>3</v>
      </c>
      <c r="F606" s="1" t="s">
        <v>32</v>
      </c>
      <c r="G606">
        <v>2</v>
      </c>
      <c r="H606" s="1" t="s">
        <v>41</v>
      </c>
      <c r="I606">
        <v>3</v>
      </c>
      <c r="J606">
        <v>2</v>
      </c>
      <c r="K606" s="1" t="s">
        <v>51</v>
      </c>
      <c r="L606">
        <v>2</v>
      </c>
      <c r="M606" s="1" t="s">
        <v>43</v>
      </c>
      <c r="N606">
        <v>4434</v>
      </c>
      <c r="O606">
        <v>1</v>
      </c>
      <c r="P606" s="1" t="s">
        <v>39</v>
      </c>
      <c r="Q606">
        <v>13</v>
      </c>
      <c r="R606">
        <v>4</v>
      </c>
      <c r="S606">
        <v>1</v>
      </c>
      <c r="T606">
        <v>10</v>
      </c>
      <c r="U606">
        <v>3</v>
      </c>
      <c r="V606">
        <v>2</v>
      </c>
      <c r="W606">
        <v>9</v>
      </c>
      <c r="X606">
        <v>8</v>
      </c>
      <c r="Y606">
        <v>7</v>
      </c>
      <c r="Z606">
        <v>8</v>
      </c>
      <c r="AA606">
        <v>0</v>
      </c>
      <c r="AB606" s="1" t="s">
        <v>36</v>
      </c>
      <c r="AC606" t="s">
        <v>37</v>
      </c>
      <c r="AD606" t="s">
        <v>38</v>
      </c>
      <c r="AE606" s="2">
        <v>492.66666666666669</v>
      </c>
    </row>
    <row r="607" spans="1:31" x14ac:dyDescent="0.35">
      <c r="A607">
        <v>38</v>
      </c>
      <c r="B607" s="1" t="s">
        <v>39</v>
      </c>
      <c r="C607" s="1" t="s">
        <v>40</v>
      </c>
      <c r="D607">
        <v>12</v>
      </c>
      <c r="E607">
        <v>3</v>
      </c>
      <c r="F607" s="1" t="s">
        <v>32</v>
      </c>
      <c r="G607">
        <v>1</v>
      </c>
      <c r="H607" s="1" t="s">
        <v>41</v>
      </c>
      <c r="I607">
        <v>2</v>
      </c>
      <c r="J607">
        <v>2</v>
      </c>
      <c r="K607" s="1" t="s">
        <v>52</v>
      </c>
      <c r="L607">
        <v>1</v>
      </c>
      <c r="M607" s="1" t="s">
        <v>50</v>
      </c>
      <c r="N607">
        <v>6288</v>
      </c>
      <c r="O607">
        <v>2</v>
      </c>
      <c r="P607" s="1" t="s">
        <v>39</v>
      </c>
      <c r="Q607">
        <v>15</v>
      </c>
      <c r="R607">
        <v>3</v>
      </c>
      <c r="S607">
        <v>1</v>
      </c>
      <c r="T607">
        <v>13</v>
      </c>
      <c r="U607">
        <v>3</v>
      </c>
      <c r="V607">
        <v>2</v>
      </c>
      <c r="W607">
        <v>4</v>
      </c>
      <c r="X607">
        <v>3</v>
      </c>
      <c r="Y607">
        <v>1</v>
      </c>
      <c r="Z607">
        <v>2</v>
      </c>
      <c r="AA607">
        <v>0</v>
      </c>
      <c r="AB607" s="1" t="s">
        <v>36</v>
      </c>
      <c r="AC607" t="s">
        <v>37</v>
      </c>
      <c r="AD607" t="s">
        <v>53</v>
      </c>
      <c r="AE607" s="2">
        <v>1572</v>
      </c>
    </row>
    <row r="608" spans="1:31" x14ac:dyDescent="0.35">
      <c r="A608">
        <v>34</v>
      </c>
      <c r="B608" s="1" t="s">
        <v>39</v>
      </c>
      <c r="C608" s="1" t="s">
        <v>40</v>
      </c>
      <c r="D608">
        <v>16</v>
      </c>
      <c r="E608">
        <v>4</v>
      </c>
      <c r="F608" s="1" t="s">
        <v>32</v>
      </c>
      <c r="G608">
        <v>3</v>
      </c>
      <c r="H608" s="1" t="s">
        <v>33</v>
      </c>
      <c r="I608">
        <v>2</v>
      </c>
      <c r="J608">
        <v>1</v>
      </c>
      <c r="K608" s="1" t="s">
        <v>42</v>
      </c>
      <c r="L608">
        <v>4</v>
      </c>
      <c r="M608" s="1" t="s">
        <v>35</v>
      </c>
      <c r="N608">
        <v>2553</v>
      </c>
      <c r="O608">
        <v>1</v>
      </c>
      <c r="P608" s="1" t="s">
        <v>39</v>
      </c>
      <c r="Q608">
        <v>16</v>
      </c>
      <c r="R608">
        <v>3</v>
      </c>
      <c r="S608">
        <v>0</v>
      </c>
      <c r="T608">
        <v>6</v>
      </c>
      <c r="U608">
        <v>3</v>
      </c>
      <c r="V608">
        <v>3</v>
      </c>
      <c r="W608">
        <v>5</v>
      </c>
      <c r="X608">
        <v>2</v>
      </c>
      <c r="Y608">
        <v>1</v>
      </c>
      <c r="Z608">
        <v>3</v>
      </c>
      <c r="AA608">
        <v>0</v>
      </c>
      <c r="AB608" s="1" t="s">
        <v>48</v>
      </c>
      <c r="AC608" t="s">
        <v>46</v>
      </c>
      <c r="AD608" t="s">
        <v>53</v>
      </c>
      <c r="AE608" s="2">
        <v>510.6</v>
      </c>
    </row>
    <row r="609" spans="1:31" x14ac:dyDescent="0.35">
      <c r="A609">
        <v>49</v>
      </c>
      <c r="B609" s="1" t="s">
        <v>30</v>
      </c>
      <c r="C609" s="1" t="s">
        <v>31</v>
      </c>
      <c r="D609">
        <v>11</v>
      </c>
      <c r="E609">
        <v>3</v>
      </c>
      <c r="F609" s="1" t="s">
        <v>60</v>
      </c>
      <c r="G609">
        <v>3</v>
      </c>
      <c r="H609" s="1" t="s">
        <v>33</v>
      </c>
      <c r="I609">
        <v>3</v>
      </c>
      <c r="J609">
        <v>3</v>
      </c>
      <c r="K609" s="1" t="s">
        <v>34</v>
      </c>
      <c r="L609">
        <v>4</v>
      </c>
      <c r="M609" s="1" t="s">
        <v>43</v>
      </c>
      <c r="N609">
        <v>7654</v>
      </c>
      <c r="O609">
        <v>1</v>
      </c>
      <c r="P609" s="1" t="s">
        <v>39</v>
      </c>
      <c r="Q609">
        <v>18</v>
      </c>
      <c r="R609">
        <v>1</v>
      </c>
      <c r="S609">
        <v>2</v>
      </c>
      <c r="T609">
        <v>9</v>
      </c>
      <c r="U609">
        <v>3</v>
      </c>
      <c r="V609">
        <v>4</v>
      </c>
      <c r="W609">
        <v>9</v>
      </c>
      <c r="X609">
        <v>8</v>
      </c>
      <c r="Y609">
        <v>7</v>
      </c>
      <c r="Z609">
        <v>7</v>
      </c>
      <c r="AA609">
        <v>1</v>
      </c>
      <c r="AB609" s="1" t="s">
        <v>82</v>
      </c>
      <c r="AC609" t="s">
        <v>37</v>
      </c>
      <c r="AD609" t="s">
        <v>38</v>
      </c>
      <c r="AE609" s="2">
        <v>850.44444444444446</v>
      </c>
    </row>
    <row r="610" spans="1:31" x14ac:dyDescent="0.35">
      <c r="A610">
        <v>55</v>
      </c>
      <c r="B610" s="1" t="s">
        <v>30</v>
      </c>
      <c r="C610" s="1" t="s">
        <v>31</v>
      </c>
      <c r="D610">
        <v>2</v>
      </c>
      <c r="E610">
        <v>1</v>
      </c>
      <c r="F610" s="1" t="s">
        <v>49</v>
      </c>
      <c r="G610">
        <v>3</v>
      </c>
      <c r="H610" s="1" t="s">
        <v>41</v>
      </c>
      <c r="I610">
        <v>3</v>
      </c>
      <c r="J610">
        <v>2</v>
      </c>
      <c r="K610" s="1" t="s">
        <v>34</v>
      </c>
      <c r="L610">
        <v>4</v>
      </c>
      <c r="M610" s="1" t="s">
        <v>35</v>
      </c>
      <c r="N610">
        <v>5160</v>
      </c>
      <c r="O610">
        <v>4</v>
      </c>
      <c r="P610" s="1" t="s">
        <v>39</v>
      </c>
      <c r="Q610">
        <v>16</v>
      </c>
      <c r="R610">
        <v>3</v>
      </c>
      <c r="S610">
        <v>0</v>
      </c>
      <c r="T610">
        <v>12</v>
      </c>
      <c r="U610">
        <v>3</v>
      </c>
      <c r="V610">
        <v>2</v>
      </c>
      <c r="W610">
        <v>9</v>
      </c>
      <c r="X610">
        <v>7</v>
      </c>
      <c r="Y610">
        <v>7</v>
      </c>
      <c r="Z610">
        <v>3</v>
      </c>
      <c r="AA610">
        <v>1</v>
      </c>
      <c r="AB610" s="1" t="s">
        <v>82</v>
      </c>
      <c r="AC610" t="s">
        <v>37</v>
      </c>
      <c r="AD610" t="s">
        <v>38</v>
      </c>
      <c r="AE610" s="2">
        <v>573.33333333333337</v>
      </c>
    </row>
    <row r="611" spans="1:31" x14ac:dyDescent="0.35">
      <c r="A611">
        <v>43</v>
      </c>
      <c r="B611" s="1" t="s">
        <v>39</v>
      </c>
      <c r="C611" s="1" t="s">
        <v>40</v>
      </c>
      <c r="D611">
        <v>14</v>
      </c>
      <c r="E611">
        <v>2</v>
      </c>
      <c r="F611" s="1" t="s">
        <v>32</v>
      </c>
      <c r="G611">
        <v>2</v>
      </c>
      <c r="H611" s="1" t="s">
        <v>41</v>
      </c>
      <c r="I611">
        <v>3</v>
      </c>
      <c r="J611">
        <v>4</v>
      </c>
      <c r="K611" s="1" t="s">
        <v>59</v>
      </c>
      <c r="L611">
        <v>1</v>
      </c>
      <c r="M611" s="1" t="s">
        <v>43</v>
      </c>
      <c r="N611">
        <v>17159</v>
      </c>
      <c r="O611">
        <v>6</v>
      </c>
      <c r="P611" s="1" t="s">
        <v>39</v>
      </c>
      <c r="Q611">
        <v>24</v>
      </c>
      <c r="R611">
        <v>3</v>
      </c>
      <c r="S611">
        <v>1</v>
      </c>
      <c r="T611">
        <v>22</v>
      </c>
      <c r="U611">
        <v>3</v>
      </c>
      <c r="V611">
        <v>3</v>
      </c>
      <c r="W611">
        <v>4</v>
      </c>
      <c r="X611">
        <v>1</v>
      </c>
      <c r="Y611">
        <v>1</v>
      </c>
      <c r="Z611">
        <v>0</v>
      </c>
      <c r="AA611">
        <v>0</v>
      </c>
      <c r="AB611" s="1" t="s">
        <v>36</v>
      </c>
      <c r="AC611" t="s">
        <v>56</v>
      </c>
      <c r="AD611" t="s">
        <v>53</v>
      </c>
      <c r="AE611" s="2">
        <v>4289.75</v>
      </c>
    </row>
    <row r="612" spans="1:31" x14ac:dyDescent="0.35">
      <c r="A612">
        <v>27</v>
      </c>
      <c r="B612" s="1" t="s">
        <v>39</v>
      </c>
      <c r="C612" s="1" t="s">
        <v>40</v>
      </c>
      <c r="D612">
        <v>5</v>
      </c>
      <c r="E612">
        <v>1</v>
      </c>
      <c r="F612" s="1" t="s">
        <v>61</v>
      </c>
      <c r="G612">
        <v>3</v>
      </c>
      <c r="H612" s="1" t="s">
        <v>41</v>
      </c>
      <c r="I612">
        <v>2</v>
      </c>
      <c r="J612">
        <v>3</v>
      </c>
      <c r="K612" s="1" t="s">
        <v>59</v>
      </c>
      <c r="L612">
        <v>4</v>
      </c>
      <c r="M612" s="1" t="s">
        <v>50</v>
      </c>
      <c r="N612">
        <v>12808</v>
      </c>
      <c r="O612">
        <v>1</v>
      </c>
      <c r="P612" s="1" t="s">
        <v>30</v>
      </c>
      <c r="Q612">
        <v>16</v>
      </c>
      <c r="R612">
        <v>2</v>
      </c>
      <c r="S612">
        <v>1</v>
      </c>
      <c r="T612">
        <v>9</v>
      </c>
      <c r="U612">
        <v>3</v>
      </c>
      <c r="V612">
        <v>3</v>
      </c>
      <c r="W612">
        <v>9</v>
      </c>
      <c r="X612">
        <v>8</v>
      </c>
      <c r="Y612">
        <v>0</v>
      </c>
      <c r="Z612">
        <v>8</v>
      </c>
      <c r="AA612">
        <v>0</v>
      </c>
      <c r="AB612" s="1" t="s">
        <v>48</v>
      </c>
      <c r="AC612" t="s">
        <v>56</v>
      </c>
      <c r="AD612" t="s">
        <v>38</v>
      </c>
      <c r="AE612" s="2">
        <v>1423.1111111111111</v>
      </c>
    </row>
    <row r="613" spans="1:31" x14ac:dyDescent="0.35">
      <c r="A613">
        <v>35</v>
      </c>
      <c r="B613" s="1" t="s">
        <v>39</v>
      </c>
      <c r="C613" s="1" t="s">
        <v>40</v>
      </c>
      <c r="D613">
        <v>7</v>
      </c>
      <c r="E613">
        <v>3</v>
      </c>
      <c r="F613" s="1" t="s">
        <v>44</v>
      </c>
      <c r="G613">
        <v>3</v>
      </c>
      <c r="H613" s="1" t="s">
        <v>41</v>
      </c>
      <c r="I613">
        <v>3</v>
      </c>
      <c r="J613">
        <v>3</v>
      </c>
      <c r="K613" s="1" t="s">
        <v>51</v>
      </c>
      <c r="L613">
        <v>3</v>
      </c>
      <c r="M613" s="1" t="s">
        <v>35</v>
      </c>
      <c r="N613">
        <v>10221</v>
      </c>
      <c r="O613">
        <v>3</v>
      </c>
      <c r="P613" s="1" t="s">
        <v>39</v>
      </c>
      <c r="Q613">
        <v>21</v>
      </c>
      <c r="R613">
        <v>2</v>
      </c>
      <c r="S613">
        <v>0</v>
      </c>
      <c r="T613">
        <v>17</v>
      </c>
      <c r="U613">
        <v>3</v>
      </c>
      <c r="V613">
        <v>4</v>
      </c>
      <c r="W613">
        <v>8</v>
      </c>
      <c r="X613">
        <v>5</v>
      </c>
      <c r="Y613">
        <v>1</v>
      </c>
      <c r="Z613">
        <v>6</v>
      </c>
      <c r="AA613">
        <v>0</v>
      </c>
      <c r="AB613" s="1" t="s">
        <v>48</v>
      </c>
      <c r="AC613" t="s">
        <v>56</v>
      </c>
      <c r="AD613" t="s">
        <v>38</v>
      </c>
      <c r="AE613" s="2">
        <v>1277.625</v>
      </c>
    </row>
    <row r="614" spans="1:31" x14ac:dyDescent="0.35">
      <c r="A614">
        <v>28</v>
      </c>
      <c r="B614" s="1" t="s">
        <v>39</v>
      </c>
      <c r="C614" s="1" t="s">
        <v>31</v>
      </c>
      <c r="D614">
        <v>2</v>
      </c>
      <c r="E614">
        <v>4</v>
      </c>
      <c r="F614" s="1" t="s">
        <v>60</v>
      </c>
      <c r="G614">
        <v>2</v>
      </c>
      <c r="H614" s="1" t="s">
        <v>33</v>
      </c>
      <c r="I614">
        <v>3</v>
      </c>
      <c r="J614">
        <v>2</v>
      </c>
      <c r="K614" s="1" t="s">
        <v>34</v>
      </c>
      <c r="L614">
        <v>2</v>
      </c>
      <c r="M614" s="1" t="s">
        <v>43</v>
      </c>
      <c r="N614">
        <v>4779</v>
      </c>
      <c r="O614">
        <v>1</v>
      </c>
      <c r="P614" s="1" t="s">
        <v>30</v>
      </c>
      <c r="Q614">
        <v>20</v>
      </c>
      <c r="R614">
        <v>1</v>
      </c>
      <c r="S614">
        <v>0</v>
      </c>
      <c r="T614">
        <v>8</v>
      </c>
      <c r="U614">
        <v>2</v>
      </c>
      <c r="V614">
        <v>3</v>
      </c>
      <c r="W614">
        <v>8</v>
      </c>
      <c r="X614">
        <v>7</v>
      </c>
      <c r="Y614">
        <v>7</v>
      </c>
      <c r="Z614">
        <v>5</v>
      </c>
      <c r="AA614">
        <v>0</v>
      </c>
      <c r="AB614" s="1" t="s">
        <v>48</v>
      </c>
      <c r="AC614" t="s">
        <v>37</v>
      </c>
      <c r="AD614" t="s">
        <v>38</v>
      </c>
      <c r="AE614" s="2">
        <v>597.375</v>
      </c>
    </row>
    <row r="615" spans="1:31" x14ac:dyDescent="0.35">
      <c r="A615">
        <v>34</v>
      </c>
      <c r="B615" s="1" t="s">
        <v>39</v>
      </c>
      <c r="C615" s="1" t="s">
        <v>62</v>
      </c>
      <c r="D615">
        <v>3</v>
      </c>
      <c r="E615">
        <v>2</v>
      </c>
      <c r="F615" s="1" t="s">
        <v>62</v>
      </c>
      <c r="G615">
        <v>3</v>
      </c>
      <c r="H615" s="1" t="s">
        <v>41</v>
      </c>
      <c r="I615">
        <v>3</v>
      </c>
      <c r="J615">
        <v>1</v>
      </c>
      <c r="K615" s="1" t="s">
        <v>62</v>
      </c>
      <c r="L615">
        <v>4</v>
      </c>
      <c r="M615" s="1" t="s">
        <v>43</v>
      </c>
      <c r="N615">
        <v>3737</v>
      </c>
      <c r="O615">
        <v>0</v>
      </c>
      <c r="P615" s="1" t="s">
        <v>39</v>
      </c>
      <c r="Q615">
        <v>19</v>
      </c>
      <c r="R615">
        <v>3</v>
      </c>
      <c r="S615">
        <v>1</v>
      </c>
      <c r="T615">
        <v>4</v>
      </c>
      <c r="U615">
        <v>1</v>
      </c>
      <c r="V615">
        <v>1</v>
      </c>
      <c r="W615">
        <v>3</v>
      </c>
      <c r="X615">
        <v>2</v>
      </c>
      <c r="Y615">
        <v>0</v>
      </c>
      <c r="Z615">
        <v>2</v>
      </c>
      <c r="AA615">
        <v>0</v>
      </c>
      <c r="AB615" s="1" t="s">
        <v>48</v>
      </c>
      <c r="AC615" t="s">
        <v>46</v>
      </c>
      <c r="AD615" t="s">
        <v>53</v>
      </c>
      <c r="AE615" s="2">
        <v>1245.6666666666667</v>
      </c>
    </row>
    <row r="616" spans="1:31" x14ac:dyDescent="0.35">
      <c r="A616">
        <v>26</v>
      </c>
      <c r="B616" s="1" t="s">
        <v>30</v>
      </c>
      <c r="C616" s="1" t="s">
        <v>40</v>
      </c>
      <c r="D616">
        <v>5</v>
      </c>
      <c r="E616">
        <v>2</v>
      </c>
      <c r="F616" s="1" t="s">
        <v>49</v>
      </c>
      <c r="G616">
        <v>3</v>
      </c>
      <c r="H616" s="1" t="s">
        <v>33</v>
      </c>
      <c r="I616">
        <v>2</v>
      </c>
      <c r="J616">
        <v>1</v>
      </c>
      <c r="K616" s="1" t="s">
        <v>42</v>
      </c>
      <c r="L616">
        <v>3</v>
      </c>
      <c r="M616" s="1" t="s">
        <v>43</v>
      </c>
      <c r="N616">
        <v>2366</v>
      </c>
      <c r="O616">
        <v>1</v>
      </c>
      <c r="P616" s="1" t="s">
        <v>30</v>
      </c>
      <c r="Q616">
        <v>14</v>
      </c>
      <c r="R616">
        <v>1</v>
      </c>
      <c r="S616">
        <v>1</v>
      </c>
      <c r="T616">
        <v>8</v>
      </c>
      <c r="U616">
        <v>2</v>
      </c>
      <c r="V616">
        <v>3</v>
      </c>
      <c r="W616">
        <v>8</v>
      </c>
      <c r="X616">
        <v>7</v>
      </c>
      <c r="Y616">
        <v>1</v>
      </c>
      <c r="Z616">
        <v>7</v>
      </c>
      <c r="AA616">
        <v>1</v>
      </c>
      <c r="AB616" s="1" t="s">
        <v>48</v>
      </c>
      <c r="AC616" t="s">
        <v>46</v>
      </c>
      <c r="AD616" t="s">
        <v>38</v>
      </c>
      <c r="AE616" s="2">
        <v>295.75</v>
      </c>
    </row>
    <row r="617" spans="1:31" x14ac:dyDescent="0.35">
      <c r="A617">
        <v>27</v>
      </c>
      <c r="B617" s="1" t="s">
        <v>39</v>
      </c>
      <c r="C617" s="1" t="s">
        <v>40</v>
      </c>
      <c r="D617">
        <v>3</v>
      </c>
      <c r="E617">
        <v>3</v>
      </c>
      <c r="F617" s="1" t="s">
        <v>49</v>
      </c>
      <c r="G617">
        <v>4</v>
      </c>
      <c r="H617" s="1" t="s">
        <v>41</v>
      </c>
      <c r="I617">
        <v>3</v>
      </c>
      <c r="J617">
        <v>1</v>
      </c>
      <c r="K617" s="1" t="s">
        <v>42</v>
      </c>
      <c r="L617">
        <v>4</v>
      </c>
      <c r="M617" s="1" t="s">
        <v>43</v>
      </c>
      <c r="N617">
        <v>1706</v>
      </c>
      <c r="O617">
        <v>1</v>
      </c>
      <c r="P617" s="1" t="s">
        <v>39</v>
      </c>
      <c r="Q617">
        <v>11</v>
      </c>
      <c r="R617">
        <v>3</v>
      </c>
      <c r="S617">
        <v>3</v>
      </c>
      <c r="T617">
        <v>0</v>
      </c>
      <c r="U617">
        <v>6</v>
      </c>
      <c r="V617">
        <v>2</v>
      </c>
      <c r="W617">
        <v>0</v>
      </c>
      <c r="X617">
        <v>0</v>
      </c>
      <c r="Y617">
        <v>0</v>
      </c>
      <c r="Z617">
        <v>0</v>
      </c>
      <c r="AA617">
        <v>0</v>
      </c>
      <c r="AB617" s="1" t="s">
        <v>48</v>
      </c>
      <c r="AC617" t="s">
        <v>46</v>
      </c>
      <c r="AD617" t="s">
        <v>47</v>
      </c>
      <c r="AE617" s="2">
        <v>1706</v>
      </c>
    </row>
    <row r="618" spans="1:31" x14ac:dyDescent="0.35">
      <c r="A618">
        <v>51</v>
      </c>
      <c r="B618" s="1" t="s">
        <v>39</v>
      </c>
      <c r="C618" s="1" t="s">
        <v>31</v>
      </c>
      <c r="D618">
        <v>26</v>
      </c>
      <c r="E618">
        <v>4</v>
      </c>
      <c r="F618" s="1" t="s">
        <v>60</v>
      </c>
      <c r="G618">
        <v>1</v>
      </c>
      <c r="H618" s="1" t="s">
        <v>33</v>
      </c>
      <c r="I618">
        <v>3</v>
      </c>
      <c r="J618">
        <v>4</v>
      </c>
      <c r="K618" s="1" t="s">
        <v>55</v>
      </c>
      <c r="L618">
        <v>3</v>
      </c>
      <c r="M618" s="1" t="s">
        <v>43</v>
      </c>
      <c r="N618">
        <v>16307</v>
      </c>
      <c r="O618">
        <v>2</v>
      </c>
      <c r="P618" s="1" t="s">
        <v>39</v>
      </c>
      <c r="Q618">
        <v>14</v>
      </c>
      <c r="R618">
        <v>3</v>
      </c>
      <c r="S618">
        <v>1</v>
      </c>
      <c r="T618">
        <v>29</v>
      </c>
      <c r="U618">
        <v>2</v>
      </c>
      <c r="V618">
        <v>2</v>
      </c>
      <c r="W618">
        <v>20</v>
      </c>
      <c r="X618">
        <v>6</v>
      </c>
      <c r="Y618">
        <v>4</v>
      </c>
      <c r="Z618">
        <v>17</v>
      </c>
      <c r="AA618">
        <v>0</v>
      </c>
      <c r="AB618" s="1" t="s">
        <v>82</v>
      </c>
      <c r="AC618" t="s">
        <v>56</v>
      </c>
      <c r="AD618" t="s">
        <v>57</v>
      </c>
      <c r="AE618" s="2">
        <v>815.35</v>
      </c>
    </row>
    <row r="619" spans="1:31" x14ac:dyDescent="0.35">
      <c r="A619">
        <v>44</v>
      </c>
      <c r="B619" s="1" t="s">
        <v>39</v>
      </c>
      <c r="C619" s="1" t="s">
        <v>40</v>
      </c>
      <c r="D619">
        <v>4</v>
      </c>
      <c r="E619">
        <v>3</v>
      </c>
      <c r="F619" s="1" t="s">
        <v>49</v>
      </c>
      <c r="G619">
        <v>4</v>
      </c>
      <c r="H619" s="1" t="s">
        <v>41</v>
      </c>
      <c r="I619">
        <v>3</v>
      </c>
      <c r="J619">
        <v>2</v>
      </c>
      <c r="K619" s="1" t="s">
        <v>52</v>
      </c>
      <c r="L619">
        <v>2</v>
      </c>
      <c r="M619" s="1" t="s">
        <v>35</v>
      </c>
      <c r="N619">
        <v>5933</v>
      </c>
      <c r="O619">
        <v>9</v>
      </c>
      <c r="P619" s="1" t="s">
        <v>39</v>
      </c>
      <c r="Q619">
        <v>12</v>
      </c>
      <c r="R619">
        <v>4</v>
      </c>
      <c r="S619">
        <v>0</v>
      </c>
      <c r="T619">
        <v>10</v>
      </c>
      <c r="U619">
        <v>2</v>
      </c>
      <c r="V619">
        <v>2</v>
      </c>
      <c r="W619">
        <v>5</v>
      </c>
      <c r="X619">
        <v>2</v>
      </c>
      <c r="Y619">
        <v>2</v>
      </c>
      <c r="Z619">
        <v>3</v>
      </c>
      <c r="AA619">
        <v>0</v>
      </c>
      <c r="AB619" s="1" t="s">
        <v>36</v>
      </c>
      <c r="AC619" t="s">
        <v>37</v>
      </c>
      <c r="AD619" t="s">
        <v>53</v>
      </c>
      <c r="AE619" s="2">
        <v>1186.5999999999999</v>
      </c>
    </row>
    <row r="620" spans="1:31" x14ac:dyDescent="0.35">
      <c r="A620">
        <v>25</v>
      </c>
      <c r="B620" s="1" t="s">
        <v>39</v>
      </c>
      <c r="C620" s="1" t="s">
        <v>40</v>
      </c>
      <c r="D620">
        <v>2</v>
      </c>
      <c r="E620">
        <v>1</v>
      </c>
      <c r="F620" s="1" t="s">
        <v>49</v>
      </c>
      <c r="G620">
        <v>1</v>
      </c>
      <c r="H620" s="1" t="s">
        <v>41</v>
      </c>
      <c r="I620">
        <v>4</v>
      </c>
      <c r="J620">
        <v>1</v>
      </c>
      <c r="K620" s="1" t="s">
        <v>42</v>
      </c>
      <c r="L620">
        <v>1</v>
      </c>
      <c r="M620" s="1" t="s">
        <v>35</v>
      </c>
      <c r="N620">
        <v>3424</v>
      </c>
      <c r="O620">
        <v>7</v>
      </c>
      <c r="P620" s="1" t="s">
        <v>39</v>
      </c>
      <c r="Q620">
        <v>13</v>
      </c>
      <c r="R620">
        <v>3</v>
      </c>
      <c r="S620">
        <v>0</v>
      </c>
      <c r="T620">
        <v>6</v>
      </c>
      <c r="U620">
        <v>3</v>
      </c>
      <c r="V620">
        <v>2</v>
      </c>
      <c r="W620">
        <v>4</v>
      </c>
      <c r="X620">
        <v>3</v>
      </c>
      <c r="Y620">
        <v>0</v>
      </c>
      <c r="Z620">
        <v>1</v>
      </c>
      <c r="AA620">
        <v>0</v>
      </c>
      <c r="AB620" s="1" t="s">
        <v>54</v>
      </c>
      <c r="AC620" t="s">
        <v>46</v>
      </c>
      <c r="AD620" t="s">
        <v>53</v>
      </c>
      <c r="AE620" s="2">
        <v>856</v>
      </c>
    </row>
    <row r="621" spans="1:31" x14ac:dyDescent="0.35">
      <c r="A621">
        <v>33</v>
      </c>
      <c r="B621" s="1" t="s">
        <v>39</v>
      </c>
      <c r="C621" s="1" t="s">
        <v>31</v>
      </c>
      <c r="D621">
        <v>1</v>
      </c>
      <c r="E621">
        <v>3</v>
      </c>
      <c r="F621" s="1" t="s">
        <v>49</v>
      </c>
      <c r="G621">
        <v>1</v>
      </c>
      <c r="H621" s="1" t="s">
        <v>41</v>
      </c>
      <c r="I621">
        <v>4</v>
      </c>
      <c r="J621">
        <v>2</v>
      </c>
      <c r="K621" s="1" t="s">
        <v>34</v>
      </c>
      <c r="L621">
        <v>1</v>
      </c>
      <c r="M621" s="1" t="s">
        <v>50</v>
      </c>
      <c r="N621">
        <v>4037</v>
      </c>
      <c r="O621">
        <v>1</v>
      </c>
      <c r="P621" s="1" t="s">
        <v>39</v>
      </c>
      <c r="Q621">
        <v>22</v>
      </c>
      <c r="R621">
        <v>1</v>
      </c>
      <c r="S621">
        <v>1</v>
      </c>
      <c r="T621">
        <v>9</v>
      </c>
      <c r="U621">
        <v>5</v>
      </c>
      <c r="V621">
        <v>3</v>
      </c>
      <c r="W621">
        <v>9</v>
      </c>
      <c r="X621">
        <v>8</v>
      </c>
      <c r="Y621">
        <v>0</v>
      </c>
      <c r="Z621">
        <v>8</v>
      </c>
      <c r="AA621">
        <v>0</v>
      </c>
      <c r="AB621" s="1" t="s">
        <v>48</v>
      </c>
      <c r="AC621" t="s">
        <v>37</v>
      </c>
      <c r="AD621" t="s">
        <v>38</v>
      </c>
      <c r="AE621" s="2">
        <v>448.55555555555554</v>
      </c>
    </row>
    <row r="622" spans="1:31" x14ac:dyDescent="0.35">
      <c r="A622">
        <v>35</v>
      </c>
      <c r="B622" s="1" t="s">
        <v>39</v>
      </c>
      <c r="C622" s="1" t="s">
        <v>40</v>
      </c>
      <c r="D622">
        <v>27</v>
      </c>
      <c r="E622">
        <v>1</v>
      </c>
      <c r="F622" s="1" t="s">
        <v>49</v>
      </c>
      <c r="G622">
        <v>3</v>
      </c>
      <c r="H622" s="1" t="s">
        <v>33</v>
      </c>
      <c r="I622">
        <v>2</v>
      </c>
      <c r="J622">
        <v>1</v>
      </c>
      <c r="K622" s="1" t="s">
        <v>42</v>
      </c>
      <c r="L622">
        <v>1</v>
      </c>
      <c r="M622" s="1" t="s">
        <v>35</v>
      </c>
      <c r="N622">
        <v>2559</v>
      </c>
      <c r="O622">
        <v>1</v>
      </c>
      <c r="P622" s="1" t="s">
        <v>39</v>
      </c>
      <c r="Q622">
        <v>11</v>
      </c>
      <c r="R622">
        <v>4</v>
      </c>
      <c r="S622">
        <v>0</v>
      </c>
      <c r="T622">
        <v>6</v>
      </c>
      <c r="U622">
        <v>3</v>
      </c>
      <c r="V622">
        <v>2</v>
      </c>
      <c r="W622">
        <v>6</v>
      </c>
      <c r="X622">
        <v>5</v>
      </c>
      <c r="Y622">
        <v>1</v>
      </c>
      <c r="Z622">
        <v>1</v>
      </c>
      <c r="AA622">
        <v>0</v>
      </c>
      <c r="AB622" s="1" t="s">
        <v>48</v>
      </c>
      <c r="AC622" t="s">
        <v>46</v>
      </c>
      <c r="AD622" t="s">
        <v>38</v>
      </c>
      <c r="AE622" s="2">
        <v>426.5</v>
      </c>
    </row>
    <row r="623" spans="1:31" x14ac:dyDescent="0.35">
      <c r="A623">
        <v>36</v>
      </c>
      <c r="B623" s="1" t="s">
        <v>39</v>
      </c>
      <c r="C623" s="1" t="s">
        <v>31</v>
      </c>
      <c r="D623">
        <v>1</v>
      </c>
      <c r="E623">
        <v>2</v>
      </c>
      <c r="F623" s="1" t="s">
        <v>32</v>
      </c>
      <c r="G623">
        <v>2</v>
      </c>
      <c r="H623" s="1" t="s">
        <v>41</v>
      </c>
      <c r="I623">
        <v>3</v>
      </c>
      <c r="J623">
        <v>2</v>
      </c>
      <c r="K623" s="1" t="s">
        <v>34</v>
      </c>
      <c r="L623">
        <v>4</v>
      </c>
      <c r="M623" s="1" t="s">
        <v>43</v>
      </c>
      <c r="N623">
        <v>6201</v>
      </c>
      <c r="O623">
        <v>1</v>
      </c>
      <c r="P623" s="1" t="s">
        <v>30</v>
      </c>
      <c r="Q623">
        <v>14</v>
      </c>
      <c r="R623">
        <v>4</v>
      </c>
      <c r="S623">
        <v>1</v>
      </c>
      <c r="T623">
        <v>18</v>
      </c>
      <c r="U623">
        <v>1</v>
      </c>
      <c r="V623">
        <v>2</v>
      </c>
      <c r="W623">
        <v>18</v>
      </c>
      <c r="X623">
        <v>14</v>
      </c>
      <c r="Y623">
        <v>4</v>
      </c>
      <c r="Z623">
        <v>11</v>
      </c>
      <c r="AA623">
        <v>0</v>
      </c>
      <c r="AB623" s="1" t="s">
        <v>36</v>
      </c>
      <c r="AC623" t="s">
        <v>37</v>
      </c>
      <c r="AD623" t="s">
        <v>57</v>
      </c>
      <c r="AE623" s="2">
        <v>344.5</v>
      </c>
    </row>
    <row r="624" spans="1:31" x14ac:dyDescent="0.35">
      <c r="A624">
        <v>32</v>
      </c>
      <c r="B624" s="1" t="s">
        <v>39</v>
      </c>
      <c r="C624" s="1" t="s">
        <v>31</v>
      </c>
      <c r="D624">
        <v>13</v>
      </c>
      <c r="E624">
        <v>4</v>
      </c>
      <c r="F624" s="1" t="s">
        <v>32</v>
      </c>
      <c r="G624">
        <v>2</v>
      </c>
      <c r="H624" s="1" t="s">
        <v>41</v>
      </c>
      <c r="I624">
        <v>3</v>
      </c>
      <c r="J624">
        <v>2</v>
      </c>
      <c r="K624" s="1" t="s">
        <v>34</v>
      </c>
      <c r="L624">
        <v>4</v>
      </c>
      <c r="M624" s="1" t="s">
        <v>50</v>
      </c>
      <c r="N624">
        <v>4403</v>
      </c>
      <c r="O624">
        <v>2</v>
      </c>
      <c r="P624" s="1" t="s">
        <v>39</v>
      </c>
      <c r="Q624">
        <v>11</v>
      </c>
      <c r="R624">
        <v>3</v>
      </c>
      <c r="S624">
        <v>1</v>
      </c>
      <c r="T624">
        <v>8</v>
      </c>
      <c r="U624">
        <v>3</v>
      </c>
      <c r="V624">
        <v>2</v>
      </c>
      <c r="W624">
        <v>5</v>
      </c>
      <c r="X624">
        <v>2</v>
      </c>
      <c r="Y624">
        <v>0</v>
      </c>
      <c r="Z624">
        <v>3</v>
      </c>
      <c r="AA624">
        <v>0</v>
      </c>
      <c r="AB624" s="1" t="s">
        <v>48</v>
      </c>
      <c r="AC624" t="s">
        <v>37</v>
      </c>
      <c r="AD624" t="s">
        <v>53</v>
      </c>
      <c r="AE624" s="2">
        <v>880.6</v>
      </c>
    </row>
    <row r="625" spans="1:31" x14ac:dyDescent="0.35">
      <c r="A625">
        <v>30</v>
      </c>
      <c r="B625" s="1" t="s">
        <v>39</v>
      </c>
      <c r="C625" s="1" t="s">
        <v>40</v>
      </c>
      <c r="D625">
        <v>5</v>
      </c>
      <c r="E625">
        <v>4</v>
      </c>
      <c r="F625" s="1" t="s">
        <v>32</v>
      </c>
      <c r="G625">
        <v>2</v>
      </c>
      <c r="H625" s="1" t="s">
        <v>41</v>
      </c>
      <c r="I625">
        <v>2</v>
      </c>
      <c r="J625">
        <v>1</v>
      </c>
      <c r="K625" s="1" t="s">
        <v>42</v>
      </c>
      <c r="L625">
        <v>4</v>
      </c>
      <c r="M625" s="1" t="s">
        <v>50</v>
      </c>
      <c r="N625">
        <v>3761</v>
      </c>
      <c r="O625">
        <v>9</v>
      </c>
      <c r="P625" s="1" t="s">
        <v>39</v>
      </c>
      <c r="Q625">
        <v>12</v>
      </c>
      <c r="R625">
        <v>2</v>
      </c>
      <c r="S625">
        <v>1</v>
      </c>
      <c r="T625">
        <v>10</v>
      </c>
      <c r="U625">
        <v>3</v>
      </c>
      <c r="V625">
        <v>2</v>
      </c>
      <c r="W625">
        <v>5</v>
      </c>
      <c r="X625">
        <v>4</v>
      </c>
      <c r="Y625">
        <v>0</v>
      </c>
      <c r="Z625">
        <v>3</v>
      </c>
      <c r="AA625">
        <v>0</v>
      </c>
      <c r="AB625" s="1" t="s">
        <v>48</v>
      </c>
      <c r="AC625" t="s">
        <v>46</v>
      </c>
      <c r="AD625" t="s">
        <v>53</v>
      </c>
      <c r="AE625" s="2">
        <v>752.2</v>
      </c>
    </row>
    <row r="626" spans="1:31" x14ac:dyDescent="0.35">
      <c r="A626">
        <v>53</v>
      </c>
      <c r="B626" s="1" t="s">
        <v>39</v>
      </c>
      <c r="C626" s="1" t="s">
        <v>31</v>
      </c>
      <c r="D626">
        <v>7</v>
      </c>
      <c r="E626">
        <v>2</v>
      </c>
      <c r="F626" s="1" t="s">
        <v>60</v>
      </c>
      <c r="G626">
        <v>1</v>
      </c>
      <c r="H626" s="1" t="s">
        <v>33</v>
      </c>
      <c r="I626">
        <v>2</v>
      </c>
      <c r="J626">
        <v>3</v>
      </c>
      <c r="K626" s="1" t="s">
        <v>34</v>
      </c>
      <c r="L626">
        <v>4</v>
      </c>
      <c r="M626" s="1" t="s">
        <v>43</v>
      </c>
      <c r="N626">
        <v>10934</v>
      </c>
      <c r="O626">
        <v>7</v>
      </c>
      <c r="P626" s="1" t="s">
        <v>30</v>
      </c>
      <c r="Q626">
        <v>18</v>
      </c>
      <c r="R626">
        <v>4</v>
      </c>
      <c r="S626">
        <v>1</v>
      </c>
      <c r="T626">
        <v>35</v>
      </c>
      <c r="U626">
        <v>3</v>
      </c>
      <c r="V626">
        <v>3</v>
      </c>
      <c r="W626">
        <v>5</v>
      </c>
      <c r="X626">
        <v>2</v>
      </c>
      <c r="Y626">
        <v>0</v>
      </c>
      <c r="Z626">
        <v>4</v>
      </c>
      <c r="AA626">
        <v>0</v>
      </c>
      <c r="AB626" s="1" t="s">
        <v>82</v>
      </c>
      <c r="AC626" t="s">
        <v>56</v>
      </c>
      <c r="AD626" t="s">
        <v>53</v>
      </c>
      <c r="AE626" s="2">
        <v>2186.8000000000002</v>
      </c>
    </row>
    <row r="627" spans="1:31" x14ac:dyDescent="0.35">
      <c r="A627">
        <v>45</v>
      </c>
      <c r="B627" s="1" t="s">
        <v>39</v>
      </c>
      <c r="C627" s="1" t="s">
        <v>31</v>
      </c>
      <c r="D627">
        <v>9</v>
      </c>
      <c r="E627">
        <v>3</v>
      </c>
      <c r="F627" s="1" t="s">
        <v>60</v>
      </c>
      <c r="G627">
        <v>4</v>
      </c>
      <c r="H627" s="1" t="s">
        <v>41</v>
      </c>
      <c r="I627">
        <v>3</v>
      </c>
      <c r="J627">
        <v>3</v>
      </c>
      <c r="K627" s="1" t="s">
        <v>34</v>
      </c>
      <c r="L627">
        <v>1</v>
      </c>
      <c r="M627" s="1" t="s">
        <v>50</v>
      </c>
      <c r="N627">
        <v>10761</v>
      </c>
      <c r="O627">
        <v>4</v>
      </c>
      <c r="P627" s="1" t="s">
        <v>30</v>
      </c>
      <c r="Q627">
        <v>12</v>
      </c>
      <c r="R627">
        <v>3</v>
      </c>
      <c r="S627">
        <v>1</v>
      </c>
      <c r="T627">
        <v>18</v>
      </c>
      <c r="U627">
        <v>2</v>
      </c>
      <c r="V627">
        <v>3</v>
      </c>
      <c r="W627">
        <v>5</v>
      </c>
      <c r="X627">
        <v>4</v>
      </c>
      <c r="Y627">
        <v>0</v>
      </c>
      <c r="Z627">
        <v>2</v>
      </c>
      <c r="AA627">
        <v>0</v>
      </c>
      <c r="AB627" s="1" t="s">
        <v>36</v>
      </c>
      <c r="AC627" t="s">
        <v>56</v>
      </c>
      <c r="AD627" t="s">
        <v>53</v>
      </c>
      <c r="AE627" s="2">
        <v>2152.1999999999998</v>
      </c>
    </row>
    <row r="628" spans="1:31" x14ac:dyDescent="0.35">
      <c r="A628">
        <v>32</v>
      </c>
      <c r="B628" s="1" t="s">
        <v>39</v>
      </c>
      <c r="C628" s="1" t="s">
        <v>40</v>
      </c>
      <c r="D628">
        <v>8</v>
      </c>
      <c r="E628">
        <v>2</v>
      </c>
      <c r="F628" s="1" t="s">
        <v>49</v>
      </c>
      <c r="G628">
        <v>3</v>
      </c>
      <c r="H628" s="1" t="s">
        <v>33</v>
      </c>
      <c r="I628">
        <v>4</v>
      </c>
      <c r="J628">
        <v>2</v>
      </c>
      <c r="K628" s="1" t="s">
        <v>42</v>
      </c>
      <c r="L628">
        <v>3</v>
      </c>
      <c r="M628" s="1" t="s">
        <v>43</v>
      </c>
      <c r="N628">
        <v>5175</v>
      </c>
      <c r="O628">
        <v>5</v>
      </c>
      <c r="P628" s="1" t="s">
        <v>39</v>
      </c>
      <c r="Q628">
        <v>12</v>
      </c>
      <c r="R628">
        <v>3</v>
      </c>
      <c r="S628">
        <v>1</v>
      </c>
      <c r="T628">
        <v>9</v>
      </c>
      <c r="U628">
        <v>3</v>
      </c>
      <c r="V628">
        <v>2</v>
      </c>
      <c r="W628">
        <v>5</v>
      </c>
      <c r="X628">
        <v>3</v>
      </c>
      <c r="Y628">
        <v>1</v>
      </c>
      <c r="Z628">
        <v>3</v>
      </c>
      <c r="AA628">
        <v>0</v>
      </c>
      <c r="AB628" s="1" t="s">
        <v>48</v>
      </c>
      <c r="AC628" t="s">
        <v>37</v>
      </c>
      <c r="AD628" t="s">
        <v>53</v>
      </c>
      <c r="AE628" s="2">
        <v>1035</v>
      </c>
    </row>
    <row r="629" spans="1:31" x14ac:dyDescent="0.35">
      <c r="A629">
        <v>52</v>
      </c>
      <c r="B629" s="1" t="s">
        <v>39</v>
      </c>
      <c r="C629" s="1" t="s">
        <v>40</v>
      </c>
      <c r="D629">
        <v>25</v>
      </c>
      <c r="E629">
        <v>4</v>
      </c>
      <c r="F629" s="1" t="s">
        <v>49</v>
      </c>
      <c r="G629">
        <v>3</v>
      </c>
      <c r="H629" s="1" t="s">
        <v>33</v>
      </c>
      <c r="I629">
        <v>2</v>
      </c>
      <c r="J629">
        <v>4</v>
      </c>
      <c r="K629" s="1" t="s">
        <v>51</v>
      </c>
      <c r="L629">
        <v>4</v>
      </c>
      <c r="M629" s="1" t="s">
        <v>43</v>
      </c>
      <c r="N629">
        <v>13826</v>
      </c>
      <c r="O629">
        <v>3</v>
      </c>
      <c r="P629" s="1" t="s">
        <v>39</v>
      </c>
      <c r="Q629">
        <v>22</v>
      </c>
      <c r="R629">
        <v>3</v>
      </c>
      <c r="S629">
        <v>0</v>
      </c>
      <c r="T629">
        <v>31</v>
      </c>
      <c r="U629">
        <v>3</v>
      </c>
      <c r="V629">
        <v>3</v>
      </c>
      <c r="W629">
        <v>9</v>
      </c>
      <c r="X629">
        <v>8</v>
      </c>
      <c r="Y629">
        <v>0</v>
      </c>
      <c r="Z629">
        <v>0</v>
      </c>
      <c r="AA629">
        <v>0</v>
      </c>
      <c r="AB629" s="1" t="s">
        <v>82</v>
      </c>
      <c r="AC629" t="s">
        <v>56</v>
      </c>
      <c r="AD629" t="s">
        <v>38</v>
      </c>
      <c r="AE629" s="2">
        <v>1536.2222222222222</v>
      </c>
    </row>
    <row r="630" spans="1:31" x14ac:dyDescent="0.35">
      <c r="A630">
        <v>37</v>
      </c>
      <c r="B630" s="1" t="s">
        <v>39</v>
      </c>
      <c r="C630" s="1" t="s">
        <v>31</v>
      </c>
      <c r="D630">
        <v>16</v>
      </c>
      <c r="E630">
        <v>4</v>
      </c>
      <c r="F630" s="1" t="s">
        <v>60</v>
      </c>
      <c r="G630">
        <v>4</v>
      </c>
      <c r="H630" s="1" t="s">
        <v>41</v>
      </c>
      <c r="I630">
        <v>2</v>
      </c>
      <c r="J630">
        <v>2</v>
      </c>
      <c r="K630" s="1" t="s">
        <v>34</v>
      </c>
      <c r="L630">
        <v>3</v>
      </c>
      <c r="M630" s="1" t="s">
        <v>50</v>
      </c>
      <c r="N630">
        <v>6334</v>
      </c>
      <c r="O630">
        <v>4</v>
      </c>
      <c r="P630" s="1" t="s">
        <v>39</v>
      </c>
      <c r="Q630">
        <v>19</v>
      </c>
      <c r="R630">
        <v>4</v>
      </c>
      <c r="S630">
        <v>2</v>
      </c>
      <c r="T630">
        <v>9</v>
      </c>
      <c r="U630">
        <v>2</v>
      </c>
      <c r="V630">
        <v>3</v>
      </c>
      <c r="W630">
        <v>1</v>
      </c>
      <c r="X630">
        <v>0</v>
      </c>
      <c r="Y630">
        <v>0</v>
      </c>
      <c r="Z630">
        <v>0</v>
      </c>
      <c r="AA630">
        <v>0</v>
      </c>
      <c r="AB630" s="1" t="s">
        <v>36</v>
      </c>
      <c r="AC630" t="s">
        <v>37</v>
      </c>
      <c r="AD630" t="s">
        <v>47</v>
      </c>
      <c r="AE630" s="2">
        <v>6334</v>
      </c>
    </row>
    <row r="631" spans="1:31" x14ac:dyDescent="0.35">
      <c r="A631">
        <v>28</v>
      </c>
      <c r="B631" s="1" t="s">
        <v>39</v>
      </c>
      <c r="C631" s="1" t="s">
        <v>62</v>
      </c>
      <c r="D631">
        <v>8</v>
      </c>
      <c r="E631">
        <v>2</v>
      </c>
      <c r="F631" s="1" t="s">
        <v>49</v>
      </c>
      <c r="G631">
        <v>2</v>
      </c>
      <c r="H631" s="1" t="s">
        <v>41</v>
      </c>
      <c r="I631">
        <v>2</v>
      </c>
      <c r="J631">
        <v>1</v>
      </c>
      <c r="K631" s="1" t="s">
        <v>62</v>
      </c>
      <c r="L631">
        <v>4</v>
      </c>
      <c r="M631" s="1" t="s">
        <v>50</v>
      </c>
      <c r="N631">
        <v>4936</v>
      </c>
      <c r="O631">
        <v>1</v>
      </c>
      <c r="P631" s="1" t="s">
        <v>39</v>
      </c>
      <c r="Q631">
        <v>13</v>
      </c>
      <c r="R631">
        <v>4</v>
      </c>
      <c r="S631">
        <v>1</v>
      </c>
      <c r="T631">
        <v>6</v>
      </c>
      <c r="U631">
        <v>6</v>
      </c>
      <c r="V631">
        <v>3</v>
      </c>
      <c r="W631">
        <v>5</v>
      </c>
      <c r="X631">
        <v>1</v>
      </c>
      <c r="Y631">
        <v>0</v>
      </c>
      <c r="Z631">
        <v>4</v>
      </c>
      <c r="AA631">
        <v>0</v>
      </c>
      <c r="AB631" s="1" t="s">
        <v>48</v>
      </c>
      <c r="AC631" t="s">
        <v>37</v>
      </c>
      <c r="AD631" t="s">
        <v>53</v>
      </c>
      <c r="AE631" s="2">
        <v>987.2</v>
      </c>
    </row>
    <row r="632" spans="1:31" x14ac:dyDescent="0.35">
      <c r="A632">
        <v>22</v>
      </c>
      <c r="B632" s="1" t="s">
        <v>39</v>
      </c>
      <c r="C632" s="1" t="s">
        <v>40</v>
      </c>
      <c r="D632">
        <v>1</v>
      </c>
      <c r="E632">
        <v>2</v>
      </c>
      <c r="F632" s="1" t="s">
        <v>32</v>
      </c>
      <c r="G632">
        <v>4</v>
      </c>
      <c r="H632" s="1" t="s">
        <v>41</v>
      </c>
      <c r="I632">
        <v>2</v>
      </c>
      <c r="J632">
        <v>2</v>
      </c>
      <c r="K632" s="1" t="s">
        <v>51</v>
      </c>
      <c r="L632">
        <v>4</v>
      </c>
      <c r="M632" s="1" t="s">
        <v>43</v>
      </c>
      <c r="N632">
        <v>4775</v>
      </c>
      <c r="O632">
        <v>6</v>
      </c>
      <c r="P632" s="1" t="s">
        <v>39</v>
      </c>
      <c r="Q632">
        <v>22</v>
      </c>
      <c r="R632">
        <v>1</v>
      </c>
      <c r="S632">
        <v>2</v>
      </c>
      <c r="T632">
        <v>4</v>
      </c>
      <c r="U632">
        <v>2</v>
      </c>
      <c r="V632">
        <v>1</v>
      </c>
      <c r="W632">
        <v>2</v>
      </c>
      <c r="X632">
        <v>2</v>
      </c>
      <c r="Y632">
        <v>2</v>
      </c>
      <c r="Z632">
        <v>2</v>
      </c>
      <c r="AA632">
        <v>0</v>
      </c>
      <c r="AB632" s="1" t="s">
        <v>54</v>
      </c>
      <c r="AC632" t="s">
        <v>37</v>
      </c>
      <c r="AD632" t="s">
        <v>47</v>
      </c>
      <c r="AE632" s="2">
        <v>2387.5</v>
      </c>
    </row>
    <row r="633" spans="1:31" x14ac:dyDescent="0.35">
      <c r="A633">
        <v>44</v>
      </c>
      <c r="B633" s="1" t="s">
        <v>39</v>
      </c>
      <c r="C633" s="1" t="s">
        <v>40</v>
      </c>
      <c r="D633">
        <v>8</v>
      </c>
      <c r="E633">
        <v>4</v>
      </c>
      <c r="F633" s="1" t="s">
        <v>32</v>
      </c>
      <c r="G633">
        <v>1</v>
      </c>
      <c r="H633" s="1" t="s">
        <v>41</v>
      </c>
      <c r="I633">
        <v>4</v>
      </c>
      <c r="J633">
        <v>1</v>
      </c>
      <c r="K633" s="1" t="s">
        <v>45</v>
      </c>
      <c r="L633">
        <v>4</v>
      </c>
      <c r="M633" s="1" t="s">
        <v>43</v>
      </c>
      <c r="N633">
        <v>2818</v>
      </c>
      <c r="O633">
        <v>2</v>
      </c>
      <c r="P633" s="1" t="s">
        <v>30</v>
      </c>
      <c r="Q633">
        <v>24</v>
      </c>
      <c r="R633">
        <v>3</v>
      </c>
      <c r="S633">
        <v>1</v>
      </c>
      <c r="T633">
        <v>10</v>
      </c>
      <c r="U633">
        <v>2</v>
      </c>
      <c r="V633">
        <v>2</v>
      </c>
      <c r="W633">
        <v>3</v>
      </c>
      <c r="X633">
        <v>2</v>
      </c>
      <c r="Y633">
        <v>0</v>
      </c>
      <c r="Z633">
        <v>2</v>
      </c>
      <c r="AA633">
        <v>0</v>
      </c>
      <c r="AB633" s="1" t="s">
        <v>36</v>
      </c>
      <c r="AC633" t="s">
        <v>46</v>
      </c>
      <c r="AD633" t="s">
        <v>53</v>
      </c>
      <c r="AE633" s="2">
        <v>939.33333333333337</v>
      </c>
    </row>
    <row r="634" spans="1:31" x14ac:dyDescent="0.35">
      <c r="A634">
        <v>42</v>
      </c>
      <c r="B634" s="1" t="s">
        <v>39</v>
      </c>
      <c r="C634" s="1" t="s">
        <v>40</v>
      </c>
      <c r="D634">
        <v>2</v>
      </c>
      <c r="E634">
        <v>1</v>
      </c>
      <c r="F634" s="1" t="s">
        <v>49</v>
      </c>
      <c r="G634">
        <v>2</v>
      </c>
      <c r="H634" s="1" t="s">
        <v>41</v>
      </c>
      <c r="I634">
        <v>3</v>
      </c>
      <c r="J634">
        <v>1</v>
      </c>
      <c r="K634" s="1" t="s">
        <v>42</v>
      </c>
      <c r="L634">
        <v>4</v>
      </c>
      <c r="M634" s="1" t="s">
        <v>35</v>
      </c>
      <c r="N634">
        <v>2515</v>
      </c>
      <c r="O634">
        <v>5</v>
      </c>
      <c r="P634" s="1" t="s">
        <v>30</v>
      </c>
      <c r="Q634">
        <v>14</v>
      </c>
      <c r="R634">
        <v>4</v>
      </c>
      <c r="S634">
        <v>0</v>
      </c>
      <c r="T634">
        <v>8</v>
      </c>
      <c r="U634">
        <v>2</v>
      </c>
      <c r="V634">
        <v>3</v>
      </c>
      <c r="W634">
        <v>2</v>
      </c>
      <c r="X634">
        <v>1</v>
      </c>
      <c r="Y634">
        <v>2</v>
      </c>
      <c r="Z634">
        <v>2</v>
      </c>
      <c r="AA634">
        <v>0</v>
      </c>
      <c r="AB634" s="1" t="s">
        <v>36</v>
      </c>
      <c r="AC634" t="s">
        <v>46</v>
      </c>
      <c r="AD634" t="s">
        <v>47</v>
      </c>
      <c r="AE634" s="2">
        <v>1257.5</v>
      </c>
    </row>
    <row r="635" spans="1:31" x14ac:dyDescent="0.35">
      <c r="A635">
        <v>36</v>
      </c>
      <c r="B635" s="1" t="s">
        <v>39</v>
      </c>
      <c r="C635" s="1" t="s">
        <v>62</v>
      </c>
      <c r="D635">
        <v>8</v>
      </c>
      <c r="E635">
        <v>3</v>
      </c>
      <c r="F635" s="1" t="s">
        <v>32</v>
      </c>
      <c r="G635">
        <v>1</v>
      </c>
      <c r="H635" s="1" t="s">
        <v>41</v>
      </c>
      <c r="I635">
        <v>2</v>
      </c>
      <c r="J635">
        <v>1</v>
      </c>
      <c r="K635" s="1" t="s">
        <v>62</v>
      </c>
      <c r="L635">
        <v>1</v>
      </c>
      <c r="M635" s="1" t="s">
        <v>43</v>
      </c>
      <c r="N635">
        <v>2342</v>
      </c>
      <c r="O635">
        <v>0</v>
      </c>
      <c r="P635" s="1" t="s">
        <v>39</v>
      </c>
      <c r="Q635">
        <v>21</v>
      </c>
      <c r="R635">
        <v>3</v>
      </c>
      <c r="S635">
        <v>0</v>
      </c>
      <c r="T635">
        <v>6</v>
      </c>
      <c r="U635">
        <v>3</v>
      </c>
      <c r="V635">
        <v>3</v>
      </c>
      <c r="W635">
        <v>5</v>
      </c>
      <c r="X635">
        <v>4</v>
      </c>
      <c r="Y635">
        <v>0</v>
      </c>
      <c r="Z635">
        <v>3</v>
      </c>
      <c r="AA635">
        <v>0</v>
      </c>
      <c r="AB635" s="1" t="s">
        <v>36</v>
      </c>
      <c r="AC635" t="s">
        <v>46</v>
      </c>
      <c r="AD635" t="s">
        <v>53</v>
      </c>
      <c r="AE635" s="2">
        <v>468.4</v>
      </c>
    </row>
    <row r="636" spans="1:31" x14ac:dyDescent="0.35">
      <c r="A636">
        <v>25</v>
      </c>
      <c r="B636" s="1" t="s">
        <v>39</v>
      </c>
      <c r="C636" s="1" t="s">
        <v>31</v>
      </c>
      <c r="D636">
        <v>3</v>
      </c>
      <c r="E636">
        <v>1</v>
      </c>
      <c r="F636" s="1" t="s">
        <v>44</v>
      </c>
      <c r="G636">
        <v>3</v>
      </c>
      <c r="H636" s="1" t="s">
        <v>41</v>
      </c>
      <c r="I636">
        <v>3</v>
      </c>
      <c r="J636">
        <v>2</v>
      </c>
      <c r="K636" s="1" t="s">
        <v>34</v>
      </c>
      <c r="L636">
        <v>1</v>
      </c>
      <c r="M636" s="1" t="s">
        <v>43</v>
      </c>
      <c r="N636">
        <v>4194</v>
      </c>
      <c r="O636">
        <v>1</v>
      </c>
      <c r="P636" s="1" t="s">
        <v>30</v>
      </c>
      <c r="Q636">
        <v>18</v>
      </c>
      <c r="R636">
        <v>4</v>
      </c>
      <c r="S636">
        <v>0</v>
      </c>
      <c r="T636">
        <v>5</v>
      </c>
      <c r="U636">
        <v>3</v>
      </c>
      <c r="V636">
        <v>3</v>
      </c>
      <c r="W636">
        <v>5</v>
      </c>
      <c r="X636">
        <v>3</v>
      </c>
      <c r="Y636">
        <v>0</v>
      </c>
      <c r="Z636">
        <v>3</v>
      </c>
      <c r="AA636">
        <v>0</v>
      </c>
      <c r="AB636" s="1" t="s">
        <v>54</v>
      </c>
      <c r="AC636" t="s">
        <v>37</v>
      </c>
      <c r="AD636" t="s">
        <v>53</v>
      </c>
      <c r="AE636" s="2">
        <v>838.8</v>
      </c>
    </row>
    <row r="637" spans="1:31" x14ac:dyDescent="0.35">
      <c r="A637">
        <v>35</v>
      </c>
      <c r="B637" s="1" t="s">
        <v>39</v>
      </c>
      <c r="C637" s="1" t="s">
        <v>40</v>
      </c>
      <c r="D637">
        <v>9</v>
      </c>
      <c r="E637">
        <v>3</v>
      </c>
      <c r="F637" s="1" t="s">
        <v>32</v>
      </c>
      <c r="G637">
        <v>4</v>
      </c>
      <c r="H637" s="1" t="s">
        <v>33</v>
      </c>
      <c r="I637">
        <v>2</v>
      </c>
      <c r="J637">
        <v>3</v>
      </c>
      <c r="K637" s="1" t="s">
        <v>51</v>
      </c>
      <c r="L637">
        <v>3</v>
      </c>
      <c r="M637" s="1" t="s">
        <v>43</v>
      </c>
      <c r="N637">
        <v>10685</v>
      </c>
      <c r="O637">
        <v>1</v>
      </c>
      <c r="P637" s="1" t="s">
        <v>30</v>
      </c>
      <c r="Q637">
        <v>20</v>
      </c>
      <c r="R637">
        <v>2</v>
      </c>
      <c r="S637">
        <v>1</v>
      </c>
      <c r="T637">
        <v>17</v>
      </c>
      <c r="U637">
        <v>2</v>
      </c>
      <c r="V637">
        <v>3</v>
      </c>
      <c r="W637">
        <v>17</v>
      </c>
      <c r="X637">
        <v>14</v>
      </c>
      <c r="Y637">
        <v>5</v>
      </c>
      <c r="Z637">
        <v>15</v>
      </c>
      <c r="AA637">
        <v>0</v>
      </c>
      <c r="AB637" s="1" t="s">
        <v>48</v>
      </c>
      <c r="AC637" t="s">
        <v>56</v>
      </c>
      <c r="AD637" t="s">
        <v>57</v>
      </c>
      <c r="AE637" s="2">
        <v>628.52941176470586</v>
      </c>
    </row>
    <row r="638" spans="1:31" x14ac:dyDescent="0.35">
      <c r="A638">
        <v>35</v>
      </c>
      <c r="B638" s="1" t="s">
        <v>30</v>
      </c>
      <c r="C638" s="1" t="s">
        <v>40</v>
      </c>
      <c r="D638">
        <v>25</v>
      </c>
      <c r="E638">
        <v>4</v>
      </c>
      <c r="F638" s="1" t="s">
        <v>32</v>
      </c>
      <c r="G638">
        <v>4</v>
      </c>
      <c r="H638" s="1" t="s">
        <v>33</v>
      </c>
      <c r="I638">
        <v>3</v>
      </c>
      <c r="J638">
        <v>1</v>
      </c>
      <c r="K638" s="1" t="s">
        <v>42</v>
      </c>
      <c r="L638">
        <v>2</v>
      </c>
      <c r="M638" s="1" t="s">
        <v>50</v>
      </c>
      <c r="N638">
        <v>2022</v>
      </c>
      <c r="O638">
        <v>1</v>
      </c>
      <c r="P638" s="1" t="s">
        <v>30</v>
      </c>
      <c r="Q638">
        <v>19</v>
      </c>
      <c r="R638">
        <v>1</v>
      </c>
      <c r="S638">
        <v>1</v>
      </c>
      <c r="T638">
        <v>10</v>
      </c>
      <c r="U638">
        <v>3</v>
      </c>
      <c r="V638">
        <v>2</v>
      </c>
      <c r="W638">
        <v>10</v>
      </c>
      <c r="X638">
        <v>2</v>
      </c>
      <c r="Y638">
        <v>7</v>
      </c>
      <c r="Z638">
        <v>8</v>
      </c>
      <c r="AA638">
        <v>1</v>
      </c>
      <c r="AB638" s="1" t="s">
        <v>48</v>
      </c>
      <c r="AC638" t="s">
        <v>46</v>
      </c>
      <c r="AD638" t="s">
        <v>38</v>
      </c>
      <c r="AE638" s="2">
        <v>202.2</v>
      </c>
    </row>
    <row r="639" spans="1:31" x14ac:dyDescent="0.35">
      <c r="A639">
        <v>32</v>
      </c>
      <c r="B639" s="1" t="s">
        <v>39</v>
      </c>
      <c r="C639" s="1" t="s">
        <v>40</v>
      </c>
      <c r="D639">
        <v>1</v>
      </c>
      <c r="E639">
        <v>3</v>
      </c>
      <c r="F639" s="1" t="s">
        <v>32</v>
      </c>
      <c r="G639">
        <v>4</v>
      </c>
      <c r="H639" s="1" t="s">
        <v>41</v>
      </c>
      <c r="I639">
        <v>3</v>
      </c>
      <c r="J639">
        <v>1</v>
      </c>
      <c r="K639" s="1" t="s">
        <v>45</v>
      </c>
      <c r="L639">
        <v>4</v>
      </c>
      <c r="M639" s="1" t="s">
        <v>50</v>
      </c>
      <c r="N639">
        <v>2314</v>
      </c>
      <c r="O639">
        <v>0</v>
      </c>
      <c r="P639" s="1" t="s">
        <v>39</v>
      </c>
      <c r="Q639">
        <v>12</v>
      </c>
      <c r="R639">
        <v>2</v>
      </c>
      <c r="S639">
        <v>1</v>
      </c>
      <c r="T639">
        <v>4</v>
      </c>
      <c r="U639">
        <v>2</v>
      </c>
      <c r="V639">
        <v>3</v>
      </c>
      <c r="W639">
        <v>3</v>
      </c>
      <c r="X639">
        <v>0</v>
      </c>
      <c r="Y639">
        <v>0</v>
      </c>
      <c r="Z639">
        <v>2</v>
      </c>
      <c r="AA639">
        <v>0</v>
      </c>
      <c r="AB639" s="1" t="s">
        <v>48</v>
      </c>
      <c r="AC639" t="s">
        <v>46</v>
      </c>
      <c r="AD639" t="s">
        <v>53</v>
      </c>
      <c r="AE639" s="2">
        <v>771.33333333333337</v>
      </c>
    </row>
    <row r="640" spans="1:31" x14ac:dyDescent="0.35">
      <c r="A640">
        <v>25</v>
      </c>
      <c r="B640" s="1" t="s">
        <v>39</v>
      </c>
      <c r="C640" s="1" t="s">
        <v>31</v>
      </c>
      <c r="D640">
        <v>4</v>
      </c>
      <c r="E640">
        <v>1</v>
      </c>
      <c r="F640" s="1" t="s">
        <v>60</v>
      </c>
      <c r="G640">
        <v>3</v>
      </c>
      <c r="H640" s="1" t="s">
        <v>41</v>
      </c>
      <c r="I640">
        <v>2</v>
      </c>
      <c r="J640">
        <v>2</v>
      </c>
      <c r="K640" s="1" t="s">
        <v>34</v>
      </c>
      <c r="L640">
        <v>1</v>
      </c>
      <c r="M640" s="1" t="s">
        <v>43</v>
      </c>
      <c r="N640">
        <v>4256</v>
      </c>
      <c r="O640">
        <v>1</v>
      </c>
      <c r="P640" s="1" t="s">
        <v>39</v>
      </c>
      <c r="Q640">
        <v>12</v>
      </c>
      <c r="R640">
        <v>1</v>
      </c>
      <c r="S640">
        <v>0</v>
      </c>
      <c r="T640">
        <v>5</v>
      </c>
      <c r="U640">
        <v>1</v>
      </c>
      <c r="V640">
        <v>4</v>
      </c>
      <c r="W640">
        <v>5</v>
      </c>
      <c r="X640">
        <v>2</v>
      </c>
      <c r="Y640">
        <v>0</v>
      </c>
      <c r="Z640">
        <v>3</v>
      </c>
      <c r="AA640">
        <v>0</v>
      </c>
      <c r="AB640" s="1" t="s">
        <v>54</v>
      </c>
      <c r="AC640" t="s">
        <v>37</v>
      </c>
      <c r="AD640" t="s">
        <v>53</v>
      </c>
      <c r="AE640" s="2">
        <v>851.2</v>
      </c>
    </row>
    <row r="641" spans="1:31" x14ac:dyDescent="0.35">
      <c r="A641">
        <v>49</v>
      </c>
      <c r="B641" s="1" t="s">
        <v>39</v>
      </c>
      <c r="C641" s="1" t="s">
        <v>40</v>
      </c>
      <c r="D641">
        <v>1</v>
      </c>
      <c r="E641">
        <v>3</v>
      </c>
      <c r="F641" s="1" t="s">
        <v>61</v>
      </c>
      <c r="G641">
        <v>3</v>
      </c>
      <c r="H641" s="1" t="s">
        <v>33</v>
      </c>
      <c r="I641">
        <v>3</v>
      </c>
      <c r="J641">
        <v>1</v>
      </c>
      <c r="K641" s="1" t="s">
        <v>42</v>
      </c>
      <c r="L641">
        <v>1</v>
      </c>
      <c r="M641" s="1" t="s">
        <v>43</v>
      </c>
      <c r="N641">
        <v>3580</v>
      </c>
      <c r="O641">
        <v>2</v>
      </c>
      <c r="P641" s="1" t="s">
        <v>39</v>
      </c>
      <c r="Q641">
        <v>16</v>
      </c>
      <c r="R641">
        <v>2</v>
      </c>
      <c r="S641">
        <v>1</v>
      </c>
      <c r="T641">
        <v>7</v>
      </c>
      <c r="U641">
        <v>2</v>
      </c>
      <c r="V641">
        <v>3</v>
      </c>
      <c r="W641">
        <v>4</v>
      </c>
      <c r="X641">
        <v>2</v>
      </c>
      <c r="Y641">
        <v>0</v>
      </c>
      <c r="Z641">
        <v>2</v>
      </c>
      <c r="AA641">
        <v>0</v>
      </c>
      <c r="AB641" s="1" t="s">
        <v>82</v>
      </c>
      <c r="AC641" t="s">
        <v>46</v>
      </c>
      <c r="AD641" t="s">
        <v>53</v>
      </c>
      <c r="AE641" s="2">
        <v>895</v>
      </c>
    </row>
    <row r="642" spans="1:31" x14ac:dyDescent="0.35">
      <c r="A642">
        <v>24</v>
      </c>
      <c r="B642" s="1" t="s">
        <v>39</v>
      </c>
      <c r="C642" s="1" t="s">
        <v>40</v>
      </c>
      <c r="D642">
        <v>4</v>
      </c>
      <c r="E642">
        <v>1</v>
      </c>
      <c r="F642" s="1" t="s">
        <v>32</v>
      </c>
      <c r="G642">
        <v>1</v>
      </c>
      <c r="H642" s="1" t="s">
        <v>41</v>
      </c>
      <c r="I642">
        <v>2</v>
      </c>
      <c r="J642">
        <v>1</v>
      </c>
      <c r="K642" s="1" t="s">
        <v>45</v>
      </c>
      <c r="L642">
        <v>4</v>
      </c>
      <c r="M642" s="1" t="s">
        <v>43</v>
      </c>
      <c r="N642">
        <v>3162</v>
      </c>
      <c r="O642">
        <v>0</v>
      </c>
      <c r="P642" s="1" t="s">
        <v>39</v>
      </c>
      <c r="Q642">
        <v>17</v>
      </c>
      <c r="R642">
        <v>4</v>
      </c>
      <c r="S642">
        <v>0</v>
      </c>
      <c r="T642">
        <v>6</v>
      </c>
      <c r="U642">
        <v>2</v>
      </c>
      <c r="V642">
        <v>2</v>
      </c>
      <c r="W642">
        <v>5</v>
      </c>
      <c r="X642">
        <v>2</v>
      </c>
      <c r="Y642">
        <v>3</v>
      </c>
      <c r="Z642">
        <v>4</v>
      </c>
      <c r="AA642">
        <v>0</v>
      </c>
      <c r="AB642" s="1" t="s">
        <v>54</v>
      </c>
      <c r="AC642" t="s">
        <v>46</v>
      </c>
      <c r="AD642" t="s">
        <v>53</v>
      </c>
      <c r="AE642" s="2">
        <v>632.4</v>
      </c>
    </row>
    <row r="643" spans="1:31" x14ac:dyDescent="0.35">
      <c r="A643">
        <v>32</v>
      </c>
      <c r="B643" s="1" t="s">
        <v>39</v>
      </c>
      <c r="C643" s="1" t="s">
        <v>31</v>
      </c>
      <c r="D643">
        <v>5</v>
      </c>
      <c r="E643">
        <v>2</v>
      </c>
      <c r="F643" s="1" t="s">
        <v>32</v>
      </c>
      <c r="G643">
        <v>2</v>
      </c>
      <c r="H643" s="1" t="s">
        <v>41</v>
      </c>
      <c r="I643">
        <v>3</v>
      </c>
      <c r="J643">
        <v>2</v>
      </c>
      <c r="K643" s="1" t="s">
        <v>34</v>
      </c>
      <c r="L643">
        <v>2</v>
      </c>
      <c r="M643" s="1" t="s">
        <v>43</v>
      </c>
      <c r="N643">
        <v>6524</v>
      </c>
      <c r="O643">
        <v>1</v>
      </c>
      <c r="P643" s="1" t="s">
        <v>39</v>
      </c>
      <c r="Q643">
        <v>14</v>
      </c>
      <c r="R643">
        <v>4</v>
      </c>
      <c r="S643">
        <v>1</v>
      </c>
      <c r="T643">
        <v>10</v>
      </c>
      <c r="U643">
        <v>3</v>
      </c>
      <c r="V643">
        <v>3</v>
      </c>
      <c r="W643">
        <v>10</v>
      </c>
      <c r="X643">
        <v>8</v>
      </c>
      <c r="Y643">
        <v>5</v>
      </c>
      <c r="Z643">
        <v>3</v>
      </c>
      <c r="AA643">
        <v>0</v>
      </c>
      <c r="AB643" s="1" t="s">
        <v>48</v>
      </c>
      <c r="AC643" t="s">
        <v>37</v>
      </c>
      <c r="AD643" t="s">
        <v>38</v>
      </c>
      <c r="AE643" s="2">
        <v>652.4</v>
      </c>
    </row>
    <row r="644" spans="1:31" x14ac:dyDescent="0.35">
      <c r="A644">
        <v>38</v>
      </c>
      <c r="B644" s="1" t="s">
        <v>39</v>
      </c>
      <c r="C644" s="1" t="s">
        <v>31</v>
      </c>
      <c r="D644">
        <v>9</v>
      </c>
      <c r="E644">
        <v>3</v>
      </c>
      <c r="F644" s="1" t="s">
        <v>60</v>
      </c>
      <c r="G644">
        <v>2</v>
      </c>
      <c r="H644" s="1" t="s">
        <v>41</v>
      </c>
      <c r="I644">
        <v>2</v>
      </c>
      <c r="J644">
        <v>1</v>
      </c>
      <c r="K644" s="1" t="s">
        <v>58</v>
      </c>
      <c r="L644">
        <v>2</v>
      </c>
      <c r="M644" s="1" t="s">
        <v>43</v>
      </c>
      <c r="N644">
        <v>2899</v>
      </c>
      <c r="O644">
        <v>0</v>
      </c>
      <c r="P644" s="1" t="s">
        <v>39</v>
      </c>
      <c r="Q644">
        <v>19</v>
      </c>
      <c r="R644">
        <v>4</v>
      </c>
      <c r="S644">
        <v>1</v>
      </c>
      <c r="T644">
        <v>3</v>
      </c>
      <c r="U644">
        <v>3</v>
      </c>
      <c r="V644">
        <v>3</v>
      </c>
      <c r="W644">
        <v>2</v>
      </c>
      <c r="X644">
        <v>2</v>
      </c>
      <c r="Y644">
        <v>1</v>
      </c>
      <c r="Z644">
        <v>2</v>
      </c>
      <c r="AA644">
        <v>0</v>
      </c>
      <c r="AB644" s="1" t="s">
        <v>36</v>
      </c>
      <c r="AC644" t="s">
        <v>46</v>
      </c>
      <c r="AD644" t="s">
        <v>47</v>
      </c>
      <c r="AE644" s="2">
        <v>1449.5</v>
      </c>
    </row>
    <row r="645" spans="1:31" x14ac:dyDescent="0.35">
      <c r="A645">
        <v>42</v>
      </c>
      <c r="B645" s="1" t="s">
        <v>39</v>
      </c>
      <c r="C645" s="1" t="s">
        <v>40</v>
      </c>
      <c r="D645">
        <v>3</v>
      </c>
      <c r="E645">
        <v>3</v>
      </c>
      <c r="F645" s="1" t="s">
        <v>32</v>
      </c>
      <c r="G645">
        <v>3</v>
      </c>
      <c r="H645" s="1" t="s">
        <v>33</v>
      </c>
      <c r="I645">
        <v>4</v>
      </c>
      <c r="J645">
        <v>2</v>
      </c>
      <c r="K645" s="1" t="s">
        <v>45</v>
      </c>
      <c r="L645">
        <v>4</v>
      </c>
      <c r="M645" s="1" t="s">
        <v>43</v>
      </c>
      <c r="N645">
        <v>5231</v>
      </c>
      <c r="O645">
        <v>2</v>
      </c>
      <c r="P645" s="1" t="s">
        <v>30</v>
      </c>
      <c r="Q645">
        <v>13</v>
      </c>
      <c r="R645">
        <v>2</v>
      </c>
      <c r="S645">
        <v>1</v>
      </c>
      <c r="T645">
        <v>17</v>
      </c>
      <c r="U645">
        <v>1</v>
      </c>
      <c r="V645">
        <v>2</v>
      </c>
      <c r="W645">
        <v>5</v>
      </c>
      <c r="X645">
        <v>3</v>
      </c>
      <c r="Y645">
        <v>1</v>
      </c>
      <c r="Z645">
        <v>3</v>
      </c>
      <c r="AA645">
        <v>0</v>
      </c>
      <c r="AB645" s="1" t="s">
        <v>36</v>
      </c>
      <c r="AC645" t="s">
        <v>37</v>
      </c>
      <c r="AD645" t="s">
        <v>53</v>
      </c>
      <c r="AE645" s="2">
        <v>1046.2</v>
      </c>
    </row>
    <row r="646" spans="1:31" x14ac:dyDescent="0.35">
      <c r="A646">
        <v>31</v>
      </c>
      <c r="B646" s="1" t="s">
        <v>39</v>
      </c>
      <c r="C646" s="1" t="s">
        <v>40</v>
      </c>
      <c r="D646">
        <v>11</v>
      </c>
      <c r="E646">
        <v>4</v>
      </c>
      <c r="F646" s="1" t="s">
        <v>32</v>
      </c>
      <c r="G646">
        <v>4</v>
      </c>
      <c r="H646" s="1" t="s">
        <v>41</v>
      </c>
      <c r="I646">
        <v>3</v>
      </c>
      <c r="J646">
        <v>1</v>
      </c>
      <c r="K646" s="1" t="s">
        <v>42</v>
      </c>
      <c r="L646">
        <v>4</v>
      </c>
      <c r="M646" s="1" t="s">
        <v>43</v>
      </c>
      <c r="N646">
        <v>2356</v>
      </c>
      <c r="O646">
        <v>3</v>
      </c>
      <c r="P646" s="1" t="s">
        <v>30</v>
      </c>
      <c r="Q646">
        <v>19</v>
      </c>
      <c r="R646">
        <v>2</v>
      </c>
      <c r="S646">
        <v>1</v>
      </c>
      <c r="T646">
        <v>8</v>
      </c>
      <c r="U646">
        <v>2</v>
      </c>
      <c r="V646">
        <v>3</v>
      </c>
      <c r="W646">
        <v>6</v>
      </c>
      <c r="X646">
        <v>4</v>
      </c>
      <c r="Y646">
        <v>0</v>
      </c>
      <c r="Z646">
        <v>2</v>
      </c>
      <c r="AA646">
        <v>0</v>
      </c>
      <c r="AB646" s="1" t="s">
        <v>48</v>
      </c>
      <c r="AC646" t="s">
        <v>46</v>
      </c>
      <c r="AD646" t="s">
        <v>38</v>
      </c>
      <c r="AE646" s="2">
        <v>392.66666666666669</v>
      </c>
    </row>
    <row r="647" spans="1:31" x14ac:dyDescent="0.35">
      <c r="A647">
        <v>29</v>
      </c>
      <c r="B647" s="1" t="s">
        <v>30</v>
      </c>
      <c r="C647" s="1" t="s">
        <v>31</v>
      </c>
      <c r="D647">
        <v>1</v>
      </c>
      <c r="E647">
        <v>3</v>
      </c>
      <c r="F647" s="1" t="s">
        <v>49</v>
      </c>
      <c r="G647">
        <v>2</v>
      </c>
      <c r="H647" s="1" t="s">
        <v>33</v>
      </c>
      <c r="I647">
        <v>2</v>
      </c>
      <c r="J647">
        <v>1</v>
      </c>
      <c r="K647" s="1" t="s">
        <v>58</v>
      </c>
      <c r="L647">
        <v>3</v>
      </c>
      <c r="M647" s="1" t="s">
        <v>50</v>
      </c>
      <c r="N647">
        <v>2800</v>
      </c>
      <c r="O647">
        <v>6</v>
      </c>
      <c r="P647" s="1" t="s">
        <v>30</v>
      </c>
      <c r="Q647">
        <v>19</v>
      </c>
      <c r="R647">
        <v>3</v>
      </c>
      <c r="S647">
        <v>3</v>
      </c>
      <c r="T647">
        <v>5</v>
      </c>
      <c r="U647">
        <v>3</v>
      </c>
      <c r="V647">
        <v>3</v>
      </c>
      <c r="W647">
        <v>3</v>
      </c>
      <c r="X647">
        <v>2</v>
      </c>
      <c r="Y647">
        <v>0</v>
      </c>
      <c r="Z647">
        <v>2</v>
      </c>
      <c r="AA647">
        <v>1</v>
      </c>
      <c r="AB647" s="1" t="s">
        <v>48</v>
      </c>
      <c r="AC647" t="s">
        <v>46</v>
      </c>
      <c r="AD647" t="s">
        <v>53</v>
      </c>
      <c r="AE647" s="2">
        <v>933.33333333333337</v>
      </c>
    </row>
    <row r="648" spans="1:31" x14ac:dyDescent="0.35">
      <c r="A648">
        <v>53</v>
      </c>
      <c r="B648" s="1" t="s">
        <v>39</v>
      </c>
      <c r="C648" s="1" t="s">
        <v>31</v>
      </c>
      <c r="D648">
        <v>8</v>
      </c>
      <c r="E648">
        <v>3</v>
      </c>
      <c r="F648" s="1" t="s">
        <v>60</v>
      </c>
      <c r="G648">
        <v>1</v>
      </c>
      <c r="H648" s="1" t="s">
        <v>41</v>
      </c>
      <c r="I648">
        <v>3</v>
      </c>
      <c r="J648">
        <v>4</v>
      </c>
      <c r="K648" s="1" t="s">
        <v>34</v>
      </c>
      <c r="L648">
        <v>4</v>
      </c>
      <c r="M648" s="1" t="s">
        <v>43</v>
      </c>
      <c r="N648">
        <v>11836</v>
      </c>
      <c r="O648">
        <v>5</v>
      </c>
      <c r="P648" s="1" t="s">
        <v>39</v>
      </c>
      <c r="Q648">
        <v>14</v>
      </c>
      <c r="R648">
        <v>3</v>
      </c>
      <c r="S648">
        <v>1</v>
      </c>
      <c r="T648">
        <v>28</v>
      </c>
      <c r="U648">
        <v>3</v>
      </c>
      <c r="V648">
        <v>3</v>
      </c>
      <c r="W648">
        <v>2</v>
      </c>
      <c r="X648">
        <v>0</v>
      </c>
      <c r="Y648">
        <v>2</v>
      </c>
      <c r="Z648">
        <v>2</v>
      </c>
      <c r="AA648">
        <v>0</v>
      </c>
      <c r="AB648" s="1" t="s">
        <v>82</v>
      </c>
      <c r="AC648" t="s">
        <v>56</v>
      </c>
      <c r="AD648" t="s">
        <v>47</v>
      </c>
      <c r="AE648" s="2">
        <v>5918</v>
      </c>
    </row>
    <row r="649" spans="1:31" x14ac:dyDescent="0.35">
      <c r="A649">
        <v>35</v>
      </c>
      <c r="B649" s="1" t="s">
        <v>39</v>
      </c>
      <c r="C649" s="1" t="s">
        <v>40</v>
      </c>
      <c r="D649">
        <v>25</v>
      </c>
      <c r="E649">
        <v>3</v>
      </c>
      <c r="F649" s="1" t="s">
        <v>61</v>
      </c>
      <c r="G649">
        <v>4</v>
      </c>
      <c r="H649" s="1" t="s">
        <v>41</v>
      </c>
      <c r="I649">
        <v>2</v>
      </c>
      <c r="J649">
        <v>3</v>
      </c>
      <c r="K649" s="1" t="s">
        <v>51</v>
      </c>
      <c r="L649">
        <v>2</v>
      </c>
      <c r="M649" s="1" t="s">
        <v>43</v>
      </c>
      <c r="N649">
        <v>10903</v>
      </c>
      <c r="O649">
        <v>3</v>
      </c>
      <c r="P649" s="1" t="s">
        <v>39</v>
      </c>
      <c r="Q649">
        <v>16</v>
      </c>
      <c r="R649">
        <v>1</v>
      </c>
      <c r="S649">
        <v>0</v>
      </c>
      <c r="T649">
        <v>16</v>
      </c>
      <c r="U649">
        <v>2</v>
      </c>
      <c r="V649">
        <v>3</v>
      </c>
      <c r="W649">
        <v>13</v>
      </c>
      <c r="X649">
        <v>10</v>
      </c>
      <c r="Y649">
        <v>4</v>
      </c>
      <c r="Z649">
        <v>8</v>
      </c>
      <c r="AA649">
        <v>0</v>
      </c>
      <c r="AB649" s="1" t="s">
        <v>48</v>
      </c>
      <c r="AC649" t="s">
        <v>56</v>
      </c>
      <c r="AD649" t="s">
        <v>57</v>
      </c>
      <c r="AE649" s="2">
        <v>838.69230769230774</v>
      </c>
    </row>
    <row r="650" spans="1:31" x14ac:dyDescent="0.35">
      <c r="A650">
        <v>37</v>
      </c>
      <c r="B650" s="1" t="s">
        <v>39</v>
      </c>
      <c r="C650" s="1" t="s">
        <v>31</v>
      </c>
      <c r="D650">
        <v>21</v>
      </c>
      <c r="E650">
        <v>2</v>
      </c>
      <c r="F650" s="1" t="s">
        <v>49</v>
      </c>
      <c r="G650">
        <v>3</v>
      </c>
      <c r="H650" s="1" t="s">
        <v>33</v>
      </c>
      <c r="I650">
        <v>3</v>
      </c>
      <c r="J650">
        <v>1</v>
      </c>
      <c r="K650" s="1" t="s">
        <v>58</v>
      </c>
      <c r="L650">
        <v>4</v>
      </c>
      <c r="M650" s="1" t="s">
        <v>43</v>
      </c>
      <c r="N650">
        <v>2973</v>
      </c>
      <c r="O650">
        <v>5</v>
      </c>
      <c r="P650" s="1" t="s">
        <v>39</v>
      </c>
      <c r="Q650">
        <v>15</v>
      </c>
      <c r="R650">
        <v>2</v>
      </c>
      <c r="S650">
        <v>1</v>
      </c>
      <c r="T650">
        <v>10</v>
      </c>
      <c r="U650">
        <v>3</v>
      </c>
      <c r="V650">
        <v>3</v>
      </c>
      <c r="W650">
        <v>5</v>
      </c>
      <c r="X650">
        <v>4</v>
      </c>
      <c r="Y650">
        <v>0</v>
      </c>
      <c r="Z650">
        <v>0</v>
      </c>
      <c r="AA650">
        <v>0</v>
      </c>
      <c r="AB650" s="1" t="s">
        <v>36</v>
      </c>
      <c r="AC650" t="s">
        <v>46</v>
      </c>
      <c r="AD650" t="s">
        <v>53</v>
      </c>
      <c r="AE650" s="2">
        <v>594.6</v>
      </c>
    </row>
    <row r="651" spans="1:31" x14ac:dyDescent="0.35">
      <c r="A651">
        <v>53</v>
      </c>
      <c r="B651" s="1" t="s">
        <v>39</v>
      </c>
      <c r="C651" s="1" t="s">
        <v>40</v>
      </c>
      <c r="D651">
        <v>23</v>
      </c>
      <c r="E651">
        <v>4</v>
      </c>
      <c r="F651" s="1" t="s">
        <v>32</v>
      </c>
      <c r="G651">
        <v>4</v>
      </c>
      <c r="H651" s="1" t="s">
        <v>33</v>
      </c>
      <c r="I651">
        <v>3</v>
      </c>
      <c r="J651">
        <v>4</v>
      </c>
      <c r="K651" s="1" t="s">
        <v>59</v>
      </c>
      <c r="L651">
        <v>4</v>
      </c>
      <c r="M651" s="1" t="s">
        <v>35</v>
      </c>
      <c r="N651">
        <v>14275</v>
      </c>
      <c r="O651">
        <v>6</v>
      </c>
      <c r="P651" s="1" t="s">
        <v>39</v>
      </c>
      <c r="Q651">
        <v>18</v>
      </c>
      <c r="R651">
        <v>3</v>
      </c>
      <c r="S651">
        <v>0</v>
      </c>
      <c r="T651">
        <v>33</v>
      </c>
      <c r="U651">
        <v>0</v>
      </c>
      <c r="V651">
        <v>3</v>
      </c>
      <c r="W651">
        <v>12</v>
      </c>
      <c r="X651">
        <v>9</v>
      </c>
      <c r="Y651">
        <v>3</v>
      </c>
      <c r="Z651">
        <v>8</v>
      </c>
      <c r="AA651">
        <v>0</v>
      </c>
      <c r="AB651" s="1" t="s">
        <v>82</v>
      </c>
      <c r="AC651" t="s">
        <v>56</v>
      </c>
      <c r="AD651" t="s">
        <v>57</v>
      </c>
      <c r="AE651" s="2">
        <v>1189.5833333333333</v>
      </c>
    </row>
    <row r="652" spans="1:31" x14ac:dyDescent="0.35">
      <c r="A652">
        <v>43</v>
      </c>
      <c r="B652" s="1" t="s">
        <v>39</v>
      </c>
      <c r="C652" s="1" t="s">
        <v>40</v>
      </c>
      <c r="D652">
        <v>1</v>
      </c>
      <c r="E652">
        <v>3</v>
      </c>
      <c r="F652" s="1" t="s">
        <v>32</v>
      </c>
      <c r="G652">
        <v>4</v>
      </c>
      <c r="H652" s="1" t="s">
        <v>33</v>
      </c>
      <c r="I652">
        <v>3</v>
      </c>
      <c r="J652">
        <v>2</v>
      </c>
      <c r="K652" s="1" t="s">
        <v>52</v>
      </c>
      <c r="L652">
        <v>4</v>
      </c>
      <c r="M652" s="1" t="s">
        <v>43</v>
      </c>
      <c r="N652">
        <v>5562</v>
      </c>
      <c r="O652">
        <v>4</v>
      </c>
      <c r="P652" s="1" t="s">
        <v>39</v>
      </c>
      <c r="Q652">
        <v>13</v>
      </c>
      <c r="R652">
        <v>2</v>
      </c>
      <c r="S652">
        <v>1</v>
      </c>
      <c r="T652">
        <v>12</v>
      </c>
      <c r="U652">
        <v>2</v>
      </c>
      <c r="V652">
        <v>2</v>
      </c>
      <c r="W652">
        <v>5</v>
      </c>
      <c r="X652">
        <v>2</v>
      </c>
      <c r="Y652">
        <v>2</v>
      </c>
      <c r="Z652">
        <v>2</v>
      </c>
      <c r="AA652">
        <v>0</v>
      </c>
      <c r="AB652" s="1" t="s">
        <v>36</v>
      </c>
      <c r="AC652" t="s">
        <v>37</v>
      </c>
      <c r="AD652" t="s">
        <v>53</v>
      </c>
      <c r="AE652" s="2">
        <v>1112.4000000000001</v>
      </c>
    </row>
    <row r="653" spans="1:31" x14ac:dyDescent="0.35">
      <c r="A653">
        <v>47</v>
      </c>
      <c r="B653" s="1" t="s">
        <v>39</v>
      </c>
      <c r="C653" s="1" t="s">
        <v>31</v>
      </c>
      <c r="D653">
        <v>2</v>
      </c>
      <c r="E653">
        <v>2</v>
      </c>
      <c r="F653" s="1" t="s">
        <v>60</v>
      </c>
      <c r="G653">
        <v>3</v>
      </c>
      <c r="H653" s="1" t="s">
        <v>33</v>
      </c>
      <c r="I653">
        <v>3</v>
      </c>
      <c r="J653">
        <v>2</v>
      </c>
      <c r="K653" s="1" t="s">
        <v>34</v>
      </c>
      <c r="L653">
        <v>4</v>
      </c>
      <c r="M653" s="1" t="s">
        <v>43</v>
      </c>
      <c r="N653">
        <v>4537</v>
      </c>
      <c r="O653">
        <v>0</v>
      </c>
      <c r="P653" s="1" t="s">
        <v>30</v>
      </c>
      <c r="Q653">
        <v>22</v>
      </c>
      <c r="R653">
        <v>1</v>
      </c>
      <c r="S653">
        <v>1</v>
      </c>
      <c r="T653">
        <v>8</v>
      </c>
      <c r="U653">
        <v>2</v>
      </c>
      <c r="V653">
        <v>3</v>
      </c>
      <c r="W653">
        <v>7</v>
      </c>
      <c r="X653">
        <v>6</v>
      </c>
      <c r="Y653">
        <v>7</v>
      </c>
      <c r="Z653">
        <v>7</v>
      </c>
      <c r="AA653">
        <v>0</v>
      </c>
      <c r="AB653" s="1" t="s">
        <v>82</v>
      </c>
      <c r="AC653" t="s">
        <v>37</v>
      </c>
      <c r="AD653" t="s">
        <v>38</v>
      </c>
      <c r="AE653" s="2">
        <v>648.14285714285711</v>
      </c>
    </row>
    <row r="654" spans="1:31" x14ac:dyDescent="0.35">
      <c r="A654">
        <v>37</v>
      </c>
      <c r="B654" s="1" t="s">
        <v>39</v>
      </c>
      <c r="C654" s="1" t="s">
        <v>31</v>
      </c>
      <c r="D654">
        <v>19</v>
      </c>
      <c r="E654">
        <v>2</v>
      </c>
      <c r="F654" s="1" t="s">
        <v>49</v>
      </c>
      <c r="G654">
        <v>1</v>
      </c>
      <c r="H654" s="1" t="s">
        <v>41</v>
      </c>
      <c r="I654">
        <v>3</v>
      </c>
      <c r="J654">
        <v>3</v>
      </c>
      <c r="K654" s="1" t="s">
        <v>34</v>
      </c>
      <c r="L654">
        <v>2</v>
      </c>
      <c r="M654" s="1" t="s">
        <v>35</v>
      </c>
      <c r="N654">
        <v>7642</v>
      </c>
      <c r="O654">
        <v>1</v>
      </c>
      <c r="P654" s="1" t="s">
        <v>30</v>
      </c>
      <c r="Q654">
        <v>13</v>
      </c>
      <c r="R654">
        <v>4</v>
      </c>
      <c r="S654">
        <v>0</v>
      </c>
      <c r="T654">
        <v>10</v>
      </c>
      <c r="U654">
        <v>2</v>
      </c>
      <c r="V654">
        <v>3</v>
      </c>
      <c r="W654">
        <v>10</v>
      </c>
      <c r="X654">
        <v>0</v>
      </c>
      <c r="Y654">
        <v>0</v>
      </c>
      <c r="Z654">
        <v>9</v>
      </c>
      <c r="AA654">
        <v>0</v>
      </c>
      <c r="AB654" s="1" t="s">
        <v>36</v>
      </c>
      <c r="AC654" t="s">
        <v>37</v>
      </c>
      <c r="AD654" t="s">
        <v>38</v>
      </c>
      <c r="AE654" s="2">
        <v>764.2</v>
      </c>
    </row>
    <row r="655" spans="1:31" x14ac:dyDescent="0.35">
      <c r="A655">
        <v>50</v>
      </c>
      <c r="B655" s="1" t="s">
        <v>39</v>
      </c>
      <c r="C655" s="1" t="s">
        <v>40</v>
      </c>
      <c r="D655">
        <v>2</v>
      </c>
      <c r="E655">
        <v>4</v>
      </c>
      <c r="F655" s="1" t="s">
        <v>32</v>
      </c>
      <c r="G655">
        <v>1</v>
      </c>
      <c r="H655" s="1" t="s">
        <v>41</v>
      </c>
      <c r="I655">
        <v>3</v>
      </c>
      <c r="J655">
        <v>4</v>
      </c>
      <c r="K655" s="1" t="s">
        <v>55</v>
      </c>
      <c r="L655">
        <v>1</v>
      </c>
      <c r="M655" s="1" t="s">
        <v>50</v>
      </c>
      <c r="N655">
        <v>17924</v>
      </c>
      <c r="O655">
        <v>1</v>
      </c>
      <c r="P655" s="1" t="s">
        <v>39</v>
      </c>
      <c r="Q655">
        <v>11</v>
      </c>
      <c r="R655">
        <v>4</v>
      </c>
      <c r="S655">
        <v>1</v>
      </c>
      <c r="T655">
        <v>31</v>
      </c>
      <c r="U655">
        <v>3</v>
      </c>
      <c r="V655">
        <v>3</v>
      </c>
      <c r="W655">
        <v>31</v>
      </c>
      <c r="X655">
        <v>6</v>
      </c>
      <c r="Y655">
        <v>14</v>
      </c>
      <c r="Z655">
        <v>7</v>
      </c>
      <c r="AA655">
        <v>0</v>
      </c>
      <c r="AB655" s="1" t="s">
        <v>82</v>
      </c>
      <c r="AC655" t="s">
        <v>56</v>
      </c>
      <c r="AD655" t="s">
        <v>57</v>
      </c>
      <c r="AE655" s="2">
        <v>578.19354838709683</v>
      </c>
    </row>
    <row r="656" spans="1:31" x14ac:dyDescent="0.35">
      <c r="A656">
        <v>39</v>
      </c>
      <c r="B656" s="1" t="s">
        <v>39</v>
      </c>
      <c r="C656" s="1" t="s">
        <v>62</v>
      </c>
      <c r="D656">
        <v>2</v>
      </c>
      <c r="E656">
        <v>3</v>
      </c>
      <c r="F656" s="1" t="s">
        <v>32</v>
      </c>
      <c r="G656">
        <v>4</v>
      </c>
      <c r="H656" s="1" t="s">
        <v>33</v>
      </c>
      <c r="I656">
        <v>2</v>
      </c>
      <c r="J656">
        <v>2</v>
      </c>
      <c r="K656" s="1" t="s">
        <v>62</v>
      </c>
      <c r="L656">
        <v>4</v>
      </c>
      <c r="M656" s="1" t="s">
        <v>43</v>
      </c>
      <c r="N656">
        <v>5204</v>
      </c>
      <c r="O656">
        <v>8</v>
      </c>
      <c r="P656" s="1" t="s">
        <v>39</v>
      </c>
      <c r="Q656">
        <v>11</v>
      </c>
      <c r="R656">
        <v>3</v>
      </c>
      <c r="S656">
        <v>2</v>
      </c>
      <c r="T656">
        <v>13</v>
      </c>
      <c r="U656">
        <v>2</v>
      </c>
      <c r="V656">
        <v>3</v>
      </c>
      <c r="W656">
        <v>5</v>
      </c>
      <c r="X656">
        <v>4</v>
      </c>
      <c r="Y656">
        <v>0</v>
      </c>
      <c r="Z656">
        <v>4</v>
      </c>
      <c r="AA656">
        <v>0</v>
      </c>
      <c r="AB656" s="1" t="s">
        <v>36</v>
      </c>
      <c r="AC656" t="s">
        <v>37</v>
      </c>
      <c r="AD656" t="s">
        <v>53</v>
      </c>
      <c r="AE656" s="2">
        <v>1040.8</v>
      </c>
    </row>
    <row r="657" spans="1:31" x14ac:dyDescent="0.35">
      <c r="A657">
        <v>33</v>
      </c>
      <c r="B657" s="1" t="s">
        <v>39</v>
      </c>
      <c r="C657" s="1" t="s">
        <v>62</v>
      </c>
      <c r="D657">
        <v>3</v>
      </c>
      <c r="E657">
        <v>2</v>
      </c>
      <c r="F657" s="1" t="s">
        <v>62</v>
      </c>
      <c r="G657">
        <v>4</v>
      </c>
      <c r="H657" s="1" t="s">
        <v>41</v>
      </c>
      <c r="I657">
        <v>3</v>
      </c>
      <c r="J657">
        <v>1</v>
      </c>
      <c r="K657" s="1" t="s">
        <v>62</v>
      </c>
      <c r="L657">
        <v>2</v>
      </c>
      <c r="M657" s="1" t="s">
        <v>50</v>
      </c>
      <c r="N657">
        <v>2277</v>
      </c>
      <c r="O657">
        <v>3</v>
      </c>
      <c r="P657" s="1" t="s">
        <v>30</v>
      </c>
      <c r="Q657">
        <v>11</v>
      </c>
      <c r="R657">
        <v>3</v>
      </c>
      <c r="S657">
        <v>1</v>
      </c>
      <c r="T657">
        <v>7</v>
      </c>
      <c r="U657">
        <v>4</v>
      </c>
      <c r="V657">
        <v>4</v>
      </c>
      <c r="W657">
        <v>4</v>
      </c>
      <c r="X657">
        <v>3</v>
      </c>
      <c r="Y657">
        <v>0</v>
      </c>
      <c r="Z657">
        <v>3</v>
      </c>
      <c r="AA657">
        <v>0</v>
      </c>
      <c r="AB657" s="1" t="s">
        <v>48</v>
      </c>
      <c r="AC657" t="s">
        <v>46</v>
      </c>
      <c r="AD657" t="s">
        <v>53</v>
      </c>
      <c r="AE657" s="2">
        <v>569.25</v>
      </c>
    </row>
    <row r="658" spans="1:31" x14ac:dyDescent="0.35">
      <c r="A658">
        <v>32</v>
      </c>
      <c r="B658" s="1" t="s">
        <v>30</v>
      </c>
      <c r="C658" s="1" t="s">
        <v>40</v>
      </c>
      <c r="D658">
        <v>25</v>
      </c>
      <c r="E658">
        <v>4</v>
      </c>
      <c r="F658" s="1" t="s">
        <v>32</v>
      </c>
      <c r="G658">
        <v>1</v>
      </c>
      <c r="H658" s="1" t="s">
        <v>41</v>
      </c>
      <c r="I658">
        <v>3</v>
      </c>
      <c r="J658">
        <v>1</v>
      </c>
      <c r="K658" s="1" t="s">
        <v>45</v>
      </c>
      <c r="L658">
        <v>4</v>
      </c>
      <c r="M658" s="1" t="s">
        <v>35</v>
      </c>
      <c r="N658">
        <v>2795</v>
      </c>
      <c r="O658">
        <v>1</v>
      </c>
      <c r="P658" s="1" t="s">
        <v>30</v>
      </c>
      <c r="Q658">
        <v>24</v>
      </c>
      <c r="R658">
        <v>3</v>
      </c>
      <c r="S658">
        <v>0</v>
      </c>
      <c r="T658">
        <v>1</v>
      </c>
      <c r="U658">
        <v>2</v>
      </c>
      <c r="V658">
        <v>1</v>
      </c>
      <c r="W658">
        <v>1</v>
      </c>
      <c r="X658">
        <v>0</v>
      </c>
      <c r="Y658">
        <v>0</v>
      </c>
      <c r="Z658">
        <v>1</v>
      </c>
      <c r="AA658">
        <v>1</v>
      </c>
      <c r="AB658" s="1" t="s">
        <v>48</v>
      </c>
      <c r="AC658" t="s">
        <v>46</v>
      </c>
      <c r="AD658" t="s">
        <v>47</v>
      </c>
      <c r="AE658" s="2">
        <v>2795</v>
      </c>
    </row>
    <row r="659" spans="1:31" x14ac:dyDescent="0.35">
      <c r="A659">
        <v>29</v>
      </c>
      <c r="B659" s="1" t="s">
        <v>39</v>
      </c>
      <c r="C659" s="1" t="s">
        <v>40</v>
      </c>
      <c r="D659">
        <v>7</v>
      </c>
      <c r="E659">
        <v>1</v>
      </c>
      <c r="F659" s="1" t="s">
        <v>49</v>
      </c>
      <c r="G659">
        <v>1</v>
      </c>
      <c r="H659" s="1" t="s">
        <v>33</v>
      </c>
      <c r="I659">
        <v>2</v>
      </c>
      <c r="J659">
        <v>1</v>
      </c>
      <c r="K659" s="1" t="s">
        <v>45</v>
      </c>
      <c r="L659">
        <v>4</v>
      </c>
      <c r="M659" s="1" t="s">
        <v>50</v>
      </c>
      <c r="N659">
        <v>2532</v>
      </c>
      <c r="O659">
        <v>6</v>
      </c>
      <c r="P659" s="1" t="s">
        <v>39</v>
      </c>
      <c r="Q659">
        <v>14</v>
      </c>
      <c r="R659">
        <v>3</v>
      </c>
      <c r="S659">
        <v>3</v>
      </c>
      <c r="T659">
        <v>8</v>
      </c>
      <c r="U659">
        <v>5</v>
      </c>
      <c r="V659">
        <v>3</v>
      </c>
      <c r="W659">
        <v>4</v>
      </c>
      <c r="X659">
        <v>3</v>
      </c>
      <c r="Y659">
        <v>0</v>
      </c>
      <c r="Z659">
        <v>3</v>
      </c>
      <c r="AA659">
        <v>0</v>
      </c>
      <c r="AB659" s="1" t="s">
        <v>48</v>
      </c>
      <c r="AC659" t="s">
        <v>46</v>
      </c>
      <c r="AD659" t="s">
        <v>53</v>
      </c>
      <c r="AE659" s="2">
        <v>633</v>
      </c>
    </row>
    <row r="660" spans="1:31" x14ac:dyDescent="0.35">
      <c r="A660">
        <v>44</v>
      </c>
      <c r="B660" s="1" t="s">
        <v>39</v>
      </c>
      <c r="C660" s="1" t="s">
        <v>40</v>
      </c>
      <c r="D660">
        <v>9</v>
      </c>
      <c r="E660">
        <v>2</v>
      </c>
      <c r="F660" s="1" t="s">
        <v>32</v>
      </c>
      <c r="G660">
        <v>2</v>
      </c>
      <c r="H660" s="1" t="s">
        <v>41</v>
      </c>
      <c r="I660">
        <v>3</v>
      </c>
      <c r="J660">
        <v>1</v>
      </c>
      <c r="K660" s="1" t="s">
        <v>42</v>
      </c>
      <c r="L660">
        <v>1</v>
      </c>
      <c r="M660" s="1" t="s">
        <v>43</v>
      </c>
      <c r="N660">
        <v>2559</v>
      </c>
      <c r="O660">
        <v>1</v>
      </c>
      <c r="P660" s="1" t="s">
        <v>30</v>
      </c>
      <c r="Q660">
        <v>13</v>
      </c>
      <c r="R660">
        <v>4</v>
      </c>
      <c r="S660">
        <v>0</v>
      </c>
      <c r="T660">
        <v>8</v>
      </c>
      <c r="U660">
        <v>0</v>
      </c>
      <c r="V660">
        <v>3</v>
      </c>
      <c r="W660">
        <v>8</v>
      </c>
      <c r="X660">
        <v>7</v>
      </c>
      <c r="Y660">
        <v>7</v>
      </c>
      <c r="Z660">
        <v>1</v>
      </c>
      <c r="AA660">
        <v>0</v>
      </c>
      <c r="AB660" s="1" t="s">
        <v>36</v>
      </c>
      <c r="AC660" t="s">
        <v>46</v>
      </c>
      <c r="AD660" t="s">
        <v>38</v>
      </c>
      <c r="AE660" s="2">
        <v>319.875</v>
      </c>
    </row>
    <row r="661" spans="1:31" x14ac:dyDescent="0.35">
      <c r="A661">
        <v>28</v>
      </c>
      <c r="B661" s="1" t="s">
        <v>39</v>
      </c>
      <c r="C661" s="1" t="s">
        <v>31</v>
      </c>
      <c r="D661">
        <v>5</v>
      </c>
      <c r="E661">
        <v>4</v>
      </c>
      <c r="F661" s="1" t="s">
        <v>49</v>
      </c>
      <c r="G661">
        <v>1</v>
      </c>
      <c r="H661" s="1" t="s">
        <v>41</v>
      </c>
      <c r="I661">
        <v>3</v>
      </c>
      <c r="J661">
        <v>2</v>
      </c>
      <c r="K661" s="1" t="s">
        <v>34</v>
      </c>
      <c r="L661">
        <v>4</v>
      </c>
      <c r="M661" s="1" t="s">
        <v>35</v>
      </c>
      <c r="N661">
        <v>4908</v>
      </c>
      <c r="O661">
        <v>1</v>
      </c>
      <c r="P661" s="1" t="s">
        <v>39</v>
      </c>
      <c r="Q661">
        <v>14</v>
      </c>
      <c r="R661">
        <v>2</v>
      </c>
      <c r="S661">
        <v>0</v>
      </c>
      <c r="T661">
        <v>4</v>
      </c>
      <c r="U661">
        <v>3</v>
      </c>
      <c r="V661">
        <v>3</v>
      </c>
      <c r="W661">
        <v>4</v>
      </c>
      <c r="X661">
        <v>2</v>
      </c>
      <c r="Y661">
        <v>0</v>
      </c>
      <c r="Z661">
        <v>2</v>
      </c>
      <c r="AA661">
        <v>0</v>
      </c>
      <c r="AB661" s="1" t="s">
        <v>48</v>
      </c>
      <c r="AC661" t="s">
        <v>37</v>
      </c>
      <c r="AD661" t="s">
        <v>53</v>
      </c>
      <c r="AE661" s="2">
        <v>1227</v>
      </c>
    </row>
    <row r="662" spans="1:31" x14ac:dyDescent="0.35">
      <c r="A662">
        <v>58</v>
      </c>
      <c r="B662" s="1" t="s">
        <v>30</v>
      </c>
      <c r="C662" s="1" t="s">
        <v>40</v>
      </c>
      <c r="D662">
        <v>2</v>
      </c>
      <c r="E662">
        <v>1</v>
      </c>
      <c r="F662" s="1" t="s">
        <v>32</v>
      </c>
      <c r="G662">
        <v>4</v>
      </c>
      <c r="H662" s="1" t="s">
        <v>41</v>
      </c>
      <c r="I662">
        <v>2</v>
      </c>
      <c r="J662">
        <v>1</v>
      </c>
      <c r="K662" s="1" t="s">
        <v>45</v>
      </c>
      <c r="L662">
        <v>4</v>
      </c>
      <c r="M662" s="1" t="s">
        <v>50</v>
      </c>
      <c r="N662">
        <v>2380</v>
      </c>
      <c r="O662">
        <v>9</v>
      </c>
      <c r="P662" s="1" t="s">
        <v>30</v>
      </c>
      <c r="Q662">
        <v>14</v>
      </c>
      <c r="R662">
        <v>4</v>
      </c>
      <c r="S662">
        <v>1</v>
      </c>
      <c r="T662">
        <v>3</v>
      </c>
      <c r="U662">
        <v>3</v>
      </c>
      <c r="V662">
        <v>2</v>
      </c>
      <c r="W662">
        <v>1</v>
      </c>
      <c r="X662">
        <v>0</v>
      </c>
      <c r="Y662">
        <v>0</v>
      </c>
      <c r="Z662">
        <v>0</v>
      </c>
      <c r="AA662">
        <v>1</v>
      </c>
      <c r="AB662" s="1" t="s">
        <v>82</v>
      </c>
      <c r="AC662" t="s">
        <v>46</v>
      </c>
      <c r="AD662" t="s">
        <v>47</v>
      </c>
      <c r="AE662" s="2">
        <v>2380</v>
      </c>
    </row>
    <row r="663" spans="1:31" x14ac:dyDescent="0.35">
      <c r="A663">
        <v>43</v>
      </c>
      <c r="B663" s="1" t="s">
        <v>39</v>
      </c>
      <c r="C663" s="1" t="s">
        <v>40</v>
      </c>
      <c r="D663">
        <v>8</v>
      </c>
      <c r="E663">
        <v>3</v>
      </c>
      <c r="F663" s="1" t="s">
        <v>32</v>
      </c>
      <c r="G663">
        <v>1</v>
      </c>
      <c r="H663" s="1" t="s">
        <v>33</v>
      </c>
      <c r="I663">
        <v>3</v>
      </c>
      <c r="J663">
        <v>2</v>
      </c>
      <c r="K663" s="1" t="s">
        <v>51</v>
      </c>
      <c r="L663">
        <v>2</v>
      </c>
      <c r="M663" s="1" t="s">
        <v>50</v>
      </c>
      <c r="N663">
        <v>4765</v>
      </c>
      <c r="O663">
        <v>4</v>
      </c>
      <c r="P663" s="1" t="s">
        <v>39</v>
      </c>
      <c r="Q663">
        <v>21</v>
      </c>
      <c r="R663">
        <v>3</v>
      </c>
      <c r="S663">
        <v>1</v>
      </c>
      <c r="T663">
        <v>4</v>
      </c>
      <c r="U663">
        <v>2</v>
      </c>
      <c r="V663">
        <v>4</v>
      </c>
      <c r="W663">
        <v>1</v>
      </c>
      <c r="X663">
        <v>0</v>
      </c>
      <c r="Y663">
        <v>0</v>
      </c>
      <c r="Z663">
        <v>0</v>
      </c>
      <c r="AA663">
        <v>0</v>
      </c>
      <c r="AB663" s="1" t="s">
        <v>36</v>
      </c>
      <c r="AC663" t="s">
        <v>37</v>
      </c>
      <c r="AD663" t="s">
        <v>47</v>
      </c>
      <c r="AE663" s="2">
        <v>4765</v>
      </c>
    </row>
    <row r="664" spans="1:31" x14ac:dyDescent="0.35">
      <c r="A664">
        <v>20</v>
      </c>
      <c r="B664" s="1" t="s">
        <v>30</v>
      </c>
      <c r="C664" s="1" t="s">
        <v>31</v>
      </c>
      <c r="D664">
        <v>2</v>
      </c>
      <c r="E664">
        <v>3</v>
      </c>
      <c r="F664" s="1" t="s">
        <v>49</v>
      </c>
      <c r="G664">
        <v>3</v>
      </c>
      <c r="H664" s="1" t="s">
        <v>33</v>
      </c>
      <c r="I664">
        <v>2</v>
      </c>
      <c r="J664">
        <v>1</v>
      </c>
      <c r="K664" s="1" t="s">
        <v>58</v>
      </c>
      <c r="L664">
        <v>3</v>
      </c>
      <c r="M664" s="1" t="s">
        <v>35</v>
      </c>
      <c r="N664">
        <v>2044</v>
      </c>
      <c r="O664">
        <v>1</v>
      </c>
      <c r="P664" s="1" t="s">
        <v>39</v>
      </c>
      <c r="Q664">
        <v>13</v>
      </c>
      <c r="R664">
        <v>4</v>
      </c>
      <c r="S664">
        <v>0</v>
      </c>
      <c r="T664">
        <v>2</v>
      </c>
      <c r="U664">
        <v>3</v>
      </c>
      <c r="V664">
        <v>2</v>
      </c>
      <c r="W664">
        <v>2</v>
      </c>
      <c r="X664">
        <v>2</v>
      </c>
      <c r="Y664">
        <v>0</v>
      </c>
      <c r="Z664">
        <v>2</v>
      </c>
      <c r="AA664">
        <v>1</v>
      </c>
      <c r="AB664" s="1" t="s">
        <v>54</v>
      </c>
      <c r="AC664" t="s">
        <v>46</v>
      </c>
      <c r="AD664" t="s">
        <v>47</v>
      </c>
      <c r="AE664" s="2">
        <v>1022</v>
      </c>
    </row>
    <row r="665" spans="1:31" x14ac:dyDescent="0.35">
      <c r="A665">
        <v>21</v>
      </c>
      <c r="B665" s="1" t="s">
        <v>30</v>
      </c>
      <c r="C665" s="1" t="s">
        <v>40</v>
      </c>
      <c r="D665">
        <v>18</v>
      </c>
      <c r="E665">
        <v>1</v>
      </c>
      <c r="F665" s="1" t="s">
        <v>44</v>
      </c>
      <c r="G665">
        <v>4</v>
      </c>
      <c r="H665" s="1" t="s">
        <v>33</v>
      </c>
      <c r="I665">
        <v>3</v>
      </c>
      <c r="J665">
        <v>1</v>
      </c>
      <c r="K665" s="1" t="s">
        <v>42</v>
      </c>
      <c r="L665">
        <v>4</v>
      </c>
      <c r="M665" s="1" t="s">
        <v>35</v>
      </c>
      <c r="N665">
        <v>2693</v>
      </c>
      <c r="O665">
        <v>1</v>
      </c>
      <c r="P665" s="1" t="s">
        <v>39</v>
      </c>
      <c r="Q665">
        <v>19</v>
      </c>
      <c r="R665">
        <v>1</v>
      </c>
      <c r="S665">
        <v>0</v>
      </c>
      <c r="T665">
        <v>1</v>
      </c>
      <c r="U665">
        <v>3</v>
      </c>
      <c r="V665">
        <v>2</v>
      </c>
      <c r="W665">
        <v>1</v>
      </c>
      <c r="X665">
        <v>0</v>
      </c>
      <c r="Y665">
        <v>0</v>
      </c>
      <c r="Z665">
        <v>0</v>
      </c>
      <c r="AA665">
        <v>1</v>
      </c>
      <c r="AB665" s="1" t="s">
        <v>54</v>
      </c>
      <c r="AC665" t="s">
        <v>46</v>
      </c>
      <c r="AD665" t="s">
        <v>47</v>
      </c>
      <c r="AE665" s="2">
        <v>2693</v>
      </c>
    </row>
    <row r="666" spans="1:31" x14ac:dyDescent="0.35">
      <c r="A666">
        <v>36</v>
      </c>
      <c r="B666" s="1" t="s">
        <v>39</v>
      </c>
      <c r="C666" s="1" t="s">
        <v>40</v>
      </c>
      <c r="D666">
        <v>14</v>
      </c>
      <c r="E666">
        <v>1</v>
      </c>
      <c r="F666" s="1" t="s">
        <v>32</v>
      </c>
      <c r="G666">
        <v>3</v>
      </c>
      <c r="H666" s="1" t="s">
        <v>41</v>
      </c>
      <c r="I666">
        <v>3</v>
      </c>
      <c r="J666">
        <v>2</v>
      </c>
      <c r="K666" s="1" t="s">
        <v>52</v>
      </c>
      <c r="L666">
        <v>4</v>
      </c>
      <c r="M666" s="1" t="s">
        <v>43</v>
      </c>
      <c r="N666">
        <v>6586</v>
      </c>
      <c r="O666">
        <v>0</v>
      </c>
      <c r="P666" s="1" t="s">
        <v>30</v>
      </c>
      <c r="Q666">
        <v>17</v>
      </c>
      <c r="R666">
        <v>1</v>
      </c>
      <c r="S666">
        <v>1</v>
      </c>
      <c r="T666">
        <v>17</v>
      </c>
      <c r="U666">
        <v>2</v>
      </c>
      <c r="V666">
        <v>2</v>
      </c>
      <c r="W666">
        <v>16</v>
      </c>
      <c r="X666">
        <v>8</v>
      </c>
      <c r="Y666">
        <v>4</v>
      </c>
      <c r="Z666">
        <v>11</v>
      </c>
      <c r="AA666">
        <v>0</v>
      </c>
      <c r="AB666" s="1" t="s">
        <v>36</v>
      </c>
      <c r="AC666" t="s">
        <v>37</v>
      </c>
      <c r="AD666" t="s">
        <v>57</v>
      </c>
      <c r="AE666" s="2">
        <v>411.625</v>
      </c>
    </row>
    <row r="667" spans="1:31" x14ac:dyDescent="0.35">
      <c r="A667">
        <v>47</v>
      </c>
      <c r="B667" s="1" t="s">
        <v>39</v>
      </c>
      <c r="C667" s="1" t="s">
        <v>31</v>
      </c>
      <c r="D667">
        <v>2</v>
      </c>
      <c r="E667">
        <v>4</v>
      </c>
      <c r="F667" s="1" t="s">
        <v>32</v>
      </c>
      <c r="G667">
        <v>4</v>
      </c>
      <c r="H667" s="1" t="s">
        <v>33</v>
      </c>
      <c r="I667">
        <v>2</v>
      </c>
      <c r="J667">
        <v>1</v>
      </c>
      <c r="K667" s="1" t="s">
        <v>58</v>
      </c>
      <c r="L667">
        <v>4</v>
      </c>
      <c r="M667" s="1" t="s">
        <v>35</v>
      </c>
      <c r="N667">
        <v>3294</v>
      </c>
      <c r="O667">
        <v>1</v>
      </c>
      <c r="P667" s="1" t="s">
        <v>30</v>
      </c>
      <c r="Q667">
        <v>18</v>
      </c>
      <c r="R667">
        <v>1</v>
      </c>
      <c r="S667">
        <v>0</v>
      </c>
      <c r="T667">
        <v>3</v>
      </c>
      <c r="U667">
        <v>3</v>
      </c>
      <c r="V667">
        <v>2</v>
      </c>
      <c r="W667">
        <v>3</v>
      </c>
      <c r="X667">
        <v>2</v>
      </c>
      <c r="Y667">
        <v>1</v>
      </c>
      <c r="Z667">
        <v>2</v>
      </c>
      <c r="AA667">
        <v>0</v>
      </c>
      <c r="AB667" s="1" t="s">
        <v>82</v>
      </c>
      <c r="AC667" t="s">
        <v>46</v>
      </c>
      <c r="AD667" t="s">
        <v>53</v>
      </c>
      <c r="AE667" s="2">
        <v>1098</v>
      </c>
    </row>
    <row r="668" spans="1:31" x14ac:dyDescent="0.35">
      <c r="A668">
        <v>22</v>
      </c>
      <c r="B668" s="1" t="s">
        <v>30</v>
      </c>
      <c r="C668" s="1" t="s">
        <v>40</v>
      </c>
      <c r="D668">
        <v>3</v>
      </c>
      <c r="E668">
        <v>1</v>
      </c>
      <c r="F668" s="1" t="s">
        <v>32</v>
      </c>
      <c r="G668">
        <v>2</v>
      </c>
      <c r="H668" s="1" t="s">
        <v>33</v>
      </c>
      <c r="I668">
        <v>3</v>
      </c>
      <c r="J668">
        <v>2</v>
      </c>
      <c r="K668" s="1" t="s">
        <v>51</v>
      </c>
      <c r="L668">
        <v>3</v>
      </c>
      <c r="M668" s="1" t="s">
        <v>43</v>
      </c>
      <c r="N668">
        <v>4171</v>
      </c>
      <c r="O668">
        <v>0</v>
      </c>
      <c r="P668" s="1" t="s">
        <v>30</v>
      </c>
      <c r="Q668">
        <v>19</v>
      </c>
      <c r="R668">
        <v>1</v>
      </c>
      <c r="S668">
        <v>1</v>
      </c>
      <c r="T668">
        <v>4</v>
      </c>
      <c r="U668">
        <v>3</v>
      </c>
      <c r="V668">
        <v>4</v>
      </c>
      <c r="W668">
        <v>3</v>
      </c>
      <c r="X668">
        <v>2</v>
      </c>
      <c r="Y668">
        <v>0</v>
      </c>
      <c r="Z668">
        <v>2</v>
      </c>
      <c r="AA668">
        <v>1</v>
      </c>
      <c r="AB668" s="1" t="s">
        <v>54</v>
      </c>
      <c r="AC668" t="s">
        <v>37</v>
      </c>
      <c r="AD668" t="s">
        <v>53</v>
      </c>
      <c r="AE668" s="2">
        <v>1390.3333333333333</v>
      </c>
    </row>
    <row r="669" spans="1:31" x14ac:dyDescent="0.35">
      <c r="A669">
        <v>41</v>
      </c>
      <c r="B669" s="1" t="s">
        <v>30</v>
      </c>
      <c r="C669" s="1" t="s">
        <v>40</v>
      </c>
      <c r="D669">
        <v>2</v>
      </c>
      <c r="E669">
        <v>4</v>
      </c>
      <c r="F669" s="1" t="s">
        <v>32</v>
      </c>
      <c r="G669">
        <v>2</v>
      </c>
      <c r="H669" s="1" t="s">
        <v>33</v>
      </c>
      <c r="I669">
        <v>1</v>
      </c>
      <c r="J669">
        <v>1</v>
      </c>
      <c r="K669" s="1" t="s">
        <v>45</v>
      </c>
      <c r="L669">
        <v>4</v>
      </c>
      <c r="M669" s="1" t="s">
        <v>50</v>
      </c>
      <c r="N669">
        <v>2778</v>
      </c>
      <c r="O669">
        <v>4</v>
      </c>
      <c r="P669" s="1" t="s">
        <v>30</v>
      </c>
      <c r="Q669">
        <v>13</v>
      </c>
      <c r="R669">
        <v>3</v>
      </c>
      <c r="S669">
        <v>1</v>
      </c>
      <c r="T669">
        <v>10</v>
      </c>
      <c r="U669">
        <v>1</v>
      </c>
      <c r="V669">
        <v>2</v>
      </c>
      <c r="W669">
        <v>7</v>
      </c>
      <c r="X669">
        <v>7</v>
      </c>
      <c r="Y669">
        <v>1</v>
      </c>
      <c r="Z669">
        <v>0</v>
      </c>
      <c r="AA669">
        <v>1</v>
      </c>
      <c r="AB669" s="1" t="s">
        <v>36</v>
      </c>
      <c r="AC669" t="s">
        <v>46</v>
      </c>
      <c r="AD669" t="s">
        <v>38</v>
      </c>
      <c r="AE669" s="2">
        <v>396.85714285714283</v>
      </c>
    </row>
    <row r="670" spans="1:31" x14ac:dyDescent="0.35">
      <c r="A670">
        <v>28</v>
      </c>
      <c r="B670" s="1" t="s">
        <v>39</v>
      </c>
      <c r="C670" s="1" t="s">
        <v>40</v>
      </c>
      <c r="D670">
        <v>9</v>
      </c>
      <c r="E670">
        <v>3</v>
      </c>
      <c r="F670" s="1" t="s">
        <v>49</v>
      </c>
      <c r="G670">
        <v>3</v>
      </c>
      <c r="H670" s="1" t="s">
        <v>33</v>
      </c>
      <c r="I670">
        <v>3</v>
      </c>
      <c r="J670">
        <v>1</v>
      </c>
      <c r="K670" s="1" t="s">
        <v>42</v>
      </c>
      <c r="L670">
        <v>3</v>
      </c>
      <c r="M670" s="1" t="s">
        <v>50</v>
      </c>
      <c r="N670">
        <v>2377</v>
      </c>
      <c r="O670">
        <v>5</v>
      </c>
      <c r="P670" s="1" t="s">
        <v>39</v>
      </c>
      <c r="Q670">
        <v>18</v>
      </c>
      <c r="R670">
        <v>2</v>
      </c>
      <c r="S670">
        <v>1</v>
      </c>
      <c r="T670">
        <v>6</v>
      </c>
      <c r="U670">
        <v>2</v>
      </c>
      <c r="V670">
        <v>3</v>
      </c>
      <c r="W670">
        <v>2</v>
      </c>
      <c r="X670">
        <v>2</v>
      </c>
      <c r="Y670">
        <v>2</v>
      </c>
      <c r="Z670">
        <v>2</v>
      </c>
      <c r="AA670">
        <v>0</v>
      </c>
      <c r="AB670" s="1" t="s">
        <v>48</v>
      </c>
      <c r="AC670" t="s">
        <v>46</v>
      </c>
      <c r="AD670" t="s">
        <v>47</v>
      </c>
      <c r="AE670" s="2">
        <v>1188.5</v>
      </c>
    </row>
    <row r="671" spans="1:31" x14ac:dyDescent="0.35">
      <c r="A671">
        <v>39</v>
      </c>
      <c r="B671" s="1" t="s">
        <v>30</v>
      </c>
      <c r="C671" s="1" t="s">
        <v>40</v>
      </c>
      <c r="D671">
        <v>6</v>
      </c>
      <c r="E671">
        <v>3</v>
      </c>
      <c r="F671" s="1" t="s">
        <v>49</v>
      </c>
      <c r="G671">
        <v>4</v>
      </c>
      <c r="H671" s="1" t="s">
        <v>41</v>
      </c>
      <c r="I671">
        <v>3</v>
      </c>
      <c r="J671">
        <v>1</v>
      </c>
      <c r="K671" s="1" t="s">
        <v>45</v>
      </c>
      <c r="L671">
        <v>1</v>
      </c>
      <c r="M671" s="1" t="s">
        <v>43</v>
      </c>
      <c r="N671">
        <v>2404</v>
      </c>
      <c r="O671">
        <v>7</v>
      </c>
      <c r="P671" s="1" t="s">
        <v>30</v>
      </c>
      <c r="Q671">
        <v>21</v>
      </c>
      <c r="R671">
        <v>4</v>
      </c>
      <c r="S671">
        <v>0</v>
      </c>
      <c r="T671">
        <v>8</v>
      </c>
      <c r="U671">
        <v>2</v>
      </c>
      <c r="V671">
        <v>1</v>
      </c>
      <c r="W671">
        <v>2</v>
      </c>
      <c r="X671">
        <v>2</v>
      </c>
      <c r="Y671">
        <v>2</v>
      </c>
      <c r="Z671">
        <v>2</v>
      </c>
      <c r="AA671">
        <v>1</v>
      </c>
      <c r="AB671" s="1" t="s">
        <v>36</v>
      </c>
      <c r="AC671" t="s">
        <v>46</v>
      </c>
      <c r="AD671" t="s">
        <v>47</v>
      </c>
      <c r="AE671" s="2">
        <v>1202</v>
      </c>
    </row>
    <row r="672" spans="1:31" x14ac:dyDescent="0.35">
      <c r="A672">
        <v>27</v>
      </c>
      <c r="B672" s="1" t="s">
        <v>39</v>
      </c>
      <c r="C672" s="1" t="s">
        <v>40</v>
      </c>
      <c r="D672">
        <v>4</v>
      </c>
      <c r="E672">
        <v>3</v>
      </c>
      <c r="F672" s="1" t="s">
        <v>32</v>
      </c>
      <c r="G672">
        <v>2</v>
      </c>
      <c r="H672" s="1" t="s">
        <v>33</v>
      </c>
      <c r="I672">
        <v>3</v>
      </c>
      <c r="J672">
        <v>1</v>
      </c>
      <c r="K672" s="1" t="s">
        <v>42</v>
      </c>
      <c r="L672">
        <v>3</v>
      </c>
      <c r="M672" s="1" t="s">
        <v>35</v>
      </c>
      <c r="N672">
        <v>2318</v>
      </c>
      <c r="O672">
        <v>1</v>
      </c>
      <c r="P672" s="1" t="s">
        <v>39</v>
      </c>
      <c r="Q672">
        <v>19</v>
      </c>
      <c r="R672">
        <v>3</v>
      </c>
      <c r="S672">
        <v>0</v>
      </c>
      <c r="T672">
        <v>1</v>
      </c>
      <c r="U672">
        <v>2</v>
      </c>
      <c r="V672">
        <v>3</v>
      </c>
      <c r="W672">
        <v>1</v>
      </c>
      <c r="X672">
        <v>1</v>
      </c>
      <c r="Y672">
        <v>0</v>
      </c>
      <c r="Z672">
        <v>0</v>
      </c>
      <c r="AA672">
        <v>0</v>
      </c>
      <c r="AB672" s="1" t="s">
        <v>48</v>
      </c>
      <c r="AC672" t="s">
        <v>46</v>
      </c>
      <c r="AD672" t="s">
        <v>47</v>
      </c>
      <c r="AE672" s="2">
        <v>2318</v>
      </c>
    </row>
    <row r="673" spans="1:31" x14ac:dyDescent="0.35">
      <c r="A673">
        <v>34</v>
      </c>
      <c r="B673" s="1" t="s">
        <v>39</v>
      </c>
      <c r="C673" s="1" t="s">
        <v>40</v>
      </c>
      <c r="D673">
        <v>10</v>
      </c>
      <c r="E673">
        <v>3</v>
      </c>
      <c r="F673" s="1" t="s">
        <v>32</v>
      </c>
      <c r="G673">
        <v>2</v>
      </c>
      <c r="H673" s="1" t="s">
        <v>41</v>
      </c>
      <c r="I673">
        <v>3</v>
      </c>
      <c r="J673">
        <v>1</v>
      </c>
      <c r="K673" s="1" t="s">
        <v>45</v>
      </c>
      <c r="L673">
        <v>2</v>
      </c>
      <c r="M673" s="1" t="s">
        <v>50</v>
      </c>
      <c r="N673">
        <v>2008</v>
      </c>
      <c r="O673">
        <v>1</v>
      </c>
      <c r="P673" s="1" t="s">
        <v>39</v>
      </c>
      <c r="Q673">
        <v>14</v>
      </c>
      <c r="R673">
        <v>2</v>
      </c>
      <c r="S673">
        <v>2</v>
      </c>
      <c r="T673">
        <v>1</v>
      </c>
      <c r="U673">
        <v>3</v>
      </c>
      <c r="V673">
        <v>3</v>
      </c>
      <c r="W673">
        <v>1</v>
      </c>
      <c r="X673">
        <v>0</v>
      </c>
      <c r="Y673">
        <v>1</v>
      </c>
      <c r="Z673">
        <v>0</v>
      </c>
      <c r="AA673">
        <v>0</v>
      </c>
      <c r="AB673" s="1" t="s">
        <v>48</v>
      </c>
      <c r="AC673" t="s">
        <v>46</v>
      </c>
      <c r="AD673" t="s">
        <v>47</v>
      </c>
      <c r="AE673" s="2">
        <v>2008</v>
      </c>
    </row>
    <row r="674" spans="1:31" x14ac:dyDescent="0.35">
      <c r="A674">
        <v>42</v>
      </c>
      <c r="B674" s="1" t="s">
        <v>39</v>
      </c>
      <c r="C674" s="1" t="s">
        <v>31</v>
      </c>
      <c r="D674">
        <v>14</v>
      </c>
      <c r="E674">
        <v>2</v>
      </c>
      <c r="F674" s="1" t="s">
        <v>49</v>
      </c>
      <c r="G674">
        <v>3</v>
      </c>
      <c r="H674" s="1" t="s">
        <v>33</v>
      </c>
      <c r="I674">
        <v>2</v>
      </c>
      <c r="J674">
        <v>2</v>
      </c>
      <c r="K674" s="1" t="s">
        <v>34</v>
      </c>
      <c r="L674">
        <v>3</v>
      </c>
      <c r="M674" s="1" t="s">
        <v>35</v>
      </c>
      <c r="N674">
        <v>6244</v>
      </c>
      <c r="O674">
        <v>7</v>
      </c>
      <c r="P674" s="1" t="s">
        <v>39</v>
      </c>
      <c r="Q674">
        <v>17</v>
      </c>
      <c r="R674">
        <v>1</v>
      </c>
      <c r="S674">
        <v>0</v>
      </c>
      <c r="T674">
        <v>10</v>
      </c>
      <c r="U674">
        <v>6</v>
      </c>
      <c r="V674">
        <v>3</v>
      </c>
      <c r="W674">
        <v>5</v>
      </c>
      <c r="X674">
        <v>4</v>
      </c>
      <c r="Y674">
        <v>0</v>
      </c>
      <c r="Z674">
        <v>3</v>
      </c>
      <c r="AA674">
        <v>0</v>
      </c>
      <c r="AB674" s="1" t="s">
        <v>36</v>
      </c>
      <c r="AC674" t="s">
        <v>37</v>
      </c>
      <c r="AD674" t="s">
        <v>53</v>
      </c>
      <c r="AE674" s="2">
        <v>1248.8</v>
      </c>
    </row>
    <row r="675" spans="1:31" x14ac:dyDescent="0.35">
      <c r="A675">
        <v>33</v>
      </c>
      <c r="B675" s="1" t="s">
        <v>39</v>
      </c>
      <c r="C675" s="1" t="s">
        <v>40</v>
      </c>
      <c r="D675">
        <v>1</v>
      </c>
      <c r="E675">
        <v>4</v>
      </c>
      <c r="F675" s="1" t="s">
        <v>44</v>
      </c>
      <c r="G675">
        <v>3</v>
      </c>
      <c r="H675" s="1" t="s">
        <v>41</v>
      </c>
      <c r="I675">
        <v>2</v>
      </c>
      <c r="J675">
        <v>1</v>
      </c>
      <c r="K675" s="1" t="s">
        <v>42</v>
      </c>
      <c r="L675">
        <v>1</v>
      </c>
      <c r="M675" s="1" t="s">
        <v>35</v>
      </c>
      <c r="N675">
        <v>2799</v>
      </c>
      <c r="O675">
        <v>3</v>
      </c>
      <c r="P675" s="1" t="s">
        <v>30</v>
      </c>
      <c r="Q675">
        <v>11</v>
      </c>
      <c r="R675">
        <v>2</v>
      </c>
      <c r="S675">
        <v>0</v>
      </c>
      <c r="T675">
        <v>6</v>
      </c>
      <c r="U675">
        <v>1</v>
      </c>
      <c r="V675">
        <v>3</v>
      </c>
      <c r="W675">
        <v>3</v>
      </c>
      <c r="X675">
        <v>2</v>
      </c>
      <c r="Y675">
        <v>0</v>
      </c>
      <c r="Z675">
        <v>2</v>
      </c>
      <c r="AA675">
        <v>0</v>
      </c>
      <c r="AB675" s="1" t="s">
        <v>48</v>
      </c>
      <c r="AC675" t="s">
        <v>46</v>
      </c>
      <c r="AD675" t="s">
        <v>53</v>
      </c>
      <c r="AE675" s="2">
        <v>933</v>
      </c>
    </row>
    <row r="676" spans="1:31" x14ac:dyDescent="0.35">
      <c r="A676">
        <v>58</v>
      </c>
      <c r="B676" s="1" t="s">
        <v>39</v>
      </c>
      <c r="C676" s="1" t="s">
        <v>40</v>
      </c>
      <c r="D676">
        <v>5</v>
      </c>
      <c r="E676">
        <v>3</v>
      </c>
      <c r="F676" s="1" t="s">
        <v>61</v>
      </c>
      <c r="G676">
        <v>3</v>
      </c>
      <c r="H676" s="1" t="s">
        <v>33</v>
      </c>
      <c r="I676">
        <v>2</v>
      </c>
      <c r="J676">
        <v>3</v>
      </c>
      <c r="K676" s="1" t="s">
        <v>52</v>
      </c>
      <c r="L676">
        <v>2</v>
      </c>
      <c r="M676" s="1" t="s">
        <v>50</v>
      </c>
      <c r="N676">
        <v>10552</v>
      </c>
      <c r="O676">
        <v>2</v>
      </c>
      <c r="P676" s="1" t="s">
        <v>30</v>
      </c>
      <c r="Q676">
        <v>13</v>
      </c>
      <c r="R676">
        <v>4</v>
      </c>
      <c r="S676">
        <v>1</v>
      </c>
      <c r="T676">
        <v>24</v>
      </c>
      <c r="U676">
        <v>3</v>
      </c>
      <c r="V676">
        <v>3</v>
      </c>
      <c r="W676">
        <v>6</v>
      </c>
      <c r="X676">
        <v>0</v>
      </c>
      <c r="Y676">
        <v>0</v>
      </c>
      <c r="Z676">
        <v>4</v>
      </c>
      <c r="AA676">
        <v>0</v>
      </c>
      <c r="AB676" s="1" t="s">
        <v>82</v>
      </c>
      <c r="AC676" t="s">
        <v>56</v>
      </c>
      <c r="AD676" t="s">
        <v>38</v>
      </c>
      <c r="AE676" s="2">
        <v>1758.6666666666667</v>
      </c>
    </row>
    <row r="677" spans="1:31" x14ac:dyDescent="0.35">
      <c r="A677">
        <v>31</v>
      </c>
      <c r="B677" s="1" t="s">
        <v>39</v>
      </c>
      <c r="C677" s="1" t="s">
        <v>31</v>
      </c>
      <c r="D677">
        <v>7</v>
      </c>
      <c r="E677">
        <v>4</v>
      </c>
      <c r="F677" s="1" t="s">
        <v>32</v>
      </c>
      <c r="G677">
        <v>2</v>
      </c>
      <c r="H677" s="1" t="s">
        <v>41</v>
      </c>
      <c r="I677">
        <v>2</v>
      </c>
      <c r="J677">
        <v>1</v>
      </c>
      <c r="K677" s="1" t="s">
        <v>58</v>
      </c>
      <c r="L677">
        <v>3</v>
      </c>
      <c r="M677" s="1" t="s">
        <v>43</v>
      </c>
      <c r="N677">
        <v>2329</v>
      </c>
      <c r="O677">
        <v>3</v>
      </c>
      <c r="P677" s="1" t="s">
        <v>39</v>
      </c>
      <c r="Q677">
        <v>15</v>
      </c>
      <c r="R677">
        <v>2</v>
      </c>
      <c r="S677">
        <v>0</v>
      </c>
      <c r="T677">
        <v>13</v>
      </c>
      <c r="U677">
        <v>2</v>
      </c>
      <c r="V677">
        <v>4</v>
      </c>
      <c r="W677">
        <v>7</v>
      </c>
      <c r="X677">
        <v>7</v>
      </c>
      <c r="Y677">
        <v>5</v>
      </c>
      <c r="Z677">
        <v>2</v>
      </c>
      <c r="AA677">
        <v>0</v>
      </c>
      <c r="AB677" s="1" t="s">
        <v>48</v>
      </c>
      <c r="AC677" t="s">
        <v>46</v>
      </c>
      <c r="AD677" t="s">
        <v>38</v>
      </c>
      <c r="AE677" s="2">
        <v>332.71428571428572</v>
      </c>
    </row>
    <row r="678" spans="1:31" x14ac:dyDescent="0.35">
      <c r="A678">
        <v>35</v>
      </c>
      <c r="B678" s="1" t="s">
        <v>39</v>
      </c>
      <c r="C678" s="1" t="s">
        <v>40</v>
      </c>
      <c r="D678">
        <v>21</v>
      </c>
      <c r="E678">
        <v>1</v>
      </c>
      <c r="F678" s="1" t="s">
        <v>32</v>
      </c>
      <c r="G678">
        <v>4</v>
      </c>
      <c r="H678" s="1" t="s">
        <v>33</v>
      </c>
      <c r="I678">
        <v>3</v>
      </c>
      <c r="J678">
        <v>2</v>
      </c>
      <c r="K678" s="1" t="s">
        <v>52</v>
      </c>
      <c r="L678">
        <v>4</v>
      </c>
      <c r="M678" s="1" t="s">
        <v>43</v>
      </c>
      <c r="N678">
        <v>4014</v>
      </c>
      <c r="O678">
        <v>1</v>
      </c>
      <c r="P678" s="1" t="s">
        <v>30</v>
      </c>
      <c r="Q678">
        <v>25</v>
      </c>
      <c r="R678">
        <v>4</v>
      </c>
      <c r="S678">
        <v>1</v>
      </c>
      <c r="T678">
        <v>10</v>
      </c>
      <c r="U678">
        <v>2</v>
      </c>
      <c r="V678">
        <v>1</v>
      </c>
      <c r="W678">
        <v>10</v>
      </c>
      <c r="X678">
        <v>6</v>
      </c>
      <c r="Y678">
        <v>0</v>
      </c>
      <c r="Z678">
        <v>7</v>
      </c>
      <c r="AA678">
        <v>0</v>
      </c>
      <c r="AB678" s="1" t="s">
        <v>48</v>
      </c>
      <c r="AC678" t="s">
        <v>37</v>
      </c>
      <c r="AD678" t="s">
        <v>38</v>
      </c>
      <c r="AE678" s="2">
        <v>401.4</v>
      </c>
    </row>
    <row r="679" spans="1:31" x14ac:dyDescent="0.35">
      <c r="A679">
        <v>49</v>
      </c>
      <c r="B679" s="1" t="s">
        <v>39</v>
      </c>
      <c r="C679" s="1" t="s">
        <v>40</v>
      </c>
      <c r="D679">
        <v>8</v>
      </c>
      <c r="E679">
        <v>2</v>
      </c>
      <c r="F679" s="1" t="s">
        <v>44</v>
      </c>
      <c r="G679">
        <v>1</v>
      </c>
      <c r="H679" s="1" t="s">
        <v>33</v>
      </c>
      <c r="I679">
        <v>3</v>
      </c>
      <c r="J679">
        <v>3</v>
      </c>
      <c r="K679" s="1" t="s">
        <v>45</v>
      </c>
      <c r="L679">
        <v>2</v>
      </c>
      <c r="M679" s="1" t="s">
        <v>43</v>
      </c>
      <c r="N679">
        <v>7403</v>
      </c>
      <c r="O679">
        <v>4</v>
      </c>
      <c r="P679" s="1" t="s">
        <v>39</v>
      </c>
      <c r="Q679">
        <v>11</v>
      </c>
      <c r="R679">
        <v>3</v>
      </c>
      <c r="S679">
        <v>1</v>
      </c>
      <c r="T679">
        <v>29</v>
      </c>
      <c r="U679">
        <v>3</v>
      </c>
      <c r="V679">
        <v>2</v>
      </c>
      <c r="W679">
        <v>26</v>
      </c>
      <c r="X679">
        <v>9</v>
      </c>
      <c r="Y679">
        <v>1</v>
      </c>
      <c r="Z679">
        <v>7</v>
      </c>
      <c r="AA679">
        <v>0</v>
      </c>
      <c r="AB679" s="1" t="s">
        <v>82</v>
      </c>
      <c r="AC679" t="s">
        <v>37</v>
      </c>
      <c r="AD679" t="s">
        <v>57</v>
      </c>
      <c r="AE679" s="2">
        <v>284.73076923076923</v>
      </c>
    </row>
    <row r="680" spans="1:31" x14ac:dyDescent="0.35">
      <c r="A680">
        <v>48</v>
      </c>
      <c r="B680" s="1" t="s">
        <v>39</v>
      </c>
      <c r="C680" s="1" t="s">
        <v>40</v>
      </c>
      <c r="D680">
        <v>20</v>
      </c>
      <c r="E680">
        <v>4</v>
      </c>
      <c r="F680" s="1" t="s">
        <v>49</v>
      </c>
      <c r="G680">
        <v>4</v>
      </c>
      <c r="H680" s="1" t="s">
        <v>41</v>
      </c>
      <c r="I680">
        <v>3</v>
      </c>
      <c r="J680">
        <v>1</v>
      </c>
      <c r="K680" s="1" t="s">
        <v>42</v>
      </c>
      <c r="L680">
        <v>3</v>
      </c>
      <c r="M680" s="1" t="s">
        <v>43</v>
      </c>
      <c r="N680">
        <v>2259</v>
      </c>
      <c r="O680">
        <v>4</v>
      </c>
      <c r="P680" s="1" t="s">
        <v>39</v>
      </c>
      <c r="Q680">
        <v>17</v>
      </c>
      <c r="R680">
        <v>1</v>
      </c>
      <c r="S680">
        <v>2</v>
      </c>
      <c r="T680">
        <v>13</v>
      </c>
      <c r="U680">
        <v>2</v>
      </c>
      <c r="V680">
        <v>2</v>
      </c>
      <c r="W680">
        <v>0</v>
      </c>
      <c r="X680">
        <v>0</v>
      </c>
      <c r="Y680">
        <v>0</v>
      </c>
      <c r="Z680">
        <v>0</v>
      </c>
      <c r="AA680">
        <v>0</v>
      </c>
      <c r="AB680" s="1" t="s">
        <v>82</v>
      </c>
      <c r="AC680" t="s">
        <v>46</v>
      </c>
      <c r="AD680" t="s">
        <v>47</v>
      </c>
      <c r="AE680" s="2">
        <v>2259</v>
      </c>
    </row>
    <row r="681" spans="1:31" x14ac:dyDescent="0.35">
      <c r="A681">
        <v>31</v>
      </c>
      <c r="B681" s="1" t="s">
        <v>39</v>
      </c>
      <c r="C681" s="1" t="s">
        <v>31</v>
      </c>
      <c r="D681">
        <v>20</v>
      </c>
      <c r="E681">
        <v>2</v>
      </c>
      <c r="F681" s="1" t="s">
        <v>60</v>
      </c>
      <c r="G681">
        <v>4</v>
      </c>
      <c r="H681" s="1" t="s">
        <v>33</v>
      </c>
      <c r="I681">
        <v>3</v>
      </c>
      <c r="J681">
        <v>2</v>
      </c>
      <c r="K681" s="1" t="s">
        <v>34</v>
      </c>
      <c r="L681">
        <v>3</v>
      </c>
      <c r="M681" s="1" t="s">
        <v>43</v>
      </c>
      <c r="N681">
        <v>6932</v>
      </c>
      <c r="O681">
        <v>1</v>
      </c>
      <c r="P681" s="1" t="s">
        <v>39</v>
      </c>
      <c r="Q681">
        <v>13</v>
      </c>
      <c r="R681">
        <v>4</v>
      </c>
      <c r="S681">
        <v>1</v>
      </c>
      <c r="T681">
        <v>9</v>
      </c>
      <c r="U681">
        <v>2</v>
      </c>
      <c r="V681">
        <v>2</v>
      </c>
      <c r="W681">
        <v>9</v>
      </c>
      <c r="X681">
        <v>8</v>
      </c>
      <c r="Y681">
        <v>0</v>
      </c>
      <c r="Z681">
        <v>0</v>
      </c>
      <c r="AA681">
        <v>0</v>
      </c>
      <c r="AB681" s="1" t="s">
        <v>48</v>
      </c>
      <c r="AC681" t="s">
        <v>37</v>
      </c>
      <c r="AD681" t="s">
        <v>38</v>
      </c>
      <c r="AE681" s="2">
        <v>770.22222222222217</v>
      </c>
    </row>
    <row r="682" spans="1:31" x14ac:dyDescent="0.35">
      <c r="A682">
        <v>36</v>
      </c>
      <c r="B682" s="1" t="s">
        <v>39</v>
      </c>
      <c r="C682" s="1" t="s">
        <v>40</v>
      </c>
      <c r="D682">
        <v>7</v>
      </c>
      <c r="E682">
        <v>4</v>
      </c>
      <c r="F682" s="1" t="s">
        <v>44</v>
      </c>
      <c r="G682">
        <v>2</v>
      </c>
      <c r="H682" s="1" t="s">
        <v>41</v>
      </c>
      <c r="I682">
        <v>3</v>
      </c>
      <c r="J682">
        <v>1</v>
      </c>
      <c r="K682" s="1" t="s">
        <v>42</v>
      </c>
      <c r="L682">
        <v>4</v>
      </c>
      <c r="M682" s="1" t="s">
        <v>35</v>
      </c>
      <c r="N682">
        <v>4678</v>
      </c>
      <c r="O682">
        <v>2</v>
      </c>
      <c r="P682" s="1" t="s">
        <v>39</v>
      </c>
      <c r="Q682">
        <v>18</v>
      </c>
      <c r="R682">
        <v>3</v>
      </c>
      <c r="S682">
        <v>0</v>
      </c>
      <c r="T682">
        <v>8</v>
      </c>
      <c r="U682">
        <v>6</v>
      </c>
      <c r="V682">
        <v>3</v>
      </c>
      <c r="W682">
        <v>6</v>
      </c>
      <c r="X682">
        <v>2</v>
      </c>
      <c r="Y682">
        <v>0</v>
      </c>
      <c r="Z682">
        <v>1</v>
      </c>
      <c r="AA682">
        <v>0</v>
      </c>
      <c r="AB682" s="1" t="s">
        <v>36</v>
      </c>
      <c r="AC682" t="s">
        <v>37</v>
      </c>
      <c r="AD682" t="s">
        <v>38</v>
      </c>
      <c r="AE682" s="2">
        <v>779.66666666666663</v>
      </c>
    </row>
    <row r="683" spans="1:31" x14ac:dyDescent="0.35">
      <c r="A683">
        <v>38</v>
      </c>
      <c r="B683" s="1" t="s">
        <v>39</v>
      </c>
      <c r="C683" s="1" t="s">
        <v>40</v>
      </c>
      <c r="D683">
        <v>1</v>
      </c>
      <c r="E683">
        <v>3</v>
      </c>
      <c r="F683" s="1" t="s">
        <v>61</v>
      </c>
      <c r="G683">
        <v>4</v>
      </c>
      <c r="H683" s="1" t="s">
        <v>33</v>
      </c>
      <c r="I683">
        <v>3</v>
      </c>
      <c r="J683">
        <v>3</v>
      </c>
      <c r="K683" s="1" t="s">
        <v>59</v>
      </c>
      <c r="L683">
        <v>1</v>
      </c>
      <c r="M683" s="1" t="s">
        <v>43</v>
      </c>
      <c r="N683">
        <v>13582</v>
      </c>
      <c r="O683">
        <v>1</v>
      </c>
      <c r="P683" s="1" t="s">
        <v>39</v>
      </c>
      <c r="Q683">
        <v>13</v>
      </c>
      <c r="R683">
        <v>2</v>
      </c>
      <c r="S683">
        <v>1</v>
      </c>
      <c r="T683">
        <v>15</v>
      </c>
      <c r="U683">
        <v>3</v>
      </c>
      <c r="V683">
        <v>3</v>
      </c>
      <c r="W683">
        <v>15</v>
      </c>
      <c r="X683">
        <v>12</v>
      </c>
      <c r="Y683">
        <v>5</v>
      </c>
      <c r="Z683">
        <v>11</v>
      </c>
      <c r="AA683">
        <v>0</v>
      </c>
      <c r="AB683" s="1" t="s">
        <v>36</v>
      </c>
      <c r="AC683" t="s">
        <v>56</v>
      </c>
      <c r="AD683" t="s">
        <v>57</v>
      </c>
      <c r="AE683" s="2">
        <v>905.4666666666667</v>
      </c>
    </row>
    <row r="684" spans="1:31" x14ac:dyDescent="0.35">
      <c r="A684">
        <v>32</v>
      </c>
      <c r="B684" s="1" t="s">
        <v>39</v>
      </c>
      <c r="C684" s="1" t="s">
        <v>40</v>
      </c>
      <c r="D684">
        <v>1</v>
      </c>
      <c r="E684">
        <v>3</v>
      </c>
      <c r="F684" s="1" t="s">
        <v>32</v>
      </c>
      <c r="G684">
        <v>3</v>
      </c>
      <c r="H684" s="1" t="s">
        <v>33</v>
      </c>
      <c r="I684">
        <v>2</v>
      </c>
      <c r="J684">
        <v>1</v>
      </c>
      <c r="K684" s="1" t="s">
        <v>45</v>
      </c>
      <c r="L684">
        <v>2</v>
      </c>
      <c r="M684" s="1" t="s">
        <v>43</v>
      </c>
      <c r="N684">
        <v>2332</v>
      </c>
      <c r="O684">
        <v>6</v>
      </c>
      <c r="P684" s="1" t="s">
        <v>39</v>
      </c>
      <c r="Q684">
        <v>20</v>
      </c>
      <c r="R684">
        <v>3</v>
      </c>
      <c r="S684">
        <v>0</v>
      </c>
      <c r="T684">
        <v>5</v>
      </c>
      <c r="U684">
        <v>3</v>
      </c>
      <c r="V684">
        <v>3</v>
      </c>
      <c r="W684">
        <v>3</v>
      </c>
      <c r="X684">
        <v>0</v>
      </c>
      <c r="Y684">
        <v>0</v>
      </c>
      <c r="Z684">
        <v>2</v>
      </c>
      <c r="AA684">
        <v>0</v>
      </c>
      <c r="AB684" s="1" t="s">
        <v>48</v>
      </c>
      <c r="AC684" t="s">
        <v>46</v>
      </c>
      <c r="AD684" t="s">
        <v>53</v>
      </c>
      <c r="AE684" s="2">
        <v>777.33333333333337</v>
      </c>
    </row>
    <row r="685" spans="1:31" x14ac:dyDescent="0.35">
      <c r="A685">
        <v>25</v>
      </c>
      <c r="B685" s="1" t="s">
        <v>30</v>
      </c>
      <c r="C685" s="1" t="s">
        <v>31</v>
      </c>
      <c r="D685">
        <v>19</v>
      </c>
      <c r="E685">
        <v>2</v>
      </c>
      <c r="F685" s="1" t="s">
        <v>60</v>
      </c>
      <c r="G685">
        <v>3</v>
      </c>
      <c r="H685" s="1" t="s">
        <v>41</v>
      </c>
      <c r="I685">
        <v>2</v>
      </c>
      <c r="J685">
        <v>1</v>
      </c>
      <c r="K685" s="1" t="s">
        <v>58</v>
      </c>
      <c r="L685">
        <v>2</v>
      </c>
      <c r="M685" s="1" t="s">
        <v>43</v>
      </c>
      <c r="N685">
        <v>2413</v>
      </c>
      <c r="O685">
        <v>1</v>
      </c>
      <c r="P685" s="1" t="s">
        <v>30</v>
      </c>
      <c r="Q685">
        <v>18</v>
      </c>
      <c r="R685">
        <v>3</v>
      </c>
      <c r="S685">
        <v>3</v>
      </c>
      <c r="T685">
        <v>1</v>
      </c>
      <c r="U685">
        <v>2</v>
      </c>
      <c r="V685">
        <v>3</v>
      </c>
      <c r="W685">
        <v>1</v>
      </c>
      <c r="X685">
        <v>0</v>
      </c>
      <c r="Y685">
        <v>0</v>
      </c>
      <c r="Z685">
        <v>0</v>
      </c>
      <c r="AA685">
        <v>1</v>
      </c>
      <c r="AB685" s="1" t="s">
        <v>54</v>
      </c>
      <c r="AC685" t="s">
        <v>46</v>
      </c>
      <c r="AD685" t="s">
        <v>47</v>
      </c>
      <c r="AE685" s="2">
        <v>2413</v>
      </c>
    </row>
    <row r="686" spans="1:31" x14ac:dyDescent="0.35">
      <c r="A686">
        <v>40</v>
      </c>
      <c r="B686" s="1" t="s">
        <v>39</v>
      </c>
      <c r="C686" s="1" t="s">
        <v>31</v>
      </c>
      <c r="D686">
        <v>10</v>
      </c>
      <c r="E686">
        <v>4</v>
      </c>
      <c r="F686" s="1" t="s">
        <v>60</v>
      </c>
      <c r="G686">
        <v>1</v>
      </c>
      <c r="H686" s="1" t="s">
        <v>41</v>
      </c>
      <c r="I686">
        <v>2</v>
      </c>
      <c r="J686">
        <v>3</v>
      </c>
      <c r="K686" s="1" t="s">
        <v>34</v>
      </c>
      <c r="L686">
        <v>2</v>
      </c>
      <c r="M686" s="1" t="s">
        <v>50</v>
      </c>
      <c r="N686">
        <v>9705</v>
      </c>
      <c r="O686">
        <v>2</v>
      </c>
      <c r="P686" s="1" t="s">
        <v>39</v>
      </c>
      <c r="Q686">
        <v>12</v>
      </c>
      <c r="R686">
        <v>2</v>
      </c>
      <c r="S686">
        <v>1</v>
      </c>
      <c r="T686">
        <v>11</v>
      </c>
      <c r="U686">
        <v>2</v>
      </c>
      <c r="V686">
        <v>2</v>
      </c>
      <c r="W686">
        <v>1</v>
      </c>
      <c r="X686">
        <v>0</v>
      </c>
      <c r="Y686">
        <v>0</v>
      </c>
      <c r="Z686">
        <v>0</v>
      </c>
      <c r="AA686">
        <v>0</v>
      </c>
      <c r="AB686" s="1" t="s">
        <v>36</v>
      </c>
      <c r="AC686" t="s">
        <v>37</v>
      </c>
      <c r="AD686" t="s">
        <v>47</v>
      </c>
      <c r="AE686" s="2">
        <v>9705</v>
      </c>
    </row>
    <row r="687" spans="1:31" x14ac:dyDescent="0.35">
      <c r="A687">
        <v>26</v>
      </c>
      <c r="B687" s="1" t="s">
        <v>39</v>
      </c>
      <c r="C687" s="1" t="s">
        <v>31</v>
      </c>
      <c r="D687">
        <v>1</v>
      </c>
      <c r="E687">
        <v>3</v>
      </c>
      <c r="F687" s="1" t="s">
        <v>49</v>
      </c>
      <c r="G687">
        <v>3</v>
      </c>
      <c r="H687" s="1" t="s">
        <v>41</v>
      </c>
      <c r="I687">
        <v>2</v>
      </c>
      <c r="J687">
        <v>2</v>
      </c>
      <c r="K687" s="1" t="s">
        <v>34</v>
      </c>
      <c r="L687">
        <v>1</v>
      </c>
      <c r="M687" s="1" t="s">
        <v>35</v>
      </c>
      <c r="N687">
        <v>4294</v>
      </c>
      <c r="O687">
        <v>1</v>
      </c>
      <c r="P687" s="1" t="s">
        <v>39</v>
      </c>
      <c r="Q687">
        <v>12</v>
      </c>
      <c r="R687">
        <v>2</v>
      </c>
      <c r="S687">
        <v>0</v>
      </c>
      <c r="T687">
        <v>7</v>
      </c>
      <c r="U687">
        <v>2</v>
      </c>
      <c r="V687">
        <v>3</v>
      </c>
      <c r="W687">
        <v>7</v>
      </c>
      <c r="X687">
        <v>7</v>
      </c>
      <c r="Y687">
        <v>0</v>
      </c>
      <c r="Z687">
        <v>7</v>
      </c>
      <c r="AA687">
        <v>0</v>
      </c>
      <c r="AB687" s="1" t="s">
        <v>48</v>
      </c>
      <c r="AC687" t="s">
        <v>37</v>
      </c>
      <c r="AD687" t="s">
        <v>38</v>
      </c>
      <c r="AE687" s="2">
        <v>613.42857142857144</v>
      </c>
    </row>
    <row r="688" spans="1:31" x14ac:dyDescent="0.35">
      <c r="A688">
        <v>41</v>
      </c>
      <c r="B688" s="1" t="s">
        <v>39</v>
      </c>
      <c r="C688" s="1" t="s">
        <v>40</v>
      </c>
      <c r="D688">
        <v>6</v>
      </c>
      <c r="E688">
        <v>3</v>
      </c>
      <c r="F688" s="1" t="s">
        <v>49</v>
      </c>
      <c r="G688">
        <v>4</v>
      </c>
      <c r="H688" s="1" t="s">
        <v>41</v>
      </c>
      <c r="I688">
        <v>3</v>
      </c>
      <c r="J688">
        <v>1</v>
      </c>
      <c r="K688" s="1" t="s">
        <v>45</v>
      </c>
      <c r="L688">
        <v>1</v>
      </c>
      <c r="M688" s="1" t="s">
        <v>35</v>
      </c>
      <c r="N688">
        <v>4721</v>
      </c>
      <c r="O688">
        <v>2</v>
      </c>
      <c r="P688" s="1" t="s">
        <v>30</v>
      </c>
      <c r="Q688">
        <v>13</v>
      </c>
      <c r="R688">
        <v>3</v>
      </c>
      <c r="S688">
        <v>0</v>
      </c>
      <c r="T688">
        <v>20</v>
      </c>
      <c r="U688">
        <v>3</v>
      </c>
      <c r="V688">
        <v>3</v>
      </c>
      <c r="W688">
        <v>18</v>
      </c>
      <c r="X688">
        <v>13</v>
      </c>
      <c r="Y688">
        <v>2</v>
      </c>
      <c r="Z688">
        <v>17</v>
      </c>
      <c r="AA688">
        <v>0</v>
      </c>
      <c r="AB688" s="1" t="s">
        <v>36</v>
      </c>
      <c r="AC688" t="s">
        <v>37</v>
      </c>
      <c r="AD688" t="s">
        <v>57</v>
      </c>
      <c r="AE688" s="2">
        <v>262.27777777777777</v>
      </c>
    </row>
    <row r="689" spans="1:31" x14ac:dyDescent="0.35">
      <c r="A689">
        <v>36</v>
      </c>
      <c r="B689" s="1" t="s">
        <v>39</v>
      </c>
      <c r="C689" s="1" t="s">
        <v>40</v>
      </c>
      <c r="D689">
        <v>2</v>
      </c>
      <c r="E689">
        <v>4</v>
      </c>
      <c r="F689" s="1" t="s">
        <v>49</v>
      </c>
      <c r="G689">
        <v>3</v>
      </c>
      <c r="H689" s="1" t="s">
        <v>41</v>
      </c>
      <c r="I689">
        <v>3</v>
      </c>
      <c r="J689">
        <v>1</v>
      </c>
      <c r="K689" s="1" t="s">
        <v>45</v>
      </c>
      <c r="L689">
        <v>3</v>
      </c>
      <c r="M689" s="1" t="s">
        <v>35</v>
      </c>
      <c r="N689">
        <v>2519</v>
      </c>
      <c r="O689">
        <v>4</v>
      </c>
      <c r="P689" s="1" t="s">
        <v>39</v>
      </c>
      <c r="Q689">
        <v>21</v>
      </c>
      <c r="R689">
        <v>3</v>
      </c>
      <c r="S689">
        <v>0</v>
      </c>
      <c r="T689">
        <v>16</v>
      </c>
      <c r="U689">
        <v>6</v>
      </c>
      <c r="V689">
        <v>3</v>
      </c>
      <c r="W689">
        <v>11</v>
      </c>
      <c r="X689">
        <v>8</v>
      </c>
      <c r="Y689">
        <v>3</v>
      </c>
      <c r="Z689">
        <v>9</v>
      </c>
      <c r="AA689">
        <v>0</v>
      </c>
      <c r="AB689" s="1" t="s">
        <v>36</v>
      </c>
      <c r="AC689" t="s">
        <v>46</v>
      </c>
      <c r="AD689" t="s">
        <v>57</v>
      </c>
      <c r="AE689" s="2">
        <v>229</v>
      </c>
    </row>
    <row r="690" spans="1:31" x14ac:dyDescent="0.35">
      <c r="A690">
        <v>19</v>
      </c>
      <c r="B690" s="1" t="s">
        <v>30</v>
      </c>
      <c r="C690" s="1" t="s">
        <v>31</v>
      </c>
      <c r="D690">
        <v>21</v>
      </c>
      <c r="E690">
        <v>3</v>
      </c>
      <c r="F690" s="1" t="s">
        <v>44</v>
      </c>
      <c r="G690">
        <v>4</v>
      </c>
      <c r="H690" s="1" t="s">
        <v>41</v>
      </c>
      <c r="I690">
        <v>2</v>
      </c>
      <c r="J690">
        <v>1</v>
      </c>
      <c r="K690" s="1" t="s">
        <v>58</v>
      </c>
      <c r="L690">
        <v>2</v>
      </c>
      <c r="M690" s="1" t="s">
        <v>35</v>
      </c>
      <c r="N690">
        <v>2121</v>
      </c>
      <c r="O690">
        <v>1</v>
      </c>
      <c r="P690" s="1" t="s">
        <v>30</v>
      </c>
      <c r="Q690">
        <v>13</v>
      </c>
      <c r="R690">
        <v>2</v>
      </c>
      <c r="S690">
        <v>0</v>
      </c>
      <c r="T690">
        <v>1</v>
      </c>
      <c r="U690">
        <v>3</v>
      </c>
      <c r="V690">
        <v>4</v>
      </c>
      <c r="W690">
        <v>1</v>
      </c>
      <c r="X690">
        <v>0</v>
      </c>
      <c r="Y690">
        <v>0</v>
      </c>
      <c r="Z690">
        <v>0</v>
      </c>
      <c r="AA690">
        <v>1</v>
      </c>
      <c r="AB690" s="1" t="s">
        <v>54</v>
      </c>
      <c r="AC690" t="s">
        <v>46</v>
      </c>
      <c r="AD690" t="s">
        <v>47</v>
      </c>
      <c r="AE690" s="2">
        <v>2121</v>
      </c>
    </row>
    <row r="691" spans="1:31" x14ac:dyDescent="0.35">
      <c r="A691">
        <v>20</v>
      </c>
      <c r="B691" s="1" t="s">
        <v>30</v>
      </c>
      <c r="C691" s="1" t="s">
        <v>40</v>
      </c>
      <c r="D691">
        <v>4</v>
      </c>
      <c r="E691">
        <v>3</v>
      </c>
      <c r="F691" s="1" t="s">
        <v>61</v>
      </c>
      <c r="G691">
        <v>1</v>
      </c>
      <c r="H691" s="1" t="s">
        <v>41</v>
      </c>
      <c r="I691">
        <v>3</v>
      </c>
      <c r="J691">
        <v>1</v>
      </c>
      <c r="K691" s="1" t="s">
        <v>45</v>
      </c>
      <c r="L691">
        <v>1</v>
      </c>
      <c r="M691" s="1" t="s">
        <v>35</v>
      </c>
      <c r="N691">
        <v>2973</v>
      </c>
      <c r="O691">
        <v>1</v>
      </c>
      <c r="P691" s="1" t="s">
        <v>39</v>
      </c>
      <c r="Q691">
        <v>19</v>
      </c>
      <c r="R691">
        <v>2</v>
      </c>
      <c r="S691">
        <v>0</v>
      </c>
      <c r="T691">
        <v>1</v>
      </c>
      <c r="U691">
        <v>2</v>
      </c>
      <c r="V691">
        <v>3</v>
      </c>
      <c r="W691">
        <v>1</v>
      </c>
      <c r="X691">
        <v>0</v>
      </c>
      <c r="Y691">
        <v>0</v>
      </c>
      <c r="Z691">
        <v>0</v>
      </c>
      <c r="AA691">
        <v>1</v>
      </c>
      <c r="AB691" s="1" t="s">
        <v>54</v>
      </c>
      <c r="AC691" t="s">
        <v>46</v>
      </c>
      <c r="AD691" t="s">
        <v>47</v>
      </c>
      <c r="AE691" s="2">
        <v>2973</v>
      </c>
    </row>
    <row r="692" spans="1:31" x14ac:dyDescent="0.35">
      <c r="A692">
        <v>31</v>
      </c>
      <c r="B692" s="1" t="s">
        <v>39</v>
      </c>
      <c r="C692" s="1" t="s">
        <v>40</v>
      </c>
      <c r="D692">
        <v>12</v>
      </c>
      <c r="E692">
        <v>3</v>
      </c>
      <c r="F692" s="1" t="s">
        <v>49</v>
      </c>
      <c r="G692">
        <v>4</v>
      </c>
      <c r="H692" s="1" t="s">
        <v>33</v>
      </c>
      <c r="I692">
        <v>3</v>
      </c>
      <c r="J692">
        <v>2</v>
      </c>
      <c r="K692" s="1" t="s">
        <v>52</v>
      </c>
      <c r="L692">
        <v>4</v>
      </c>
      <c r="M692" s="1" t="s">
        <v>43</v>
      </c>
      <c r="N692">
        <v>5855</v>
      </c>
      <c r="O692">
        <v>0</v>
      </c>
      <c r="P692" s="1" t="s">
        <v>30</v>
      </c>
      <c r="Q692">
        <v>11</v>
      </c>
      <c r="R692">
        <v>3</v>
      </c>
      <c r="S692">
        <v>2</v>
      </c>
      <c r="T692">
        <v>10</v>
      </c>
      <c r="U692">
        <v>2</v>
      </c>
      <c r="V692">
        <v>1</v>
      </c>
      <c r="W692">
        <v>9</v>
      </c>
      <c r="X692">
        <v>7</v>
      </c>
      <c r="Y692">
        <v>8</v>
      </c>
      <c r="Z692">
        <v>5</v>
      </c>
      <c r="AA692">
        <v>0</v>
      </c>
      <c r="AB692" s="1" t="s">
        <v>48</v>
      </c>
      <c r="AC692" t="s">
        <v>37</v>
      </c>
      <c r="AD692" t="s">
        <v>38</v>
      </c>
      <c r="AE692" s="2">
        <v>650.55555555555554</v>
      </c>
    </row>
    <row r="693" spans="1:31" x14ac:dyDescent="0.35">
      <c r="A693">
        <v>40</v>
      </c>
      <c r="B693" s="1" t="s">
        <v>39</v>
      </c>
      <c r="C693" s="1" t="s">
        <v>40</v>
      </c>
      <c r="D693">
        <v>9</v>
      </c>
      <c r="E693">
        <v>4</v>
      </c>
      <c r="F693" s="1" t="s">
        <v>49</v>
      </c>
      <c r="G693">
        <v>4</v>
      </c>
      <c r="H693" s="1" t="s">
        <v>41</v>
      </c>
      <c r="I693">
        <v>3</v>
      </c>
      <c r="J693">
        <v>1</v>
      </c>
      <c r="K693" s="1" t="s">
        <v>42</v>
      </c>
      <c r="L693">
        <v>2</v>
      </c>
      <c r="M693" s="1" t="s">
        <v>50</v>
      </c>
      <c r="N693">
        <v>3617</v>
      </c>
      <c r="O693">
        <v>8</v>
      </c>
      <c r="P693" s="1" t="s">
        <v>30</v>
      </c>
      <c r="Q693">
        <v>14</v>
      </c>
      <c r="R693">
        <v>4</v>
      </c>
      <c r="S693">
        <v>1</v>
      </c>
      <c r="T693">
        <v>3</v>
      </c>
      <c r="U693">
        <v>2</v>
      </c>
      <c r="V693">
        <v>3</v>
      </c>
      <c r="W693">
        <v>1</v>
      </c>
      <c r="X693">
        <v>1</v>
      </c>
      <c r="Y693">
        <v>0</v>
      </c>
      <c r="Z693">
        <v>0</v>
      </c>
      <c r="AA693">
        <v>0</v>
      </c>
      <c r="AB693" s="1" t="s">
        <v>36</v>
      </c>
      <c r="AC693" t="s">
        <v>46</v>
      </c>
      <c r="AD693" t="s">
        <v>47</v>
      </c>
      <c r="AE693" s="2">
        <v>3617</v>
      </c>
    </row>
    <row r="694" spans="1:31" x14ac:dyDescent="0.35">
      <c r="A694">
        <v>32</v>
      </c>
      <c r="B694" s="1" t="s">
        <v>39</v>
      </c>
      <c r="C694" s="1" t="s">
        <v>40</v>
      </c>
      <c r="D694">
        <v>3</v>
      </c>
      <c r="E694">
        <v>4</v>
      </c>
      <c r="F694" s="1" t="s">
        <v>49</v>
      </c>
      <c r="G694">
        <v>3</v>
      </c>
      <c r="H694" s="1" t="s">
        <v>33</v>
      </c>
      <c r="I694">
        <v>3</v>
      </c>
      <c r="J694">
        <v>2</v>
      </c>
      <c r="K694" s="1" t="s">
        <v>51</v>
      </c>
      <c r="L694">
        <v>1</v>
      </c>
      <c r="M694" s="1" t="s">
        <v>43</v>
      </c>
      <c r="N694">
        <v>6725</v>
      </c>
      <c r="O694">
        <v>1</v>
      </c>
      <c r="P694" s="1" t="s">
        <v>39</v>
      </c>
      <c r="Q694">
        <v>12</v>
      </c>
      <c r="R694">
        <v>3</v>
      </c>
      <c r="S694">
        <v>1</v>
      </c>
      <c r="T694">
        <v>8</v>
      </c>
      <c r="U694">
        <v>2</v>
      </c>
      <c r="V694">
        <v>4</v>
      </c>
      <c r="W694">
        <v>8</v>
      </c>
      <c r="X694">
        <v>7</v>
      </c>
      <c r="Y694">
        <v>6</v>
      </c>
      <c r="Z694">
        <v>3</v>
      </c>
      <c r="AA694">
        <v>0</v>
      </c>
      <c r="AB694" s="1" t="s">
        <v>48</v>
      </c>
      <c r="AC694" t="s">
        <v>37</v>
      </c>
      <c r="AD694" t="s">
        <v>38</v>
      </c>
      <c r="AE694" s="2">
        <v>840.625</v>
      </c>
    </row>
    <row r="695" spans="1:31" x14ac:dyDescent="0.35">
      <c r="A695">
        <v>36</v>
      </c>
      <c r="B695" s="1" t="s">
        <v>30</v>
      </c>
      <c r="C695" s="1" t="s">
        <v>31</v>
      </c>
      <c r="D695">
        <v>3</v>
      </c>
      <c r="E695">
        <v>1</v>
      </c>
      <c r="F695" s="1" t="s">
        <v>32</v>
      </c>
      <c r="G695">
        <v>3</v>
      </c>
      <c r="H695" s="1" t="s">
        <v>41</v>
      </c>
      <c r="I695">
        <v>2</v>
      </c>
      <c r="J695">
        <v>3</v>
      </c>
      <c r="K695" s="1" t="s">
        <v>34</v>
      </c>
      <c r="L695">
        <v>4</v>
      </c>
      <c r="M695" s="1" t="s">
        <v>43</v>
      </c>
      <c r="N695">
        <v>10325</v>
      </c>
      <c r="O695">
        <v>1</v>
      </c>
      <c r="P695" s="1" t="s">
        <v>30</v>
      </c>
      <c r="Q695">
        <v>11</v>
      </c>
      <c r="R695">
        <v>1</v>
      </c>
      <c r="S695">
        <v>1</v>
      </c>
      <c r="T695">
        <v>16</v>
      </c>
      <c r="U695">
        <v>6</v>
      </c>
      <c r="V695">
        <v>3</v>
      </c>
      <c r="W695">
        <v>16</v>
      </c>
      <c r="X695">
        <v>7</v>
      </c>
      <c r="Y695">
        <v>3</v>
      </c>
      <c r="Z695">
        <v>7</v>
      </c>
      <c r="AA695">
        <v>1</v>
      </c>
      <c r="AB695" s="1" t="s">
        <v>36</v>
      </c>
      <c r="AC695" t="s">
        <v>56</v>
      </c>
      <c r="AD695" t="s">
        <v>57</v>
      </c>
      <c r="AE695" s="2">
        <v>645.3125</v>
      </c>
    </row>
    <row r="696" spans="1:31" x14ac:dyDescent="0.35">
      <c r="A696">
        <v>33</v>
      </c>
      <c r="B696" s="1" t="s">
        <v>39</v>
      </c>
      <c r="C696" s="1" t="s">
        <v>40</v>
      </c>
      <c r="D696">
        <v>1</v>
      </c>
      <c r="E696">
        <v>3</v>
      </c>
      <c r="F696" s="1" t="s">
        <v>32</v>
      </c>
      <c r="G696">
        <v>2</v>
      </c>
      <c r="H696" s="1" t="s">
        <v>33</v>
      </c>
      <c r="I696">
        <v>2</v>
      </c>
      <c r="J696">
        <v>2</v>
      </c>
      <c r="K696" s="1" t="s">
        <v>52</v>
      </c>
      <c r="L696">
        <v>4</v>
      </c>
      <c r="M696" s="1" t="s">
        <v>35</v>
      </c>
      <c r="N696">
        <v>6949</v>
      </c>
      <c r="O696">
        <v>0</v>
      </c>
      <c r="P696" s="1" t="s">
        <v>39</v>
      </c>
      <c r="Q696">
        <v>14</v>
      </c>
      <c r="R696">
        <v>1</v>
      </c>
      <c r="S696">
        <v>0</v>
      </c>
      <c r="T696">
        <v>6</v>
      </c>
      <c r="U696">
        <v>3</v>
      </c>
      <c r="V696">
        <v>3</v>
      </c>
      <c r="W696">
        <v>5</v>
      </c>
      <c r="X696">
        <v>0</v>
      </c>
      <c r="Y696">
        <v>1</v>
      </c>
      <c r="Z696">
        <v>4</v>
      </c>
      <c r="AA696">
        <v>0</v>
      </c>
      <c r="AB696" s="1" t="s">
        <v>48</v>
      </c>
      <c r="AC696" t="s">
        <v>37</v>
      </c>
      <c r="AD696" t="s">
        <v>53</v>
      </c>
      <c r="AE696" s="2">
        <v>1389.8</v>
      </c>
    </row>
    <row r="697" spans="1:31" x14ac:dyDescent="0.35">
      <c r="A697">
        <v>37</v>
      </c>
      <c r="B697" s="1" t="s">
        <v>30</v>
      </c>
      <c r="C697" s="1" t="s">
        <v>31</v>
      </c>
      <c r="D697">
        <v>1</v>
      </c>
      <c r="E697">
        <v>4</v>
      </c>
      <c r="F697" s="1" t="s">
        <v>32</v>
      </c>
      <c r="G697">
        <v>1</v>
      </c>
      <c r="H697" s="1" t="s">
        <v>41</v>
      </c>
      <c r="I697">
        <v>2</v>
      </c>
      <c r="J697">
        <v>3</v>
      </c>
      <c r="K697" s="1" t="s">
        <v>34</v>
      </c>
      <c r="L697">
        <v>3</v>
      </c>
      <c r="M697" s="1" t="s">
        <v>43</v>
      </c>
      <c r="N697">
        <v>10609</v>
      </c>
      <c r="O697">
        <v>5</v>
      </c>
      <c r="P697" s="1" t="s">
        <v>39</v>
      </c>
      <c r="Q697">
        <v>11</v>
      </c>
      <c r="R697">
        <v>3</v>
      </c>
      <c r="S697">
        <v>0</v>
      </c>
      <c r="T697">
        <v>17</v>
      </c>
      <c r="U697">
        <v>2</v>
      </c>
      <c r="V697">
        <v>1</v>
      </c>
      <c r="W697">
        <v>14</v>
      </c>
      <c r="X697">
        <v>1</v>
      </c>
      <c r="Y697">
        <v>11</v>
      </c>
      <c r="Z697">
        <v>7</v>
      </c>
      <c r="AA697">
        <v>1</v>
      </c>
      <c r="AB697" s="1" t="s">
        <v>36</v>
      </c>
      <c r="AC697" t="s">
        <v>56</v>
      </c>
      <c r="AD697" t="s">
        <v>57</v>
      </c>
      <c r="AE697" s="2">
        <v>757.78571428571433</v>
      </c>
    </row>
    <row r="698" spans="1:31" x14ac:dyDescent="0.35">
      <c r="A698">
        <v>45</v>
      </c>
      <c r="B698" s="1" t="s">
        <v>39</v>
      </c>
      <c r="C698" s="1" t="s">
        <v>40</v>
      </c>
      <c r="D698">
        <v>4</v>
      </c>
      <c r="E698">
        <v>2</v>
      </c>
      <c r="F698" s="1" t="s">
        <v>32</v>
      </c>
      <c r="G698">
        <v>3</v>
      </c>
      <c r="H698" s="1" t="s">
        <v>41</v>
      </c>
      <c r="I698">
        <v>3</v>
      </c>
      <c r="J698">
        <v>2</v>
      </c>
      <c r="K698" s="1" t="s">
        <v>45</v>
      </c>
      <c r="L698">
        <v>2</v>
      </c>
      <c r="M698" s="1" t="s">
        <v>43</v>
      </c>
      <c r="N698">
        <v>4447</v>
      </c>
      <c r="O698">
        <v>1</v>
      </c>
      <c r="P698" s="1" t="s">
        <v>39</v>
      </c>
      <c r="Q698">
        <v>12</v>
      </c>
      <c r="R698">
        <v>2</v>
      </c>
      <c r="S698">
        <v>0</v>
      </c>
      <c r="T698">
        <v>9</v>
      </c>
      <c r="U698">
        <v>5</v>
      </c>
      <c r="V698">
        <v>2</v>
      </c>
      <c r="W698">
        <v>9</v>
      </c>
      <c r="X698">
        <v>7</v>
      </c>
      <c r="Y698">
        <v>0</v>
      </c>
      <c r="Z698">
        <v>8</v>
      </c>
      <c r="AA698">
        <v>0</v>
      </c>
      <c r="AB698" s="1" t="s">
        <v>36</v>
      </c>
      <c r="AC698" t="s">
        <v>37</v>
      </c>
      <c r="AD698" t="s">
        <v>38</v>
      </c>
      <c r="AE698" s="2">
        <v>494.11111111111109</v>
      </c>
    </row>
    <row r="699" spans="1:31" x14ac:dyDescent="0.35">
      <c r="A699">
        <v>29</v>
      </c>
      <c r="B699" s="1" t="s">
        <v>39</v>
      </c>
      <c r="C699" s="1" t="s">
        <v>31</v>
      </c>
      <c r="D699">
        <v>20</v>
      </c>
      <c r="E699">
        <v>3</v>
      </c>
      <c r="F699" s="1" t="s">
        <v>61</v>
      </c>
      <c r="G699">
        <v>3</v>
      </c>
      <c r="H699" s="1" t="s">
        <v>33</v>
      </c>
      <c r="I699">
        <v>3</v>
      </c>
      <c r="J699">
        <v>1</v>
      </c>
      <c r="K699" s="1" t="s">
        <v>58</v>
      </c>
      <c r="L699">
        <v>4</v>
      </c>
      <c r="M699" s="1" t="s">
        <v>43</v>
      </c>
      <c r="N699">
        <v>2157</v>
      </c>
      <c r="O699">
        <v>1</v>
      </c>
      <c r="P699" s="1" t="s">
        <v>39</v>
      </c>
      <c r="Q699">
        <v>15</v>
      </c>
      <c r="R699">
        <v>2</v>
      </c>
      <c r="S699">
        <v>1</v>
      </c>
      <c r="T699">
        <v>3</v>
      </c>
      <c r="U699">
        <v>5</v>
      </c>
      <c r="V699">
        <v>3</v>
      </c>
      <c r="W699">
        <v>3</v>
      </c>
      <c r="X699">
        <v>1</v>
      </c>
      <c r="Y699">
        <v>0</v>
      </c>
      <c r="Z699">
        <v>2</v>
      </c>
      <c r="AA699">
        <v>0</v>
      </c>
      <c r="AB699" s="1" t="s">
        <v>48</v>
      </c>
      <c r="AC699" t="s">
        <v>46</v>
      </c>
      <c r="AD699" t="s">
        <v>53</v>
      </c>
      <c r="AE699" s="2">
        <v>719</v>
      </c>
    </row>
    <row r="700" spans="1:31" x14ac:dyDescent="0.35">
      <c r="A700">
        <v>35</v>
      </c>
      <c r="B700" s="1" t="s">
        <v>39</v>
      </c>
      <c r="C700" s="1" t="s">
        <v>31</v>
      </c>
      <c r="D700">
        <v>18</v>
      </c>
      <c r="E700">
        <v>3</v>
      </c>
      <c r="F700" s="1" t="s">
        <v>49</v>
      </c>
      <c r="G700">
        <v>3</v>
      </c>
      <c r="H700" s="1" t="s">
        <v>33</v>
      </c>
      <c r="I700">
        <v>3</v>
      </c>
      <c r="J700">
        <v>2</v>
      </c>
      <c r="K700" s="1" t="s">
        <v>34</v>
      </c>
      <c r="L700">
        <v>3</v>
      </c>
      <c r="M700" s="1" t="s">
        <v>43</v>
      </c>
      <c r="N700">
        <v>4601</v>
      </c>
      <c r="O700">
        <v>1</v>
      </c>
      <c r="P700" s="1" t="s">
        <v>39</v>
      </c>
      <c r="Q700">
        <v>16</v>
      </c>
      <c r="R700">
        <v>2</v>
      </c>
      <c r="S700">
        <v>0</v>
      </c>
      <c r="T700">
        <v>5</v>
      </c>
      <c r="U700">
        <v>3</v>
      </c>
      <c r="V700">
        <v>3</v>
      </c>
      <c r="W700">
        <v>5</v>
      </c>
      <c r="X700">
        <v>2</v>
      </c>
      <c r="Y700">
        <v>1</v>
      </c>
      <c r="Z700">
        <v>0</v>
      </c>
      <c r="AA700">
        <v>0</v>
      </c>
      <c r="AB700" s="1" t="s">
        <v>48</v>
      </c>
      <c r="AC700" t="s">
        <v>37</v>
      </c>
      <c r="AD700" t="s">
        <v>53</v>
      </c>
      <c r="AE700" s="2">
        <v>920.2</v>
      </c>
    </row>
    <row r="701" spans="1:31" x14ac:dyDescent="0.35">
      <c r="A701">
        <v>52</v>
      </c>
      <c r="B701" s="1" t="s">
        <v>39</v>
      </c>
      <c r="C701" s="1" t="s">
        <v>40</v>
      </c>
      <c r="D701">
        <v>1</v>
      </c>
      <c r="E701">
        <v>2</v>
      </c>
      <c r="F701" s="1" t="s">
        <v>32</v>
      </c>
      <c r="G701">
        <v>4</v>
      </c>
      <c r="H701" s="1" t="s">
        <v>41</v>
      </c>
      <c r="I701">
        <v>3</v>
      </c>
      <c r="J701">
        <v>4</v>
      </c>
      <c r="K701" s="1" t="s">
        <v>55</v>
      </c>
      <c r="L701">
        <v>4</v>
      </c>
      <c r="M701" s="1" t="s">
        <v>43</v>
      </c>
      <c r="N701">
        <v>17099</v>
      </c>
      <c r="O701">
        <v>2</v>
      </c>
      <c r="P701" s="1" t="s">
        <v>39</v>
      </c>
      <c r="Q701">
        <v>15</v>
      </c>
      <c r="R701">
        <v>2</v>
      </c>
      <c r="S701">
        <v>1</v>
      </c>
      <c r="T701">
        <v>26</v>
      </c>
      <c r="U701">
        <v>2</v>
      </c>
      <c r="V701">
        <v>2</v>
      </c>
      <c r="W701">
        <v>9</v>
      </c>
      <c r="X701">
        <v>8</v>
      </c>
      <c r="Y701">
        <v>7</v>
      </c>
      <c r="Z701">
        <v>8</v>
      </c>
      <c r="AA701">
        <v>0</v>
      </c>
      <c r="AB701" s="1" t="s">
        <v>82</v>
      </c>
      <c r="AC701" t="s">
        <v>56</v>
      </c>
      <c r="AD701" t="s">
        <v>38</v>
      </c>
      <c r="AE701" s="2">
        <v>1899.8888888888889</v>
      </c>
    </row>
    <row r="702" spans="1:31" x14ac:dyDescent="0.35">
      <c r="A702">
        <v>58</v>
      </c>
      <c r="B702" s="1" t="s">
        <v>30</v>
      </c>
      <c r="C702" s="1" t="s">
        <v>40</v>
      </c>
      <c r="D702">
        <v>2</v>
      </c>
      <c r="E702">
        <v>3</v>
      </c>
      <c r="F702" s="1" t="s">
        <v>61</v>
      </c>
      <c r="G702">
        <v>4</v>
      </c>
      <c r="H702" s="1" t="s">
        <v>41</v>
      </c>
      <c r="I702">
        <v>3</v>
      </c>
      <c r="J702">
        <v>1</v>
      </c>
      <c r="K702" s="1" t="s">
        <v>42</v>
      </c>
      <c r="L702">
        <v>3</v>
      </c>
      <c r="M702" s="1" t="s">
        <v>35</v>
      </c>
      <c r="N702">
        <v>2479</v>
      </c>
      <c r="O702">
        <v>4</v>
      </c>
      <c r="P702" s="1" t="s">
        <v>39</v>
      </c>
      <c r="Q702">
        <v>24</v>
      </c>
      <c r="R702">
        <v>1</v>
      </c>
      <c r="S702">
        <v>0</v>
      </c>
      <c r="T702">
        <v>7</v>
      </c>
      <c r="U702">
        <v>4</v>
      </c>
      <c r="V702">
        <v>3</v>
      </c>
      <c r="W702">
        <v>1</v>
      </c>
      <c r="X702">
        <v>0</v>
      </c>
      <c r="Y702">
        <v>0</v>
      </c>
      <c r="Z702">
        <v>0</v>
      </c>
      <c r="AA702">
        <v>1</v>
      </c>
      <c r="AB702" s="1" t="s">
        <v>82</v>
      </c>
      <c r="AC702" t="s">
        <v>46</v>
      </c>
      <c r="AD702" t="s">
        <v>47</v>
      </c>
      <c r="AE702" s="2">
        <v>2479</v>
      </c>
    </row>
    <row r="703" spans="1:31" x14ac:dyDescent="0.35">
      <c r="A703">
        <v>53</v>
      </c>
      <c r="B703" s="1" t="s">
        <v>39</v>
      </c>
      <c r="C703" s="1" t="s">
        <v>31</v>
      </c>
      <c r="D703">
        <v>2</v>
      </c>
      <c r="E703">
        <v>2</v>
      </c>
      <c r="F703" s="1" t="s">
        <v>49</v>
      </c>
      <c r="G703">
        <v>3</v>
      </c>
      <c r="H703" s="1" t="s">
        <v>41</v>
      </c>
      <c r="I703">
        <v>3</v>
      </c>
      <c r="J703">
        <v>4</v>
      </c>
      <c r="K703" s="1" t="s">
        <v>55</v>
      </c>
      <c r="L703">
        <v>3</v>
      </c>
      <c r="M703" s="1" t="s">
        <v>50</v>
      </c>
      <c r="N703">
        <v>14852</v>
      </c>
      <c r="O703">
        <v>6</v>
      </c>
      <c r="P703" s="1" t="s">
        <v>39</v>
      </c>
      <c r="Q703">
        <v>13</v>
      </c>
      <c r="R703">
        <v>3</v>
      </c>
      <c r="S703">
        <v>1</v>
      </c>
      <c r="T703">
        <v>22</v>
      </c>
      <c r="U703">
        <v>3</v>
      </c>
      <c r="V703">
        <v>4</v>
      </c>
      <c r="W703">
        <v>17</v>
      </c>
      <c r="X703">
        <v>13</v>
      </c>
      <c r="Y703">
        <v>15</v>
      </c>
      <c r="Z703">
        <v>2</v>
      </c>
      <c r="AA703">
        <v>0</v>
      </c>
      <c r="AB703" s="1" t="s">
        <v>82</v>
      </c>
      <c r="AC703" t="s">
        <v>56</v>
      </c>
      <c r="AD703" t="s">
        <v>57</v>
      </c>
      <c r="AE703" s="2">
        <v>873.64705882352939</v>
      </c>
    </row>
    <row r="704" spans="1:31" x14ac:dyDescent="0.35">
      <c r="A704">
        <v>30</v>
      </c>
      <c r="B704" s="1" t="s">
        <v>39</v>
      </c>
      <c r="C704" s="1" t="s">
        <v>31</v>
      </c>
      <c r="D704">
        <v>8</v>
      </c>
      <c r="E704">
        <v>2</v>
      </c>
      <c r="F704" s="1" t="s">
        <v>44</v>
      </c>
      <c r="G704">
        <v>3</v>
      </c>
      <c r="H704" s="1" t="s">
        <v>41</v>
      </c>
      <c r="I704">
        <v>3</v>
      </c>
      <c r="J704">
        <v>3</v>
      </c>
      <c r="K704" s="1" t="s">
        <v>34</v>
      </c>
      <c r="L704">
        <v>3</v>
      </c>
      <c r="M704" s="1" t="s">
        <v>50</v>
      </c>
      <c r="N704">
        <v>7264</v>
      </c>
      <c r="O704">
        <v>5</v>
      </c>
      <c r="P704" s="1" t="s">
        <v>39</v>
      </c>
      <c r="Q704">
        <v>11</v>
      </c>
      <c r="R704">
        <v>1</v>
      </c>
      <c r="S704">
        <v>1</v>
      </c>
      <c r="T704">
        <v>10</v>
      </c>
      <c r="U704">
        <v>2</v>
      </c>
      <c r="V704">
        <v>4</v>
      </c>
      <c r="W704">
        <v>8</v>
      </c>
      <c r="X704">
        <v>4</v>
      </c>
      <c r="Y704">
        <v>7</v>
      </c>
      <c r="Z704">
        <v>7</v>
      </c>
      <c r="AA704">
        <v>0</v>
      </c>
      <c r="AB704" s="1" t="s">
        <v>48</v>
      </c>
      <c r="AC704" t="s">
        <v>37</v>
      </c>
      <c r="AD704" t="s">
        <v>38</v>
      </c>
      <c r="AE704" s="2">
        <v>908</v>
      </c>
    </row>
    <row r="705" spans="1:31" x14ac:dyDescent="0.35">
      <c r="A705">
        <v>38</v>
      </c>
      <c r="B705" s="1" t="s">
        <v>39</v>
      </c>
      <c r="C705" s="1" t="s">
        <v>31</v>
      </c>
      <c r="D705">
        <v>10</v>
      </c>
      <c r="E705">
        <v>3</v>
      </c>
      <c r="F705" s="1" t="s">
        <v>61</v>
      </c>
      <c r="G705">
        <v>3</v>
      </c>
      <c r="H705" s="1" t="s">
        <v>33</v>
      </c>
      <c r="I705">
        <v>3</v>
      </c>
      <c r="J705">
        <v>2</v>
      </c>
      <c r="K705" s="1" t="s">
        <v>34</v>
      </c>
      <c r="L705">
        <v>4</v>
      </c>
      <c r="M705" s="1" t="s">
        <v>35</v>
      </c>
      <c r="N705">
        <v>5666</v>
      </c>
      <c r="O705">
        <v>1</v>
      </c>
      <c r="P705" s="1" t="s">
        <v>30</v>
      </c>
      <c r="Q705">
        <v>13</v>
      </c>
      <c r="R705">
        <v>2</v>
      </c>
      <c r="S705">
        <v>0</v>
      </c>
      <c r="T705">
        <v>6</v>
      </c>
      <c r="U705">
        <v>1</v>
      </c>
      <c r="V705">
        <v>3</v>
      </c>
      <c r="W705">
        <v>5</v>
      </c>
      <c r="X705">
        <v>3</v>
      </c>
      <c r="Y705">
        <v>1</v>
      </c>
      <c r="Z705">
        <v>3</v>
      </c>
      <c r="AA705">
        <v>0</v>
      </c>
      <c r="AB705" s="1" t="s">
        <v>36</v>
      </c>
      <c r="AC705" t="s">
        <v>37</v>
      </c>
      <c r="AD705" t="s">
        <v>53</v>
      </c>
      <c r="AE705" s="2">
        <v>1133.2</v>
      </c>
    </row>
    <row r="706" spans="1:31" x14ac:dyDescent="0.35">
      <c r="A706">
        <v>35</v>
      </c>
      <c r="B706" s="1" t="s">
        <v>39</v>
      </c>
      <c r="C706" s="1" t="s">
        <v>31</v>
      </c>
      <c r="D706">
        <v>3</v>
      </c>
      <c r="E706">
        <v>4</v>
      </c>
      <c r="F706" s="1" t="s">
        <v>32</v>
      </c>
      <c r="G706">
        <v>4</v>
      </c>
      <c r="H706" s="1" t="s">
        <v>41</v>
      </c>
      <c r="I706">
        <v>3</v>
      </c>
      <c r="J706">
        <v>3</v>
      </c>
      <c r="K706" s="1" t="s">
        <v>34</v>
      </c>
      <c r="L706">
        <v>4</v>
      </c>
      <c r="M706" s="1" t="s">
        <v>50</v>
      </c>
      <c r="N706">
        <v>7823</v>
      </c>
      <c r="O706">
        <v>6</v>
      </c>
      <c r="P706" s="1" t="s">
        <v>39</v>
      </c>
      <c r="Q706">
        <v>13</v>
      </c>
      <c r="R706">
        <v>2</v>
      </c>
      <c r="S706">
        <v>1</v>
      </c>
      <c r="T706">
        <v>12</v>
      </c>
      <c r="U706">
        <v>2</v>
      </c>
      <c r="V706">
        <v>3</v>
      </c>
      <c r="W706">
        <v>10</v>
      </c>
      <c r="X706">
        <v>9</v>
      </c>
      <c r="Y706">
        <v>0</v>
      </c>
      <c r="Z706">
        <v>8</v>
      </c>
      <c r="AA706">
        <v>0</v>
      </c>
      <c r="AB706" s="1" t="s">
        <v>48</v>
      </c>
      <c r="AC706" t="s">
        <v>37</v>
      </c>
      <c r="AD706" t="s">
        <v>38</v>
      </c>
      <c r="AE706" s="2">
        <v>782.3</v>
      </c>
    </row>
    <row r="707" spans="1:31" x14ac:dyDescent="0.35">
      <c r="A707">
        <v>39</v>
      </c>
      <c r="B707" s="1" t="s">
        <v>39</v>
      </c>
      <c r="C707" s="1" t="s">
        <v>31</v>
      </c>
      <c r="D707">
        <v>2</v>
      </c>
      <c r="E707">
        <v>5</v>
      </c>
      <c r="F707" s="1" t="s">
        <v>32</v>
      </c>
      <c r="G707">
        <v>1</v>
      </c>
      <c r="H707" s="1" t="s">
        <v>41</v>
      </c>
      <c r="I707">
        <v>4</v>
      </c>
      <c r="J707">
        <v>3</v>
      </c>
      <c r="K707" s="1" t="s">
        <v>34</v>
      </c>
      <c r="L707">
        <v>3</v>
      </c>
      <c r="M707" s="1" t="s">
        <v>35</v>
      </c>
      <c r="N707">
        <v>7880</v>
      </c>
      <c r="O707">
        <v>0</v>
      </c>
      <c r="P707" s="1" t="s">
        <v>39</v>
      </c>
      <c r="Q707">
        <v>18</v>
      </c>
      <c r="R707">
        <v>4</v>
      </c>
      <c r="S707">
        <v>0</v>
      </c>
      <c r="T707">
        <v>9</v>
      </c>
      <c r="U707">
        <v>3</v>
      </c>
      <c r="V707">
        <v>3</v>
      </c>
      <c r="W707">
        <v>8</v>
      </c>
      <c r="X707">
        <v>7</v>
      </c>
      <c r="Y707">
        <v>0</v>
      </c>
      <c r="Z707">
        <v>7</v>
      </c>
      <c r="AA707">
        <v>0</v>
      </c>
      <c r="AB707" s="1" t="s">
        <v>36</v>
      </c>
      <c r="AC707" t="s">
        <v>37</v>
      </c>
      <c r="AD707" t="s">
        <v>38</v>
      </c>
      <c r="AE707" s="2">
        <v>985</v>
      </c>
    </row>
    <row r="708" spans="1:31" x14ac:dyDescent="0.35">
      <c r="A708">
        <v>40</v>
      </c>
      <c r="B708" s="1" t="s">
        <v>30</v>
      </c>
      <c r="C708" s="1" t="s">
        <v>31</v>
      </c>
      <c r="D708">
        <v>24</v>
      </c>
      <c r="E708">
        <v>3</v>
      </c>
      <c r="F708" s="1" t="s">
        <v>32</v>
      </c>
      <c r="G708">
        <v>2</v>
      </c>
      <c r="H708" s="1" t="s">
        <v>33</v>
      </c>
      <c r="I708">
        <v>4</v>
      </c>
      <c r="J708">
        <v>4</v>
      </c>
      <c r="K708" s="1" t="s">
        <v>34</v>
      </c>
      <c r="L708">
        <v>2</v>
      </c>
      <c r="M708" s="1" t="s">
        <v>35</v>
      </c>
      <c r="N708">
        <v>13194</v>
      </c>
      <c r="O708">
        <v>4</v>
      </c>
      <c r="P708" s="1" t="s">
        <v>30</v>
      </c>
      <c r="Q708">
        <v>16</v>
      </c>
      <c r="R708">
        <v>4</v>
      </c>
      <c r="S708">
        <v>0</v>
      </c>
      <c r="T708">
        <v>22</v>
      </c>
      <c r="U708">
        <v>2</v>
      </c>
      <c r="V708">
        <v>2</v>
      </c>
      <c r="W708">
        <v>1</v>
      </c>
      <c r="X708">
        <v>0</v>
      </c>
      <c r="Y708">
        <v>0</v>
      </c>
      <c r="Z708">
        <v>0</v>
      </c>
      <c r="AA708">
        <v>1</v>
      </c>
      <c r="AB708" s="1" t="s">
        <v>36</v>
      </c>
      <c r="AC708" t="s">
        <v>56</v>
      </c>
      <c r="AD708" t="s">
        <v>47</v>
      </c>
      <c r="AE708" s="2">
        <v>13194</v>
      </c>
    </row>
    <row r="709" spans="1:31" x14ac:dyDescent="0.35">
      <c r="A709">
        <v>47</v>
      </c>
      <c r="B709" s="1" t="s">
        <v>39</v>
      </c>
      <c r="C709" s="1" t="s">
        <v>40</v>
      </c>
      <c r="D709">
        <v>16</v>
      </c>
      <c r="E709">
        <v>4</v>
      </c>
      <c r="F709" s="1" t="s">
        <v>49</v>
      </c>
      <c r="G709">
        <v>3</v>
      </c>
      <c r="H709" s="1" t="s">
        <v>41</v>
      </c>
      <c r="I709">
        <v>4</v>
      </c>
      <c r="J709">
        <v>2</v>
      </c>
      <c r="K709" s="1" t="s">
        <v>51</v>
      </c>
      <c r="L709">
        <v>3</v>
      </c>
      <c r="M709" s="1" t="s">
        <v>50</v>
      </c>
      <c r="N709">
        <v>5067</v>
      </c>
      <c r="O709">
        <v>1</v>
      </c>
      <c r="P709" s="1" t="s">
        <v>30</v>
      </c>
      <c r="Q709">
        <v>19</v>
      </c>
      <c r="R709">
        <v>3</v>
      </c>
      <c r="S709">
        <v>0</v>
      </c>
      <c r="T709">
        <v>20</v>
      </c>
      <c r="U709">
        <v>3</v>
      </c>
      <c r="V709">
        <v>4</v>
      </c>
      <c r="W709">
        <v>19</v>
      </c>
      <c r="X709">
        <v>10</v>
      </c>
      <c r="Y709">
        <v>2</v>
      </c>
      <c r="Z709">
        <v>7</v>
      </c>
      <c r="AA709">
        <v>0</v>
      </c>
      <c r="AB709" s="1" t="s">
        <v>82</v>
      </c>
      <c r="AC709" t="s">
        <v>37</v>
      </c>
      <c r="AD709" t="s">
        <v>57</v>
      </c>
      <c r="AE709" s="2">
        <v>266.68421052631578</v>
      </c>
    </row>
    <row r="710" spans="1:31" x14ac:dyDescent="0.35">
      <c r="A710">
        <v>36</v>
      </c>
      <c r="B710" s="1" t="s">
        <v>39</v>
      </c>
      <c r="C710" s="1" t="s">
        <v>31</v>
      </c>
      <c r="D710">
        <v>8</v>
      </c>
      <c r="E710">
        <v>4</v>
      </c>
      <c r="F710" s="1" t="s">
        <v>61</v>
      </c>
      <c r="G710">
        <v>1</v>
      </c>
      <c r="H710" s="1" t="s">
        <v>41</v>
      </c>
      <c r="I710">
        <v>3</v>
      </c>
      <c r="J710">
        <v>2</v>
      </c>
      <c r="K710" s="1" t="s">
        <v>34</v>
      </c>
      <c r="L710">
        <v>4</v>
      </c>
      <c r="M710" s="1" t="s">
        <v>50</v>
      </c>
      <c r="N710">
        <v>5079</v>
      </c>
      <c r="O710">
        <v>4</v>
      </c>
      <c r="P710" s="1" t="s">
        <v>39</v>
      </c>
      <c r="Q710">
        <v>13</v>
      </c>
      <c r="R710">
        <v>4</v>
      </c>
      <c r="S710">
        <v>2</v>
      </c>
      <c r="T710">
        <v>12</v>
      </c>
      <c r="U710">
        <v>3</v>
      </c>
      <c r="V710">
        <v>3</v>
      </c>
      <c r="W710">
        <v>7</v>
      </c>
      <c r="X710">
        <v>7</v>
      </c>
      <c r="Y710">
        <v>0</v>
      </c>
      <c r="Z710">
        <v>7</v>
      </c>
      <c r="AA710">
        <v>0</v>
      </c>
      <c r="AB710" s="1" t="s">
        <v>36</v>
      </c>
      <c r="AC710" t="s">
        <v>37</v>
      </c>
      <c r="AD710" t="s">
        <v>38</v>
      </c>
      <c r="AE710" s="2">
        <v>725.57142857142856</v>
      </c>
    </row>
    <row r="711" spans="1:31" x14ac:dyDescent="0.35">
      <c r="A711">
        <v>31</v>
      </c>
      <c r="B711" s="1" t="s">
        <v>30</v>
      </c>
      <c r="C711" s="1" t="s">
        <v>40</v>
      </c>
      <c r="D711">
        <v>9</v>
      </c>
      <c r="E711">
        <v>2</v>
      </c>
      <c r="F711" s="1" t="s">
        <v>49</v>
      </c>
      <c r="G711">
        <v>3</v>
      </c>
      <c r="H711" s="1" t="s">
        <v>41</v>
      </c>
      <c r="I711">
        <v>2</v>
      </c>
      <c r="J711">
        <v>1</v>
      </c>
      <c r="K711" s="1" t="s">
        <v>42</v>
      </c>
      <c r="L711">
        <v>1</v>
      </c>
      <c r="M711" s="1" t="s">
        <v>35</v>
      </c>
      <c r="N711">
        <v>2321</v>
      </c>
      <c r="O711">
        <v>0</v>
      </c>
      <c r="P711" s="1" t="s">
        <v>30</v>
      </c>
      <c r="Q711">
        <v>22</v>
      </c>
      <c r="R711">
        <v>1</v>
      </c>
      <c r="S711">
        <v>0</v>
      </c>
      <c r="T711">
        <v>4</v>
      </c>
      <c r="U711">
        <v>0</v>
      </c>
      <c r="V711">
        <v>3</v>
      </c>
      <c r="W711">
        <v>3</v>
      </c>
      <c r="X711">
        <v>2</v>
      </c>
      <c r="Y711">
        <v>1</v>
      </c>
      <c r="Z711">
        <v>2</v>
      </c>
      <c r="AA711">
        <v>1</v>
      </c>
      <c r="AB711" s="1" t="s">
        <v>48</v>
      </c>
      <c r="AC711" t="s">
        <v>46</v>
      </c>
      <c r="AD711" t="s">
        <v>53</v>
      </c>
      <c r="AE711" s="2">
        <v>773.66666666666663</v>
      </c>
    </row>
    <row r="712" spans="1:31" x14ac:dyDescent="0.35">
      <c r="A712">
        <v>33</v>
      </c>
      <c r="B712" s="1" t="s">
        <v>39</v>
      </c>
      <c r="C712" s="1" t="s">
        <v>31</v>
      </c>
      <c r="D712">
        <v>17</v>
      </c>
      <c r="E712">
        <v>3</v>
      </c>
      <c r="F712" s="1" t="s">
        <v>32</v>
      </c>
      <c r="G712">
        <v>4</v>
      </c>
      <c r="H712" s="1" t="s">
        <v>41</v>
      </c>
      <c r="I712">
        <v>3</v>
      </c>
      <c r="J712">
        <v>4</v>
      </c>
      <c r="K712" s="1" t="s">
        <v>55</v>
      </c>
      <c r="L712">
        <v>3</v>
      </c>
      <c r="M712" s="1" t="s">
        <v>35</v>
      </c>
      <c r="N712">
        <v>17444</v>
      </c>
      <c r="O712">
        <v>1</v>
      </c>
      <c r="P712" s="1" t="s">
        <v>39</v>
      </c>
      <c r="Q712">
        <v>11</v>
      </c>
      <c r="R712">
        <v>4</v>
      </c>
      <c r="S712">
        <v>0</v>
      </c>
      <c r="T712">
        <v>10</v>
      </c>
      <c r="U712">
        <v>2</v>
      </c>
      <c r="V712">
        <v>3</v>
      </c>
      <c r="W712">
        <v>10</v>
      </c>
      <c r="X712">
        <v>8</v>
      </c>
      <c r="Y712">
        <v>6</v>
      </c>
      <c r="Z712">
        <v>0</v>
      </c>
      <c r="AA712">
        <v>0</v>
      </c>
      <c r="AB712" s="1" t="s">
        <v>48</v>
      </c>
      <c r="AC712" t="s">
        <v>56</v>
      </c>
      <c r="AD712" t="s">
        <v>38</v>
      </c>
      <c r="AE712" s="2">
        <v>1744.4</v>
      </c>
    </row>
    <row r="713" spans="1:31" x14ac:dyDescent="0.35">
      <c r="A713">
        <v>29</v>
      </c>
      <c r="B713" s="1" t="s">
        <v>30</v>
      </c>
      <c r="C713" s="1" t="s">
        <v>40</v>
      </c>
      <c r="D713">
        <v>10</v>
      </c>
      <c r="E713">
        <v>3</v>
      </c>
      <c r="F713" s="1" t="s">
        <v>32</v>
      </c>
      <c r="G713">
        <v>4</v>
      </c>
      <c r="H713" s="1" t="s">
        <v>33</v>
      </c>
      <c r="I713">
        <v>2</v>
      </c>
      <c r="J713">
        <v>1</v>
      </c>
      <c r="K713" s="1" t="s">
        <v>42</v>
      </c>
      <c r="L713">
        <v>1</v>
      </c>
      <c r="M713" s="1" t="s">
        <v>35</v>
      </c>
      <c r="N713">
        <v>2404</v>
      </c>
      <c r="O713">
        <v>6</v>
      </c>
      <c r="P713" s="1" t="s">
        <v>30</v>
      </c>
      <c r="Q713">
        <v>20</v>
      </c>
      <c r="R713">
        <v>3</v>
      </c>
      <c r="S713">
        <v>0</v>
      </c>
      <c r="T713">
        <v>3</v>
      </c>
      <c r="U713">
        <v>5</v>
      </c>
      <c r="V713">
        <v>3</v>
      </c>
      <c r="W713">
        <v>0</v>
      </c>
      <c r="X713">
        <v>0</v>
      </c>
      <c r="Y713">
        <v>0</v>
      </c>
      <c r="Z713">
        <v>0</v>
      </c>
      <c r="AA713">
        <v>1</v>
      </c>
      <c r="AB713" s="1" t="s">
        <v>48</v>
      </c>
      <c r="AC713" t="s">
        <v>46</v>
      </c>
      <c r="AD713" t="s">
        <v>47</v>
      </c>
      <c r="AE713" s="2">
        <v>2404</v>
      </c>
    </row>
    <row r="714" spans="1:31" x14ac:dyDescent="0.35">
      <c r="A714">
        <v>33</v>
      </c>
      <c r="B714" s="1" t="s">
        <v>39</v>
      </c>
      <c r="C714" s="1" t="s">
        <v>40</v>
      </c>
      <c r="D714">
        <v>13</v>
      </c>
      <c r="E714">
        <v>1</v>
      </c>
      <c r="F714" s="1" t="s">
        <v>32</v>
      </c>
      <c r="G714">
        <v>2</v>
      </c>
      <c r="H714" s="1" t="s">
        <v>33</v>
      </c>
      <c r="I714">
        <v>3</v>
      </c>
      <c r="J714">
        <v>1</v>
      </c>
      <c r="K714" s="1" t="s">
        <v>42</v>
      </c>
      <c r="L714">
        <v>4</v>
      </c>
      <c r="M714" s="1" t="s">
        <v>35</v>
      </c>
      <c r="N714">
        <v>3452</v>
      </c>
      <c r="O714">
        <v>3</v>
      </c>
      <c r="P714" s="1" t="s">
        <v>39</v>
      </c>
      <c r="Q714">
        <v>18</v>
      </c>
      <c r="R714">
        <v>1</v>
      </c>
      <c r="S714">
        <v>0</v>
      </c>
      <c r="T714">
        <v>5</v>
      </c>
      <c r="U714">
        <v>4</v>
      </c>
      <c r="V714">
        <v>3</v>
      </c>
      <c r="W714">
        <v>3</v>
      </c>
      <c r="X714">
        <v>2</v>
      </c>
      <c r="Y714">
        <v>0</v>
      </c>
      <c r="Z714">
        <v>2</v>
      </c>
      <c r="AA714">
        <v>0</v>
      </c>
      <c r="AB714" s="1" t="s">
        <v>48</v>
      </c>
      <c r="AC714" t="s">
        <v>46</v>
      </c>
      <c r="AD714" t="s">
        <v>53</v>
      </c>
      <c r="AE714" s="2">
        <v>1150.6666666666667</v>
      </c>
    </row>
    <row r="715" spans="1:31" x14ac:dyDescent="0.35">
      <c r="A715">
        <v>45</v>
      </c>
      <c r="B715" s="1" t="s">
        <v>39</v>
      </c>
      <c r="C715" s="1" t="s">
        <v>40</v>
      </c>
      <c r="D715">
        <v>1</v>
      </c>
      <c r="E715">
        <v>4</v>
      </c>
      <c r="F715" s="1" t="s">
        <v>49</v>
      </c>
      <c r="G715">
        <v>4</v>
      </c>
      <c r="H715" s="1" t="s">
        <v>33</v>
      </c>
      <c r="I715">
        <v>3</v>
      </c>
      <c r="J715">
        <v>1</v>
      </c>
      <c r="K715" s="1" t="s">
        <v>45</v>
      </c>
      <c r="L715">
        <v>4</v>
      </c>
      <c r="M715" s="1" t="s">
        <v>50</v>
      </c>
      <c r="N715">
        <v>2270</v>
      </c>
      <c r="O715">
        <v>3</v>
      </c>
      <c r="P715" s="1" t="s">
        <v>39</v>
      </c>
      <c r="Q715">
        <v>14</v>
      </c>
      <c r="R715">
        <v>4</v>
      </c>
      <c r="S715">
        <v>2</v>
      </c>
      <c r="T715">
        <v>8</v>
      </c>
      <c r="U715">
        <v>2</v>
      </c>
      <c r="V715">
        <v>3</v>
      </c>
      <c r="W715">
        <v>5</v>
      </c>
      <c r="X715">
        <v>3</v>
      </c>
      <c r="Y715">
        <v>0</v>
      </c>
      <c r="Z715">
        <v>2</v>
      </c>
      <c r="AA715">
        <v>0</v>
      </c>
      <c r="AB715" s="1" t="s">
        <v>36</v>
      </c>
      <c r="AC715" t="s">
        <v>46</v>
      </c>
      <c r="AD715" t="s">
        <v>53</v>
      </c>
      <c r="AE715" s="2">
        <v>454</v>
      </c>
    </row>
    <row r="716" spans="1:31" x14ac:dyDescent="0.35">
      <c r="A716">
        <v>50</v>
      </c>
      <c r="B716" s="1" t="s">
        <v>39</v>
      </c>
      <c r="C716" s="1" t="s">
        <v>40</v>
      </c>
      <c r="D716">
        <v>1</v>
      </c>
      <c r="E716">
        <v>2</v>
      </c>
      <c r="F716" s="1" t="s">
        <v>49</v>
      </c>
      <c r="G716">
        <v>4</v>
      </c>
      <c r="H716" s="1" t="s">
        <v>41</v>
      </c>
      <c r="I716">
        <v>3</v>
      </c>
      <c r="J716">
        <v>4</v>
      </c>
      <c r="K716" s="1" t="s">
        <v>59</v>
      </c>
      <c r="L716">
        <v>4</v>
      </c>
      <c r="M716" s="1" t="s">
        <v>50</v>
      </c>
      <c r="N716">
        <v>17399</v>
      </c>
      <c r="O716">
        <v>9</v>
      </c>
      <c r="P716" s="1" t="s">
        <v>39</v>
      </c>
      <c r="Q716">
        <v>22</v>
      </c>
      <c r="R716">
        <v>3</v>
      </c>
      <c r="S716">
        <v>1</v>
      </c>
      <c r="T716">
        <v>32</v>
      </c>
      <c r="U716">
        <v>1</v>
      </c>
      <c r="V716">
        <v>2</v>
      </c>
      <c r="W716">
        <v>5</v>
      </c>
      <c r="X716">
        <v>4</v>
      </c>
      <c r="Y716">
        <v>1</v>
      </c>
      <c r="Z716">
        <v>3</v>
      </c>
      <c r="AA716">
        <v>0</v>
      </c>
      <c r="AB716" s="1" t="s">
        <v>82</v>
      </c>
      <c r="AC716" t="s">
        <v>56</v>
      </c>
      <c r="AD716" t="s">
        <v>53</v>
      </c>
      <c r="AE716" s="2">
        <v>3479.8</v>
      </c>
    </row>
    <row r="717" spans="1:31" x14ac:dyDescent="0.35">
      <c r="A717">
        <v>33</v>
      </c>
      <c r="B717" s="1" t="s">
        <v>39</v>
      </c>
      <c r="C717" s="1" t="s">
        <v>40</v>
      </c>
      <c r="D717">
        <v>1</v>
      </c>
      <c r="E717">
        <v>4</v>
      </c>
      <c r="F717" s="1" t="s">
        <v>44</v>
      </c>
      <c r="G717">
        <v>3</v>
      </c>
      <c r="H717" s="1" t="s">
        <v>33</v>
      </c>
      <c r="I717">
        <v>4</v>
      </c>
      <c r="J717">
        <v>2</v>
      </c>
      <c r="K717" s="1" t="s">
        <v>52</v>
      </c>
      <c r="L717">
        <v>2</v>
      </c>
      <c r="M717" s="1" t="s">
        <v>43</v>
      </c>
      <c r="N717">
        <v>5488</v>
      </c>
      <c r="O717">
        <v>1</v>
      </c>
      <c r="P717" s="1" t="s">
        <v>30</v>
      </c>
      <c r="Q717">
        <v>13</v>
      </c>
      <c r="R717">
        <v>1</v>
      </c>
      <c r="S717">
        <v>1</v>
      </c>
      <c r="T717">
        <v>6</v>
      </c>
      <c r="U717">
        <v>2</v>
      </c>
      <c r="V717">
        <v>3</v>
      </c>
      <c r="W717">
        <v>6</v>
      </c>
      <c r="X717">
        <v>5</v>
      </c>
      <c r="Y717">
        <v>1</v>
      </c>
      <c r="Z717">
        <v>2</v>
      </c>
      <c r="AA717">
        <v>0</v>
      </c>
      <c r="AB717" s="1" t="s">
        <v>48</v>
      </c>
      <c r="AC717" t="s">
        <v>37</v>
      </c>
      <c r="AD717" t="s">
        <v>38</v>
      </c>
      <c r="AE717" s="2">
        <v>914.66666666666663</v>
      </c>
    </row>
    <row r="718" spans="1:31" x14ac:dyDescent="0.35">
      <c r="A718">
        <v>41</v>
      </c>
      <c r="B718" s="1" t="s">
        <v>39</v>
      </c>
      <c r="C718" s="1" t="s">
        <v>40</v>
      </c>
      <c r="D718">
        <v>9</v>
      </c>
      <c r="E718">
        <v>3</v>
      </c>
      <c r="F718" s="1" t="s">
        <v>49</v>
      </c>
      <c r="G718">
        <v>1</v>
      </c>
      <c r="H718" s="1" t="s">
        <v>41</v>
      </c>
      <c r="I718">
        <v>3</v>
      </c>
      <c r="J718">
        <v>5</v>
      </c>
      <c r="K718" s="1" t="s">
        <v>59</v>
      </c>
      <c r="L718">
        <v>3</v>
      </c>
      <c r="M718" s="1" t="s">
        <v>50</v>
      </c>
      <c r="N718">
        <v>19419</v>
      </c>
      <c r="O718">
        <v>2</v>
      </c>
      <c r="P718" s="1" t="s">
        <v>39</v>
      </c>
      <c r="Q718">
        <v>17</v>
      </c>
      <c r="R718">
        <v>2</v>
      </c>
      <c r="S718">
        <v>1</v>
      </c>
      <c r="T718">
        <v>21</v>
      </c>
      <c r="U718">
        <v>2</v>
      </c>
      <c r="V718">
        <v>4</v>
      </c>
      <c r="W718">
        <v>18</v>
      </c>
      <c r="X718">
        <v>16</v>
      </c>
      <c r="Y718">
        <v>0</v>
      </c>
      <c r="Z718">
        <v>11</v>
      </c>
      <c r="AA718">
        <v>0</v>
      </c>
      <c r="AB718" s="1" t="s">
        <v>36</v>
      </c>
      <c r="AC718" t="s">
        <v>56</v>
      </c>
      <c r="AD718" t="s">
        <v>57</v>
      </c>
      <c r="AE718" s="2">
        <v>1078.8333333333333</v>
      </c>
    </row>
    <row r="719" spans="1:31" x14ac:dyDescent="0.35">
      <c r="A719">
        <v>27</v>
      </c>
      <c r="B719" s="1" t="s">
        <v>39</v>
      </c>
      <c r="C719" s="1" t="s">
        <v>40</v>
      </c>
      <c r="D719">
        <v>16</v>
      </c>
      <c r="E719">
        <v>4</v>
      </c>
      <c r="F719" s="1" t="s">
        <v>61</v>
      </c>
      <c r="G719">
        <v>3</v>
      </c>
      <c r="H719" s="1" t="s">
        <v>33</v>
      </c>
      <c r="I719">
        <v>3</v>
      </c>
      <c r="J719">
        <v>1</v>
      </c>
      <c r="K719" s="1" t="s">
        <v>45</v>
      </c>
      <c r="L719">
        <v>2</v>
      </c>
      <c r="M719" s="1" t="s">
        <v>43</v>
      </c>
      <c r="N719">
        <v>2811</v>
      </c>
      <c r="O719">
        <v>9</v>
      </c>
      <c r="P719" s="1" t="s">
        <v>39</v>
      </c>
      <c r="Q719">
        <v>14</v>
      </c>
      <c r="R719">
        <v>2</v>
      </c>
      <c r="S719">
        <v>1</v>
      </c>
      <c r="T719">
        <v>4</v>
      </c>
      <c r="U719">
        <v>2</v>
      </c>
      <c r="V719">
        <v>3</v>
      </c>
      <c r="W719">
        <v>2</v>
      </c>
      <c r="X719">
        <v>2</v>
      </c>
      <c r="Y719">
        <v>2</v>
      </c>
      <c r="Z719">
        <v>2</v>
      </c>
      <c r="AA719">
        <v>0</v>
      </c>
      <c r="AB719" s="1" t="s">
        <v>48</v>
      </c>
      <c r="AC719" t="s">
        <v>46</v>
      </c>
      <c r="AD719" t="s">
        <v>47</v>
      </c>
      <c r="AE719" s="2">
        <v>1405.5</v>
      </c>
    </row>
    <row r="720" spans="1:31" x14ac:dyDescent="0.35">
      <c r="A720">
        <v>45</v>
      </c>
      <c r="B720" s="1" t="s">
        <v>39</v>
      </c>
      <c r="C720" s="1" t="s">
        <v>40</v>
      </c>
      <c r="D720">
        <v>23</v>
      </c>
      <c r="E720">
        <v>2</v>
      </c>
      <c r="F720" s="1" t="s">
        <v>32</v>
      </c>
      <c r="G720">
        <v>4</v>
      </c>
      <c r="H720" s="1" t="s">
        <v>41</v>
      </c>
      <c r="I720">
        <v>3</v>
      </c>
      <c r="J720">
        <v>2</v>
      </c>
      <c r="K720" s="1" t="s">
        <v>45</v>
      </c>
      <c r="L720">
        <v>1</v>
      </c>
      <c r="M720" s="1" t="s">
        <v>43</v>
      </c>
      <c r="N720">
        <v>3633</v>
      </c>
      <c r="O720">
        <v>1</v>
      </c>
      <c r="P720" s="1" t="s">
        <v>30</v>
      </c>
      <c r="Q720">
        <v>15</v>
      </c>
      <c r="R720">
        <v>3</v>
      </c>
      <c r="S720">
        <v>1</v>
      </c>
      <c r="T720">
        <v>9</v>
      </c>
      <c r="U720">
        <v>2</v>
      </c>
      <c r="V720">
        <v>3</v>
      </c>
      <c r="W720">
        <v>9</v>
      </c>
      <c r="X720">
        <v>8</v>
      </c>
      <c r="Y720">
        <v>0</v>
      </c>
      <c r="Z720">
        <v>8</v>
      </c>
      <c r="AA720">
        <v>0</v>
      </c>
      <c r="AB720" s="1" t="s">
        <v>36</v>
      </c>
      <c r="AC720" t="s">
        <v>46</v>
      </c>
      <c r="AD720" t="s">
        <v>38</v>
      </c>
      <c r="AE720" s="2">
        <v>403.66666666666669</v>
      </c>
    </row>
    <row r="721" spans="1:31" x14ac:dyDescent="0.35">
      <c r="A721">
        <v>47</v>
      </c>
      <c r="B721" s="1" t="s">
        <v>39</v>
      </c>
      <c r="C721" s="1" t="s">
        <v>31</v>
      </c>
      <c r="D721">
        <v>4</v>
      </c>
      <c r="E721">
        <v>2</v>
      </c>
      <c r="F721" s="1" t="s">
        <v>32</v>
      </c>
      <c r="G721">
        <v>4</v>
      </c>
      <c r="H721" s="1" t="s">
        <v>33</v>
      </c>
      <c r="I721">
        <v>3</v>
      </c>
      <c r="J721">
        <v>2</v>
      </c>
      <c r="K721" s="1" t="s">
        <v>34</v>
      </c>
      <c r="L721">
        <v>4</v>
      </c>
      <c r="M721" s="1" t="s">
        <v>35</v>
      </c>
      <c r="N721">
        <v>4163</v>
      </c>
      <c r="O721">
        <v>1</v>
      </c>
      <c r="P721" s="1" t="s">
        <v>30</v>
      </c>
      <c r="Q721">
        <v>17</v>
      </c>
      <c r="R721">
        <v>3</v>
      </c>
      <c r="S721">
        <v>0</v>
      </c>
      <c r="T721">
        <v>9</v>
      </c>
      <c r="U721">
        <v>0</v>
      </c>
      <c r="V721">
        <v>3</v>
      </c>
      <c r="W721">
        <v>9</v>
      </c>
      <c r="X721">
        <v>0</v>
      </c>
      <c r="Y721">
        <v>0</v>
      </c>
      <c r="Z721">
        <v>7</v>
      </c>
      <c r="AA721">
        <v>0</v>
      </c>
      <c r="AB721" s="1" t="s">
        <v>82</v>
      </c>
      <c r="AC721" t="s">
        <v>37</v>
      </c>
      <c r="AD721" t="s">
        <v>38</v>
      </c>
      <c r="AE721" s="2">
        <v>462.55555555555554</v>
      </c>
    </row>
    <row r="722" spans="1:31" x14ac:dyDescent="0.35">
      <c r="A722">
        <v>30</v>
      </c>
      <c r="B722" s="1" t="s">
        <v>30</v>
      </c>
      <c r="C722" s="1" t="s">
        <v>40</v>
      </c>
      <c r="D722">
        <v>22</v>
      </c>
      <c r="E722">
        <v>3</v>
      </c>
      <c r="F722" s="1" t="s">
        <v>32</v>
      </c>
      <c r="G722">
        <v>1</v>
      </c>
      <c r="H722" s="1" t="s">
        <v>33</v>
      </c>
      <c r="I722">
        <v>3</v>
      </c>
      <c r="J722">
        <v>1</v>
      </c>
      <c r="K722" s="1" t="s">
        <v>42</v>
      </c>
      <c r="L722">
        <v>3</v>
      </c>
      <c r="M722" s="1" t="s">
        <v>43</v>
      </c>
      <c r="N722">
        <v>2132</v>
      </c>
      <c r="O722">
        <v>4</v>
      </c>
      <c r="P722" s="1" t="s">
        <v>30</v>
      </c>
      <c r="Q722">
        <v>11</v>
      </c>
      <c r="R722">
        <v>2</v>
      </c>
      <c r="S722">
        <v>0</v>
      </c>
      <c r="T722">
        <v>7</v>
      </c>
      <c r="U722">
        <v>2</v>
      </c>
      <c r="V722">
        <v>3</v>
      </c>
      <c r="W722">
        <v>5</v>
      </c>
      <c r="X722">
        <v>2</v>
      </c>
      <c r="Y722">
        <v>0</v>
      </c>
      <c r="Z722">
        <v>1</v>
      </c>
      <c r="AA722">
        <v>1</v>
      </c>
      <c r="AB722" s="1" t="s">
        <v>48</v>
      </c>
      <c r="AC722" t="s">
        <v>46</v>
      </c>
      <c r="AD722" t="s">
        <v>53</v>
      </c>
      <c r="AE722" s="2">
        <v>426.4</v>
      </c>
    </row>
    <row r="723" spans="1:31" x14ac:dyDescent="0.35">
      <c r="A723">
        <v>50</v>
      </c>
      <c r="B723" s="1" t="s">
        <v>39</v>
      </c>
      <c r="C723" s="1" t="s">
        <v>40</v>
      </c>
      <c r="D723">
        <v>24</v>
      </c>
      <c r="E723">
        <v>3</v>
      </c>
      <c r="F723" s="1" t="s">
        <v>32</v>
      </c>
      <c r="G723">
        <v>4</v>
      </c>
      <c r="H723" s="1" t="s">
        <v>41</v>
      </c>
      <c r="I723">
        <v>3</v>
      </c>
      <c r="J723">
        <v>4</v>
      </c>
      <c r="K723" s="1" t="s">
        <v>51</v>
      </c>
      <c r="L723">
        <v>3</v>
      </c>
      <c r="M723" s="1" t="s">
        <v>43</v>
      </c>
      <c r="N723">
        <v>13973</v>
      </c>
      <c r="O723">
        <v>3</v>
      </c>
      <c r="P723" s="1" t="s">
        <v>30</v>
      </c>
      <c r="Q723">
        <v>18</v>
      </c>
      <c r="R723">
        <v>4</v>
      </c>
      <c r="S723">
        <v>1</v>
      </c>
      <c r="T723">
        <v>22</v>
      </c>
      <c r="U723">
        <v>2</v>
      </c>
      <c r="V723">
        <v>3</v>
      </c>
      <c r="W723">
        <v>12</v>
      </c>
      <c r="X723">
        <v>11</v>
      </c>
      <c r="Y723">
        <v>1</v>
      </c>
      <c r="Z723">
        <v>5</v>
      </c>
      <c r="AA723">
        <v>0</v>
      </c>
      <c r="AB723" s="1" t="s">
        <v>82</v>
      </c>
      <c r="AC723" t="s">
        <v>56</v>
      </c>
      <c r="AD723" t="s">
        <v>57</v>
      </c>
      <c r="AE723" s="2">
        <v>1164.4166666666667</v>
      </c>
    </row>
    <row r="724" spans="1:31" x14ac:dyDescent="0.35">
      <c r="A724">
        <v>38</v>
      </c>
      <c r="B724" s="1" t="s">
        <v>39</v>
      </c>
      <c r="C724" s="1" t="s">
        <v>40</v>
      </c>
      <c r="D724">
        <v>10</v>
      </c>
      <c r="E724">
        <v>1</v>
      </c>
      <c r="F724" s="1" t="s">
        <v>49</v>
      </c>
      <c r="G724">
        <v>3</v>
      </c>
      <c r="H724" s="1" t="s">
        <v>41</v>
      </c>
      <c r="I724">
        <v>3</v>
      </c>
      <c r="J724">
        <v>1</v>
      </c>
      <c r="K724" s="1" t="s">
        <v>42</v>
      </c>
      <c r="L724">
        <v>3</v>
      </c>
      <c r="M724" s="1" t="s">
        <v>43</v>
      </c>
      <c r="N724">
        <v>2684</v>
      </c>
      <c r="O724">
        <v>0</v>
      </c>
      <c r="P724" s="1" t="s">
        <v>39</v>
      </c>
      <c r="Q724">
        <v>17</v>
      </c>
      <c r="R724">
        <v>2</v>
      </c>
      <c r="S724">
        <v>1</v>
      </c>
      <c r="T724">
        <v>3</v>
      </c>
      <c r="U724">
        <v>0</v>
      </c>
      <c r="V724">
        <v>2</v>
      </c>
      <c r="W724">
        <v>2</v>
      </c>
      <c r="X724">
        <v>1</v>
      </c>
      <c r="Y724">
        <v>0</v>
      </c>
      <c r="Z724">
        <v>2</v>
      </c>
      <c r="AA724">
        <v>0</v>
      </c>
      <c r="AB724" s="1" t="s">
        <v>36</v>
      </c>
      <c r="AC724" t="s">
        <v>46</v>
      </c>
      <c r="AD724" t="s">
        <v>47</v>
      </c>
      <c r="AE724" s="2">
        <v>1342</v>
      </c>
    </row>
    <row r="725" spans="1:31" x14ac:dyDescent="0.35">
      <c r="A725">
        <v>46</v>
      </c>
      <c r="B725" s="1" t="s">
        <v>39</v>
      </c>
      <c r="C725" s="1" t="s">
        <v>40</v>
      </c>
      <c r="D725">
        <v>7</v>
      </c>
      <c r="E725">
        <v>2</v>
      </c>
      <c r="F725" s="1" t="s">
        <v>49</v>
      </c>
      <c r="G725">
        <v>4</v>
      </c>
      <c r="H725" s="1" t="s">
        <v>41</v>
      </c>
      <c r="I725">
        <v>3</v>
      </c>
      <c r="J725">
        <v>3</v>
      </c>
      <c r="K725" s="1" t="s">
        <v>51</v>
      </c>
      <c r="L725">
        <v>3</v>
      </c>
      <c r="M725" s="1" t="s">
        <v>50</v>
      </c>
      <c r="N725">
        <v>10845</v>
      </c>
      <c r="O725">
        <v>6</v>
      </c>
      <c r="P725" s="1" t="s">
        <v>39</v>
      </c>
      <c r="Q725">
        <v>13</v>
      </c>
      <c r="R725">
        <v>2</v>
      </c>
      <c r="S725">
        <v>1</v>
      </c>
      <c r="T725">
        <v>13</v>
      </c>
      <c r="U725">
        <v>3</v>
      </c>
      <c r="V725">
        <v>3</v>
      </c>
      <c r="W725">
        <v>8</v>
      </c>
      <c r="X725">
        <v>7</v>
      </c>
      <c r="Y725">
        <v>0</v>
      </c>
      <c r="Z725">
        <v>7</v>
      </c>
      <c r="AA725">
        <v>0</v>
      </c>
      <c r="AB725" s="1" t="s">
        <v>82</v>
      </c>
      <c r="AC725" t="s">
        <v>56</v>
      </c>
      <c r="AD725" t="s">
        <v>38</v>
      </c>
      <c r="AE725" s="2">
        <v>1355.625</v>
      </c>
    </row>
    <row r="726" spans="1:31" x14ac:dyDescent="0.35">
      <c r="A726">
        <v>24</v>
      </c>
      <c r="B726" s="1" t="s">
        <v>39</v>
      </c>
      <c r="C726" s="1" t="s">
        <v>40</v>
      </c>
      <c r="D726">
        <v>17</v>
      </c>
      <c r="E726">
        <v>1</v>
      </c>
      <c r="F726" s="1" t="s">
        <v>49</v>
      </c>
      <c r="G726">
        <v>4</v>
      </c>
      <c r="H726" s="1" t="s">
        <v>33</v>
      </c>
      <c r="I726">
        <v>2</v>
      </c>
      <c r="J726">
        <v>2</v>
      </c>
      <c r="K726" s="1" t="s">
        <v>51</v>
      </c>
      <c r="L726">
        <v>3</v>
      </c>
      <c r="M726" s="1" t="s">
        <v>50</v>
      </c>
      <c r="N726">
        <v>4377</v>
      </c>
      <c r="O726">
        <v>1</v>
      </c>
      <c r="P726" s="1" t="s">
        <v>39</v>
      </c>
      <c r="Q726">
        <v>15</v>
      </c>
      <c r="R726">
        <v>2</v>
      </c>
      <c r="S726">
        <v>2</v>
      </c>
      <c r="T726">
        <v>5</v>
      </c>
      <c r="U726">
        <v>6</v>
      </c>
      <c r="V726">
        <v>3</v>
      </c>
      <c r="W726">
        <v>4</v>
      </c>
      <c r="X726">
        <v>2</v>
      </c>
      <c r="Y726">
        <v>3</v>
      </c>
      <c r="Z726">
        <v>2</v>
      </c>
      <c r="AA726">
        <v>0</v>
      </c>
      <c r="AB726" s="1" t="s">
        <v>54</v>
      </c>
      <c r="AC726" t="s">
        <v>37</v>
      </c>
      <c r="AD726" t="s">
        <v>53</v>
      </c>
      <c r="AE726" s="2">
        <v>1094.25</v>
      </c>
    </row>
    <row r="727" spans="1:31" x14ac:dyDescent="0.35">
      <c r="A727">
        <v>35</v>
      </c>
      <c r="B727" s="1" t="s">
        <v>30</v>
      </c>
      <c r="C727" s="1" t="s">
        <v>40</v>
      </c>
      <c r="D727">
        <v>14</v>
      </c>
      <c r="E727">
        <v>4</v>
      </c>
      <c r="F727" s="1" t="s">
        <v>44</v>
      </c>
      <c r="G727">
        <v>3</v>
      </c>
      <c r="H727" s="1" t="s">
        <v>41</v>
      </c>
      <c r="I727">
        <v>2</v>
      </c>
      <c r="J727">
        <v>1</v>
      </c>
      <c r="K727" s="1" t="s">
        <v>45</v>
      </c>
      <c r="L727">
        <v>2</v>
      </c>
      <c r="M727" s="1" t="s">
        <v>50</v>
      </c>
      <c r="N727">
        <v>3743</v>
      </c>
      <c r="O727">
        <v>1</v>
      </c>
      <c r="P727" s="1" t="s">
        <v>30</v>
      </c>
      <c r="Q727">
        <v>24</v>
      </c>
      <c r="R727">
        <v>4</v>
      </c>
      <c r="S727">
        <v>1</v>
      </c>
      <c r="T727">
        <v>5</v>
      </c>
      <c r="U727">
        <v>2</v>
      </c>
      <c r="V727">
        <v>1</v>
      </c>
      <c r="W727">
        <v>4</v>
      </c>
      <c r="X727">
        <v>2</v>
      </c>
      <c r="Y727">
        <v>0</v>
      </c>
      <c r="Z727">
        <v>2</v>
      </c>
      <c r="AA727">
        <v>1</v>
      </c>
      <c r="AB727" s="1" t="s">
        <v>48</v>
      </c>
      <c r="AC727" t="s">
        <v>46</v>
      </c>
      <c r="AD727" t="s">
        <v>53</v>
      </c>
      <c r="AE727" s="2">
        <v>935.75</v>
      </c>
    </row>
    <row r="728" spans="1:31" x14ac:dyDescent="0.35">
      <c r="A728">
        <v>31</v>
      </c>
      <c r="B728" s="1" t="s">
        <v>39</v>
      </c>
      <c r="C728" s="1" t="s">
        <v>40</v>
      </c>
      <c r="D728">
        <v>1</v>
      </c>
      <c r="E728">
        <v>1</v>
      </c>
      <c r="F728" s="1" t="s">
        <v>32</v>
      </c>
      <c r="G728">
        <v>3</v>
      </c>
      <c r="H728" s="1" t="s">
        <v>33</v>
      </c>
      <c r="I728">
        <v>3</v>
      </c>
      <c r="J728">
        <v>2</v>
      </c>
      <c r="K728" s="1" t="s">
        <v>51</v>
      </c>
      <c r="L728">
        <v>1</v>
      </c>
      <c r="M728" s="1" t="s">
        <v>43</v>
      </c>
      <c r="N728">
        <v>4148</v>
      </c>
      <c r="O728">
        <v>1</v>
      </c>
      <c r="P728" s="1" t="s">
        <v>39</v>
      </c>
      <c r="Q728">
        <v>12</v>
      </c>
      <c r="R728">
        <v>3</v>
      </c>
      <c r="S728">
        <v>1</v>
      </c>
      <c r="T728">
        <v>4</v>
      </c>
      <c r="U728">
        <v>1</v>
      </c>
      <c r="V728">
        <v>3</v>
      </c>
      <c r="W728">
        <v>4</v>
      </c>
      <c r="X728">
        <v>3</v>
      </c>
      <c r="Y728">
        <v>0</v>
      </c>
      <c r="Z728">
        <v>3</v>
      </c>
      <c r="AA728">
        <v>0</v>
      </c>
      <c r="AB728" s="1" t="s">
        <v>48</v>
      </c>
      <c r="AC728" t="s">
        <v>37</v>
      </c>
      <c r="AD728" t="s">
        <v>53</v>
      </c>
      <c r="AE728" s="2">
        <v>1037</v>
      </c>
    </row>
    <row r="729" spans="1:31" x14ac:dyDescent="0.35">
      <c r="A729">
        <v>18</v>
      </c>
      <c r="B729" s="1" t="s">
        <v>39</v>
      </c>
      <c r="C729" s="1" t="s">
        <v>40</v>
      </c>
      <c r="D729">
        <v>5</v>
      </c>
      <c r="E729">
        <v>2</v>
      </c>
      <c r="F729" s="1" t="s">
        <v>32</v>
      </c>
      <c r="G729">
        <v>2</v>
      </c>
      <c r="H729" s="1" t="s">
        <v>41</v>
      </c>
      <c r="I729">
        <v>3</v>
      </c>
      <c r="J729">
        <v>1</v>
      </c>
      <c r="K729" s="1" t="s">
        <v>42</v>
      </c>
      <c r="L729">
        <v>4</v>
      </c>
      <c r="M729" s="1" t="s">
        <v>35</v>
      </c>
      <c r="N729">
        <v>1051</v>
      </c>
      <c r="O729">
        <v>1</v>
      </c>
      <c r="P729" s="1" t="s">
        <v>39</v>
      </c>
      <c r="Q729">
        <v>15</v>
      </c>
      <c r="R729">
        <v>4</v>
      </c>
      <c r="S729">
        <v>0</v>
      </c>
      <c r="T729">
        <v>0</v>
      </c>
      <c r="U729">
        <v>2</v>
      </c>
      <c r="V729">
        <v>3</v>
      </c>
      <c r="W729">
        <v>0</v>
      </c>
      <c r="X729">
        <v>0</v>
      </c>
      <c r="Y729">
        <v>0</v>
      </c>
      <c r="Z729">
        <v>0</v>
      </c>
      <c r="AA729">
        <v>0</v>
      </c>
      <c r="AB729" s="1" t="s">
        <v>54</v>
      </c>
      <c r="AC729" t="s">
        <v>46</v>
      </c>
      <c r="AD729" t="s">
        <v>47</v>
      </c>
      <c r="AE729" s="2">
        <v>1051</v>
      </c>
    </row>
    <row r="730" spans="1:31" x14ac:dyDescent="0.35">
      <c r="A730">
        <v>54</v>
      </c>
      <c r="B730" s="1" t="s">
        <v>39</v>
      </c>
      <c r="C730" s="1" t="s">
        <v>40</v>
      </c>
      <c r="D730">
        <v>17</v>
      </c>
      <c r="E730">
        <v>3</v>
      </c>
      <c r="F730" s="1" t="s">
        <v>61</v>
      </c>
      <c r="G730">
        <v>3</v>
      </c>
      <c r="H730" s="1" t="s">
        <v>33</v>
      </c>
      <c r="I730">
        <v>3</v>
      </c>
      <c r="J730">
        <v>3</v>
      </c>
      <c r="K730" s="1" t="s">
        <v>51</v>
      </c>
      <c r="L730">
        <v>3</v>
      </c>
      <c r="M730" s="1" t="s">
        <v>43</v>
      </c>
      <c r="N730">
        <v>10739</v>
      </c>
      <c r="O730">
        <v>8</v>
      </c>
      <c r="P730" s="1" t="s">
        <v>39</v>
      </c>
      <c r="Q730">
        <v>11</v>
      </c>
      <c r="R730">
        <v>3</v>
      </c>
      <c r="S730">
        <v>1</v>
      </c>
      <c r="T730">
        <v>22</v>
      </c>
      <c r="U730">
        <v>2</v>
      </c>
      <c r="V730">
        <v>3</v>
      </c>
      <c r="W730">
        <v>10</v>
      </c>
      <c r="X730">
        <v>7</v>
      </c>
      <c r="Y730">
        <v>0</v>
      </c>
      <c r="Z730">
        <v>8</v>
      </c>
      <c r="AA730">
        <v>0</v>
      </c>
      <c r="AB730" s="1" t="s">
        <v>82</v>
      </c>
      <c r="AC730" t="s">
        <v>56</v>
      </c>
      <c r="AD730" t="s">
        <v>38</v>
      </c>
      <c r="AE730" s="2">
        <v>1073.9000000000001</v>
      </c>
    </row>
    <row r="731" spans="1:31" x14ac:dyDescent="0.35">
      <c r="A731">
        <v>35</v>
      </c>
      <c r="B731" s="1" t="s">
        <v>39</v>
      </c>
      <c r="C731" s="1" t="s">
        <v>40</v>
      </c>
      <c r="D731">
        <v>25</v>
      </c>
      <c r="E731">
        <v>4</v>
      </c>
      <c r="F731" s="1" t="s">
        <v>49</v>
      </c>
      <c r="G731">
        <v>3</v>
      </c>
      <c r="H731" s="1" t="s">
        <v>33</v>
      </c>
      <c r="I731">
        <v>3</v>
      </c>
      <c r="J731">
        <v>3</v>
      </c>
      <c r="K731" s="1" t="s">
        <v>52</v>
      </c>
      <c r="L731">
        <v>3</v>
      </c>
      <c r="M731" s="1" t="s">
        <v>50</v>
      </c>
      <c r="N731">
        <v>10388</v>
      </c>
      <c r="O731">
        <v>1</v>
      </c>
      <c r="P731" s="1" t="s">
        <v>30</v>
      </c>
      <c r="Q731">
        <v>11</v>
      </c>
      <c r="R731">
        <v>3</v>
      </c>
      <c r="S731">
        <v>1</v>
      </c>
      <c r="T731">
        <v>16</v>
      </c>
      <c r="U731">
        <v>3</v>
      </c>
      <c r="V731">
        <v>2</v>
      </c>
      <c r="W731">
        <v>16</v>
      </c>
      <c r="X731">
        <v>10</v>
      </c>
      <c r="Y731">
        <v>10</v>
      </c>
      <c r="Z731">
        <v>1</v>
      </c>
      <c r="AA731">
        <v>0</v>
      </c>
      <c r="AB731" s="1" t="s">
        <v>48</v>
      </c>
      <c r="AC731" t="s">
        <v>56</v>
      </c>
      <c r="AD731" t="s">
        <v>57</v>
      </c>
      <c r="AE731" s="2">
        <v>649.25</v>
      </c>
    </row>
    <row r="732" spans="1:31" x14ac:dyDescent="0.35">
      <c r="A732">
        <v>30</v>
      </c>
      <c r="B732" s="1" t="s">
        <v>39</v>
      </c>
      <c r="C732" s="1" t="s">
        <v>40</v>
      </c>
      <c r="D732">
        <v>8</v>
      </c>
      <c r="E732">
        <v>2</v>
      </c>
      <c r="F732" s="1" t="s">
        <v>32</v>
      </c>
      <c r="G732">
        <v>2</v>
      </c>
      <c r="H732" s="1" t="s">
        <v>33</v>
      </c>
      <c r="I732">
        <v>4</v>
      </c>
      <c r="J732">
        <v>3</v>
      </c>
      <c r="K732" s="1" t="s">
        <v>59</v>
      </c>
      <c r="L732">
        <v>1</v>
      </c>
      <c r="M732" s="1" t="s">
        <v>43</v>
      </c>
      <c r="N732">
        <v>11416</v>
      </c>
      <c r="O732">
        <v>0</v>
      </c>
      <c r="P732" s="1" t="s">
        <v>30</v>
      </c>
      <c r="Q732">
        <v>12</v>
      </c>
      <c r="R732">
        <v>3</v>
      </c>
      <c r="S732">
        <v>3</v>
      </c>
      <c r="T732">
        <v>9</v>
      </c>
      <c r="U732">
        <v>4</v>
      </c>
      <c r="V732">
        <v>2</v>
      </c>
      <c r="W732">
        <v>8</v>
      </c>
      <c r="X732">
        <v>7</v>
      </c>
      <c r="Y732">
        <v>1</v>
      </c>
      <c r="Z732">
        <v>7</v>
      </c>
      <c r="AA732">
        <v>0</v>
      </c>
      <c r="AB732" s="1" t="s">
        <v>48</v>
      </c>
      <c r="AC732" t="s">
        <v>56</v>
      </c>
      <c r="AD732" t="s">
        <v>38</v>
      </c>
      <c r="AE732" s="2">
        <v>1427</v>
      </c>
    </row>
    <row r="733" spans="1:31" x14ac:dyDescent="0.35">
      <c r="A733">
        <v>20</v>
      </c>
      <c r="B733" s="1" t="s">
        <v>30</v>
      </c>
      <c r="C733" s="1" t="s">
        <v>40</v>
      </c>
      <c r="D733">
        <v>11</v>
      </c>
      <c r="E733">
        <v>3</v>
      </c>
      <c r="F733" s="1" t="s">
        <v>49</v>
      </c>
      <c r="G733">
        <v>4</v>
      </c>
      <c r="H733" s="1" t="s">
        <v>33</v>
      </c>
      <c r="I733">
        <v>2</v>
      </c>
      <c r="J733">
        <v>1</v>
      </c>
      <c r="K733" s="1" t="s">
        <v>42</v>
      </c>
      <c r="L733">
        <v>1</v>
      </c>
      <c r="M733" s="1" t="s">
        <v>35</v>
      </c>
      <c r="N733">
        <v>2600</v>
      </c>
      <c r="O733">
        <v>1</v>
      </c>
      <c r="P733" s="1" t="s">
        <v>30</v>
      </c>
      <c r="Q733">
        <v>15</v>
      </c>
      <c r="R733">
        <v>1</v>
      </c>
      <c r="S733">
        <v>0</v>
      </c>
      <c r="T733">
        <v>1</v>
      </c>
      <c r="U733">
        <v>2</v>
      </c>
      <c r="V733">
        <v>3</v>
      </c>
      <c r="W733">
        <v>1</v>
      </c>
      <c r="X733">
        <v>0</v>
      </c>
      <c r="Y733">
        <v>0</v>
      </c>
      <c r="Z733">
        <v>0</v>
      </c>
      <c r="AA733">
        <v>1</v>
      </c>
      <c r="AB733" s="1" t="s">
        <v>54</v>
      </c>
      <c r="AC733" t="s">
        <v>46</v>
      </c>
      <c r="AD733" t="s">
        <v>47</v>
      </c>
      <c r="AE733" s="2">
        <v>2600</v>
      </c>
    </row>
    <row r="734" spans="1:31" x14ac:dyDescent="0.35">
      <c r="A734">
        <v>30</v>
      </c>
      <c r="B734" s="1" t="s">
        <v>30</v>
      </c>
      <c r="C734" s="1" t="s">
        <v>40</v>
      </c>
      <c r="D734">
        <v>5</v>
      </c>
      <c r="E734">
        <v>3</v>
      </c>
      <c r="F734" s="1" t="s">
        <v>49</v>
      </c>
      <c r="G734">
        <v>2</v>
      </c>
      <c r="H734" s="1" t="s">
        <v>33</v>
      </c>
      <c r="I734">
        <v>3</v>
      </c>
      <c r="J734">
        <v>1</v>
      </c>
      <c r="K734" s="1" t="s">
        <v>45</v>
      </c>
      <c r="L734">
        <v>2</v>
      </c>
      <c r="M734" s="1" t="s">
        <v>35</v>
      </c>
      <c r="N734">
        <v>2422</v>
      </c>
      <c r="O734">
        <v>0</v>
      </c>
      <c r="P734" s="1" t="s">
        <v>39</v>
      </c>
      <c r="Q734">
        <v>17</v>
      </c>
      <c r="R734">
        <v>1</v>
      </c>
      <c r="S734">
        <v>0</v>
      </c>
      <c r="T734">
        <v>4</v>
      </c>
      <c r="U734">
        <v>3</v>
      </c>
      <c r="V734">
        <v>3</v>
      </c>
      <c r="W734">
        <v>3</v>
      </c>
      <c r="X734">
        <v>2</v>
      </c>
      <c r="Y734">
        <v>1</v>
      </c>
      <c r="Z734">
        <v>2</v>
      </c>
      <c r="AA734">
        <v>1</v>
      </c>
      <c r="AB734" s="1" t="s">
        <v>48</v>
      </c>
      <c r="AC734" t="s">
        <v>46</v>
      </c>
      <c r="AD734" t="s">
        <v>53</v>
      </c>
      <c r="AE734" s="2">
        <v>807.33333333333337</v>
      </c>
    </row>
    <row r="735" spans="1:31" x14ac:dyDescent="0.35">
      <c r="A735">
        <v>26</v>
      </c>
      <c r="B735" s="1" t="s">
        <v>39</v>
      </c>
      <c r="C735" s="1" t="s">
        <v>40</v>
      </c>
      <c r="D735">
        <v>2</v>
      </c>
      <c r="E735">
        <v>2</v>
      </c>
      <c r="F735" s="1" t="s">
        <v>49</v>
      </c>
      <c r="G735">
        <v>4</v>
      </c>
      <c r="H735" s="1" t="s">
        <v>41</v>
      </c>
      <c r="I735">
        <v>4</v>
      </c>
      <c r="J735">
        <v>2</v>
      </c>
      <c r="K735" s="1" t="s">
        <v>51</v>
      </c>
      <c r="L735">
        <v>4</v>
      </c>
      <c r="M735" s="1" t="s">
        <v>43</v>
      </c>
      <c r="N735">
        <v>5472</v>
      </c>
      <c r="O735">
        <v>1</v>
      </c>
      <c r="P735" s="1" t="s">
        <v>39</v>
      </c>
      <c r="Q735">
        <v>12</v>
      </c>
      <c r="R735">
        <v>2</v>
      </c>
      <c r="S735">
        <v>0</v>
      </c>
      <c r="T735">
        <v>8</v>
      </c>
      <c r="U735">
        <v>2</v>
      </c>
      <c r="V735">
        <v>3</v>
      </c>
      <c r="W735">
        <v>8</v>
      </c>
      <c r="X735">
        <v>7</v>
      </c>
      <c r="Y735">
        <v>1</v>
      </c>
      <c r="Z735">
        <v>3</v>
      </c>
      <c r="AA735">
        <v>0</v>
      </c>
      <c r="AB735" s="1" t="s">
        <v>48</v>
      </c>
      <c r="AC735" t="s">
        <v>37</v>
      </c>
      <c r="AD735" t="s">
        <v>38</v>
      </c>
      <c r="AE735" s="2">
        <v>684</v>
      </c>
    </row>
    <row r="736" spans="1:31" x14ac:dyDescent="0.35">
      <c r="A736">
        <v>22</v>
      </c>
      <c r="B736" s="1" t="s">
        <v>39</v>
      </c>
      <c r="C736" s="1" t="s">
        <v>40</v>
      </c>
      <c r="D736">
        <v>8</v>
      </c>
      <c r="E736">
        <v>1</v>
      </c>
      <c r="F736" s="1" t="s">
        <v>32</v>
      </c>
      <c r="G736">
        <v>2</v>
      </c>
      <c r="H736" s="1" t="s">
        <v>41</v>
      </c>
      <c r="I736">
        <v>1</v>
      </c>
      <c r="J736">
        <v>1</v>
      </c>
      <c r="K736" s="1" t="s">
        <v>45</v>
      </c>
      <c r="L736">
        <v>1</v>
      </c>
      <c r="M736" s="1" t="s">
        <v>43</v>
      </c>
      <c r="N736">
        <v>2451</v>
      </c>
      <c r="O736">
        <v>1</v>
      </c>
      <c r="P736" s="1" t="s">
        <v>39</v>
      </c>
      <c r="Q736">
        <v>15</v>
      </c>
      <c r="R736">
        <v>1</v>
      </c>
      <c r="S736">
        <v>1</v>
      </c>
      <c r="T736">
        <v>4</v>
      </c>
      <c r="U736">
        <v>3</v>
      </c>
      <c r="V736">
        <v>2</v>
      </c>
      <c r="W736">
        <v>4</v>
      </c>
      <c r="X736">
        <v>3</v>
      </c>
      <c r="Y736">
        <v>1</v>
      </c>
      <c r="Z736">
        <v>1</v>
      </c>
      <c r="AA736">
        <v>0</v>
      </c>
      <c r="AB736" s="1" t="s">
        <v>54</v>
      </c>
      <c r="AC736" t="s">
        <v>46</v>
      </c>
      <c r="AD736" t="s">
        <v>53</v>
      </c>
      <c r="AE736" s="2">
        <v>612.75</v>
      </c>
    </row>
    <row r="737" spans="1:31" x14ac:dyDescent="0.35">
      <c r="A737">
        <v>48</v>
      </c>
      <c r="B737" s="1" t="s">
        <v>39</v>
      </c>
      <c r="C737" s="1" t="s">
        <v>40</v>
      </c>
      <c r="D737">
        <v>6</v>
      </c>
      <c r="E737">
        <v>3</v>
      </c>
      <c r="F737" s="1" t="s">
        <v>32</v>
      </c>
      <c r="G737">
        <v>1</v>
      </c>
      <c r="H737" s="1" t="s">
        <v>41</v>
      </c>
      <c r="I737">
        <v>2</v>
      </c>
      <c r="J737">
        <v>2</v>
      </c>
      <c r="K737" s="1" t="s">
        <v>52</v>
      </c>
      <c r="L737">
        <v>3</v>
      </c>
      <c r="M737" s="1" t="s">
        <v>35</v>
      </c>
      <c r="N737">
        <v>4240</v>
      </c>
      <c r="O737">
        <v>2</v>
      </c>
      <c r="P737" s="1" t="s">
        <v>39</v>
      </c>
      <c r="Q737">
        <v>13</v>
      </c>
      <c r="R737">
        <v>4</v>
      </c>
      <c r="S737">
        <v>0</v>
      </c>
      <c r="T737">
        <v>19</v>
      </c>
      <c r="U737">
        <v>0</v>
      </c>
      <c r="V737">
        <v>3</v>
      </c>
      <c r="W737">
        <v>2</v>
      </c>
      <c r="X737">
        <v>2</v>
      </c>
      <c r="Y737">
        <v>2</v>
      </c>
      <c r="Z737">
        <v>2</v>
      </c>
      <c r="AA737">
        <v>0</v>
      </c>
      <c r="AB737" s="1" t="s">
        <v>82</v>
      </c>
      <c r="AC737" t="s">
        <v>37</v>
      </c>
      <c r="AD737" t="s">
        <v>47</v>
      </c>
      <c r="AE737" s="2">
        <v>2120</v>
      </c>
    </row>
    <row r="738" spans="1:31" x14ac:dyDescent="0.35">
      <c r="A738">
        <v>48</v>
      </c>
      <c r="B738" s="1" t="s">
        <v>39</v>
      </c>
      <c r="C738" s="1" t="s">
        <v>40</v>
      </c>
      <c r="D738">
        <v>4</v>
      </c>
      <c r="E738">
        <v>4</v>
      </c>
      <c r="F738" s="1" t="s">
        <v>32</v>
      </c>
      <c r="G738">
        <v>3</v>
      </c>
      <c r="H738" s="1" t="s">
        <v>41</v>
      </c>
      <c r="I738">
        <v>2</v>
      </c>
      <c r="J738">
        <v>3</v>
      </c>
      <c r="K738" s="1" t="s">
        <v>52</v>
      </c>
      <c r="L738">
        <v>3</v>
      </c>
      <c r="M738" s="1" t="s">
        <v>35</v>
      </c>
      <c r="N738">
        <v>10999</v>
      </c>
      <c r="O738">
        <v>7</v>
      </c>
      <c r="P738" s="1" t="s">
        <v>39</v>
      </c>
      <c r="Q738">
        <v>14</v>
      </c>
      <c r="R738">
        <v>2</v>
      </c>
      <c r="S738">
        <v>0</v>
      </c>
      <c r="T738">
        <v>27</v>
      </c>
      <c r="U738">
        <v>3</v>
      </c>
      <c r="V738">
        <v>3</v>
      </c>
      <c r="W738">
        <v>15</v>
      </c>
      <c r="X738">
        <v>11</v>
      </c>
      <c r="Y738">
        <v>4</v>
      </c>
      <c r="Z738">
        <v>8</v>
      </c>
      <c r="AA738">
        <v>0</v>
      </c>
      <c r="AB738" s="1" t="s">
        <v>82</v>
      </c>
      <c r="AC738" t="s">
        <v>56</v>
      </c>
      <c r="AD738" t="s">
        <v>57</v>
      </c>
      <c r="AE738" s="2">
        <v>733.26666666666665</v>
      </c>
    </row>
    <row r="739" spans="1:31" x14ac:dyDescent="0.35">
      <c r="A739">
        <v>41</v>
      </c>
      <c r="B739" s="1" t="s">
        <v>39</v>
      </c>
      <c r="C739" s="1" t="s">
        <v>40</v>
      </c>
      <c r="D739">
        <v>7</v>
      </c>
      <c r="E739">
        <v>2</v>
      </c>
      <c r="F739" s="1" t="s">
        <v>49</v>
      </c>
      <c r="G739">
        <v>4</v>
      </c>
      <c r="H739" s="1" t="s">
        <v>33</v>
      </c>
      <c r="I739">
        <v>3</v>
      </c>
      <c r="J739">
        <v>2</v>
      </c>
      <c r="K739" s="1" t="s">
        <v>51</v>
      </c>
      <c r="L739">
        <v>3</v>
      </c>
      <c r="M739" s="1" t="s">
        <v>35</v>
      </c>
      <c r="N739">
        <v>5003</v>
      </c>
      <c r="O739">
        <v>6</v>
      </c>
      <c r="P739" s="1" t="s">
        <v>39</v>
      </c>
      <c r="Q739">
        <v>14</v>
      </c>
      <c r="R739">
        <v>2</v>
      </c>
      <c r="S739">
        <v>0</v>
      </c>
      <c r="T739">
        <v>8</v>
      </c>
      <c r="U739">
        <v>6</v>
      </c>
      <c r="V739">
        <v>3</v>
      </c>
      <c r="W739">
        <v>2</v>
      </c>
      <c r="X739">
        <v>2</v>
      </c>
      <c r="Y739">
        <v>2</v>
      </c>
      <c r="Z739">
        <v>1</v>
      </c>
      <c r="AA739">
        <v>0</v>
      </c>
      <c r="AB739" s="1" t="s">
        <v>36</v>
      </c>
      <c r="AC739" t="s">
        <v>37</v>
      </c>
      <c r="AD739" t="s">
        <v>47</v>
      </c>
      <c r="AE739" s="2">
        <v>2501.5</v>
      </c>
    </row>
    <row r="740" spans="1:31" x14ac:dyDescent="0.35">
      <c r="A740">
        <v>39</v>
      </c>
      <c r="B740" s="1" t="s">
        <v>39</v>
      </c>
      <c r="C740" s="1" t="s">
        <v>40</v>
      </c>
      <c r="D740">
        <v>1</v>
      </c>
      <c r="E740">
        <v>1</v>
      </c>
      <c r="F740" s="1" t="s">
        <v>32</v>
      </c>
      <c r="G740">
        <v>4</v>
      </c>
      <c r="H740" s="1" t="s">
        <v>33</v>
      </c>
      <c r="I740">
        <v>2</v>
      </c>
      <c r="J740">
        <v>4</v>
      </c>
      <c r="K740" s="1" t="s">
        <v>51</v>
      </c>
      <c r="L740">
        <v>4</v>
      </c>
      <c r="M740" s="1" t="s">
        <v>43</v>
      </c>
      <c r="N740">
        <v>12742</v>
      </c>
      <c r="O740">
        <v>1</v>
      </c>
      <c r="P740" s="1" t="s">
        <v>39</v>
      </c>
      <c r="Q740">
        <v>16</v>
      </c>
      <c r="R740">
        <v>3</v>
      </c>
      <c r="S740">
        <v>1</v>
      </c>
      <c r="T740">
        <v>21</v>
      </c>
      <c r="U740">
        <v>3</v>
      </c>
      <c r="V740">
        <v>3</v>
      </c>
      <c r="W740">
        <v>21</v>
      </c>
      <c r="X740">
        <v>6</v>
      </c>
      <c r="Y740">
        <v>11</v>
      </c>
      <c r="Z740">
        <v>8</v>
      </c>
      <c r="AA740">
        <v>0</v>
      </c>
      <c r="AB740" s="1" t="s">
        <v>36</v>
      </c>
      <c r="AC740" t="s">
        <v>56</v>
      </c>
      <c r="AD740" t="s">
        <v>57</v>
      </c>
      <c r="AE740" s="2">
        <v>606.76190476190482</v>
      </c>
    </row>
    <row r="741" spans="1:31" x14ac:dyDescent="0.35">
      <c r="A741">
        <v>27</v>
      </c>
      <c r="B741" s="1" t="s">
        <v>39</v>
      </c>
      <c r="C741" s="1" t="s">
        <v>40</v>
      </c>
      <c r="D741">
        <v>2</v>
      </c>
      <c r="E741">
        <v>4</v>
      </c>
      <c r="F741" s="1" t="s">
        <v>32</v>
      </c>
      <c r="G741">
        <v>1</v>
      </c>
      <c r="H741" s="1" t="s">
        <v>33</v>
      </c>
      <c r="I741">
        <v>3</v>
      </c>
      <c r="J741">
        <v>2</v>
      </c>
      <c r="K741" s="1" t="s">
        <v>51</v>
      </c>
      <c r="L741">
        <v>4</v>
      </c>
      <c r="M741" s="1" t="s">
        <v>43</v>
      </c>
      <c r="N741">
        <v>4227</v>
      </c>
      <c r="O741">
        <v>0</v>
      </c>
      <c r="P741" s="1" t="s">
        <v>39</v>
      </c>
      <c r="Q741">
        <v>18</v>
      </c>
      <c r="R741">
        <v>2</v>
      </c>
      <c r="S741">
        <v>1</v>
      </c>
      <c r="T741">
        <v>4</v>
      </c>
      <c r="U741">
        <v>2</v>
      </c>
      <c r="V741">
        <v>3</v>
      </c>
      <c r="W741">
        <v>3</v>
      </c>
      <c r="X741">
        <v>2</v>
      </c>
      <c r="Y741">
        <v>2</v>
      </c>
      <c r="Z741">
        <v>2</v>
      </c>
      <c r="AA741">
        <v>0</v>
      </c>
      <c r="AB741" s="1" t="s">
        <v>48</v>
      </c>
      <c r="AC741" t="s">
        <v>37</v>
      </c>
      <c r="AD741" t="s">
        <v>53</v>
      </c>
      <c r="AE741" s="2">
        <v>1409</v>
      </c>
    </row>
    <row r="742" spans="1:31" x14ac:dyDescent="0.35">
      <c r="A742">
        <v>35</v>
      </c>
      <c r="B742" s="1" t="s">
        <v>39</v>
      </c>
      <c r="C742" s="1" t="s">
        <v>40</v>
      </c>
      <c r="D742">
        <v>10</v>
      </c>
      <c r="E742">
        <v>3</v>
      </c>
      <c r="F742" s="1" t="s">
        <v>44</v>
      </c>
      <c r="G742">
        <v>2</v>
      </c>
      <c r="H742" s="1" t="s">
        <v>41</v>
      </c>
      <c r="I742">
        <v>3</v>
      </c>
      <c r="J742">
        <v>1</v>
      </c>
      <c r="K742" s="1" t="s">
        <v>45</v>
      </c>
      <c r="L742">
        <v>4</v>
      </c>
      <c r="M742" s="1" t="s">
        <v>50</v>
      </c>
      <c r="N742">
        <v>3917</v>
      </c>
      <c r="O742">
        <v>1</v>
      </c>
      <c r="P742" s="1" t="s">
        <v>39</v>
      </c>
      <c r="Q742">
        <v>20</v>
      </c>
      <c r="R742">
        <v>1</v>
      </c>
      <c r="S742">
        <v>1</v>
      </c>
      <c r="T742">
        <v>3</v>
      </c>
      <c r="U742">
        <v>4</v>
      </c>
      <c r="V742">
        <v>2</v>
      </c>
      <c r="W742">
        <v>3</v>
      </c>
      <c r="X742">
        <v>2</v>
      </c>
      <c r="Y742">
        <v>1</v>
      </c>
      <c r="Z742">
        <v>2</v>
      </c>
      <c r="AA742">
        <v>0</v>
      </c>
      <c r="AB742" s="1" t="s">
        <v>48</v>
      </c>
      <c r="AC742" t="s">
        <v>46</v>
      </c>
      <c r="AD742" t="s">
        <v>53</v>
      </c>
      <c r="AE742" s="2">
        <v>1305.6666666666667</v>
      </c>
    </row>
    <row r="743" spans="1:31" x14ac:dyDescent="0.35">
      <c r="A743">
        <v>42</v>
      </c>
      <c r="B743" s="1" t="s">
        <v>39</v>
      </c>
      <c r="C743" s="1" t="s">
        <v>31</v>
      </c>
      <c r="D743">
        <v>5</v>
      </c>
      <c r="E743">
        <v>2</v>
      </c>
      <c r="F743" s="1" t="s">
        <v>60</v>
      </c>
      <c r="G743">
        <v>4</v>
      </c>
      <c r="H743" s="1" t="s">
        <v>41</v>
      </c>
      <c r="I743">
        <v>3</v>
      </c>
      <c r="J743">
        <v>5</v>
      </c>
      <c r="K743" s="1" t="s">
        <v>55</v>
      </c>
      <c r="L743">
        <v>3</v>
      </c>
      <c r="M743" s="1" t="s">
        <v>43</v>
      </c>
      <c r="N743">
        <v>18303</v>
      </c>
      <c r="O743">
        <v>6</v>
      </c>
      <c r="P743" s="1" t="s">
        <v>39</v>
      </c>
      <c r="Q743">
        <v>13</v>
      </c>
      <c r="R743">
        <v>2</v>
      </c>
      <c r="S743">
        <v>0</v>
      </c>
      <c r="T743">
        <v>21</v>
      </c>
      <c r="U743">
        <v>3</v>
      </c>
      <c r="V743">
        <v>4</v>
      </c>
      <c r="W743">
        <v>1</v>
      </c>
      <c r="X743">
        <v>0</v>
      </c>
      <c r="Y743">
        <v>0</v>
      </c>
      <c r="Z743">
        <v>0</v>
      </c>
      <c r="AA743">
        <v>0</v>
      </c>
      <c r="AB743" s="1" t="s">
        <v>36</v>
      </c>
      <c r="AC743" t="s">
        <v>56</v>
      </c>
      <c r="AD743" t="s">
        <v>47</v>
      </c>
      <c r="AE743" s="2">
        <v>18303</v>
      </c>
    </row>
    <row r="744" spans="1:31" x14ac:dyDescent="0.35">
      <c r="A744">
        <v>50</v>
      </c>
      <c r="B744" s="1" t="s">
        <v>39</v>
      </c>
      <c r="C744" s="1" t="s">
        <v>40</v>
      </c>
      <c r="D744">
        <v>9</v>
      </c>
      <c r="E744">
        <v>3</v>
      </c>
      <c r="F744" s="1" t="s">
        <v>32</v>
      </c>
      <c r="G744">
        <v>1</v>
      </c>
      <c r="H744" s="1" t="s">
        <v>41</v>
      </c>
      <c r="I744">
        <v>3</v>
      </c>
      <c r="J744">
        <v>1</v>
      </c>
      <c r="K744" s="1" t="s">
        <v>45</v>
      </c>
      <c r="L744">
        <v>4</v>
      </c>
      <c r="M744" s="1" t="s">
        <v>43</v>
      </c>
      <c r="N744">
        <v>2380</v>
      </c>
      <c r="O744">
        <v>4</v>
      </c>
      <c r="P744" s="1" t="s">
        <v>39</v>
      </c>
      <c r="Q744">
        <v>18</v>
      </c>
      <c r="R744">
        <v>2</v>
      </c>
      <c r="S744">
        <v>0</v>
      </c>
      <c r="T744">
        <v>8</v>
      </c>
      <c r="U744">
        <v>5</v>
      </c>
      <c r="V744">
        <v>3</v>
      </c>
      <c r="W744">
        <v>1</v>
      </c>
      <c r="X744">
        <v>0</v>
      </c>
      <c r="Y744">
        <v>0</v>
      </c>
      <c r="Z744">
        <v>0</v>
      </c>
      <c r="AA744">
        <v>0</v>
      </c>
      <c r="AB744" s="1" t="s">
        <v>82</v>
      </c>
      <c r="AC744" t="s">
        <v>46</v>
      </c>
      <c r="AD744" t="s">
        <v>47</v>
      </c>
      <c r="AE744" s="2">
        <v>2380</v>
      </c>
    </row>
    <row r="745" spans="1:31" x14ac:dyDescent="0.35">
      <c r="A745">
        <v>59</v>
      </c>
      <c r="B745" s="1" t="s">
        <v>39</v>
      </c>
      <c r="C745" s="1" t="s">
        <v>40</v>
      </c>
      <c r="D745">
        <v>2</v>
      </c>
      <c r="E745">
        <v>3</v>
      </c>
      <c r="F745" s="1" t="s">
        <v>32</v>
      </c>
      <c r="G745">
        <v>3</v>
      </c>
      <c r="H745" s="1" t="s">
        <v>33</v>
      </c>
      <c r="I745">
        <v>2</v>
      </c>
      <c r="J745">
        <v>4</v>
      </c>
      <c r="K745" s="1" t="s">
        <v>51</v>
      </c>
      <c r="L745">
        <v>4</v>
      </c>
      <c r="M745" s="1" t="s">
        <v>35</v>
      </c>
      <c r="N745">
        <v>13726</v>
      </c>
      <c r="O745">
        <v>3</v>
      </c>
      <c r="P745" s="1" t="s">
        <v>30</v>
      </c>
      <c r="Q745">
        <v>13</v>
      </c>
      <c r="R745">
        <v>1</v>
      </c>
      <c r="S745">
        <v>0</v>
      </c>
      <c r="T745">
        <v>30</v>
      </c>
      <c r="U745">
        <v>4</v>
      </c>
      <c r="V745">
        <v>3</v>
      </c>
      <c r="W745">
        <v>5</v>
      </c>
      <c r="X745">
        <v>3</v>
      </c>
      <c r="Y745">
        <v>4</v>
      </c>
      <c r="Z745">
        <v>3</v>
      </c>
      <c r="AA745">
        <v>0</v>
      </c>
      <c r="AB745" s="1" t="s">
        <v>82</v>
      </c>
      <c r="AC745" t="s">
        <v>56</v>
      </c>
      <c r="AD745" t="s">
        <v>53</v>
      </c>
      <c r="AE745" s="2">
        <v>2745.2</v>
      </c>
    </row>
    <row r="746" spans="1:31" x14ac:dyDescent="0.35">
      <c r="A746">
        <v>37</v>
      </c>
      <c r="B746" s="1" t="s">
        <v>30</v>
      </c>
      <c r="C746" s="1" t="s">
        <v>40</v>
      </c>
      <c r="D746">
        <v>11</v>
      </c>
      <c r="E746">
        <v>2</v>
      </c>
      <c r="F746" s="1" t="s">
        <v>49</v>
      </c>
      <c r="G746">
        <v>1</v>
      </c>
      <c r="H746" s="1" t="s">
        <v>33</v>
      </c>
      <c r="I746">
        <v>1</v>
      </c>
      <c r="J746">
        <v>2</v>
      </c>
      <c r="K746" s="1" t="s">
        <v>52</v>
      </c>
      <c r="L746">
        <v>2</v>
      </c>
      <c r="M746" s="1" t="s">
        <v>43</v>
      </c>
      <c r="N746">
        <v>4777</v>
      </c>
      <c r="O746">
        <v>5</v>
      </c>
      <c r="P746" s="1" t="s">
        <v>39</v>
      </c>
      <c r="Q746">
        <v>15</v>
      </c>
      <c r="R746">
        <v>1</v>
      </c>
      <c r="S746">
        <v>0</v>
      </c>
      <c r="T746">
        <v>15</v>
      </c>
      <c r="U746">
        <v>2</v>
      </c>
      <c r="V746">
        <v>1</v>
      </c>
      <c r="W746">
        <v>1</v>
      </c>
      <c r="X746">
        <v>0</v>
      </c>
      <c r="Y746">
        <v>0</v>
      </c>
      <c r="Z746">
        <v>0</v>
      </c>
      <c r="AA746">
        <v>1</v>
      </c>
      <c r="AB746" s="1" t="s">
        <v>36</v>
      </c>
      <c r="AC746" t="s">
        <v>37</v>
      </c>
      <c r="AD746" t="s">
        <v>47</v>
      </c>
      <c r="AE746" s="2">
        <v>4777</v>
      </c>
    </row>
    <row r="747" spans="1:31" x14ac:dyDescent="0.35">
      <c r="A747">
        <v>55</v>
      </c>
      <c r="B747" s="1" t="s">
        <v>39</v>
      </c>
      <c r="C747" s="1" t="s">
        <v>40</v>
      </c>
      <c r="D747">
        <v>18</v>
      </c>
      <c r="E747">
        <v>4</v>
      </c>
      <c r="F747" s="1" t="s">
        <v>49</v>
      </c>
      <c r="G747">
        <v>3</v>
      </c>
      <c r="H747" s="1" t="s">
        <v>41</v>
      </c>
      <c r="I747">
        <v>3</v>
      </c>
      <c r="J747">
        <v>2</v>
      </c>
      <c r="K747" s="1" t="s">
        <v>52</v>
      </c>
      <c r="L747">
        <v>2</v>
      </c>
      <c r="M747" s="1" t="s">
        <v>43</v>
      </c>
      <c r="N747">
        <v>6385</v>
      </c>
      <c r="O747">
        <v>3</v>
      </c>
      <c r="P747" s="1" t="s">
        <v>30</v>
      </c>
      <c r="Q747">
        <v>14</v>
      </c>
      <c r="R747">
        <v>4</v>
      </c>
      <c r="S747">
        <v>2</v>
      </c>
      <c r="T747">
        <v>17</v>
      </c>
      <c r="U747">
        <v>3</v>
      </c>
      <c r="V747">
        <v>3</v>
      </c>
      <c r="W747">
        <v>8</v>
      </c>
      <c r="X747">
        <v>7</v>
      </c>
      <c r="Y747">
        <v>6</v>
      </c>
      <c r="Z747">
        <v>7</v>
      </c>
      <c r="AA747">
        <v>0</v>
      </c>
      <c r="AB747" s="1" t="s">
        <v>82</v>
      </c>
      <c r="AC747" t="s">
        <v>37</v>
      </c>
      <c r="AD747" t="s">
        <v>38</v>
      </c>
      <c r="AE747" s="2">
        <v>798.125</v>
      </c>
    </row>
    <row r="748" spans="1:31" x14ac:dyDescent="0.35">
      <c r="A748">
        <v>41</v>
      </c>
      <c r="B748" s="1" t="s">
        <v>39</v>
      </c>
      <c r="C748" s="1" t="s">
        <v>40</v>
      </c>
      <c r="D748">
        <v>7</v>
      </c>
      <c r="E748">
        <v>1</v>
      </c>
      <c r="F748" s="1" t="s">
        <v>32</v>
      </c>
      <c r="G748">
        <v>2</v>
      </c>
      <c r="H748" s="1" t="s">
        <v>33</v>
      </c>
      <c r="I748">
        <v>1</v>
      </c>
      <c r="J748">
        <v>5</v>
      </c>
      <c r="K748" s="1" t="s">
        <v>59</v>
      </c>
      <c r="L748">
        <v>3</v>
      </c>
      <c r="M748" s="1" t="s">
        <v>50</v>
      </c>
      <c r="N748">
        <v>19973</v>
      </c>
      <c r="O748">
        <v>1</v>
      </c>
      <c r="P748" s="1" t="s">
        <v>39</v>
      </c>
      <c r="Q748">
        <v>22</v>
      </c>
      <c r="R748">
        <v>2</v>
      </c>
      <c r="S748">
        <v>2</v>
      </c>
      <c r="T748">
        <v>21</v>
      </c>
      <c r="U748">
        <v>3</v>
      </c>
      <c r="V748">
        <v>3</v>
      </c>
      <c r="W748">
        <v>21</v>
      </c>
      <c r="X748">
        <v>16</v>
      </c>
      <c r="Y748">
        <v>5</v>
      </c>
      <c r="Z748">
        <v>10</v>
      </c>
      <c r="AA748">
        <v>0</v>
      </c>
      <c r="AB748" s="1" t="s">
        <v>36</v>
      </c>
      <c r="AC748" t="s">
        <v>56</v>
      </c>
      <c r="AD748" t="s">
        <v>57</v>
      </c>
      <c r="AE748" s="2">
        <v>951.09523809523807</v>
      </c>
    </row>
    <row r="749" spans="1:31" x14ac:dyDescent="0.35">
      <c r="A749">
        <v>38</v>
      </c>
      <c r="B749" s="1" t="s">
        <v>39</v>
      </c>
      <c r="C749" s="1" t="s">
        <v>31</v>
      </c>
      <c r="D749">
        <v>3</v>
      </c>
      <c r="E749">
        <v>4</v>
      </c>
      <c r="F749" s="1" t="s">
        <v>32</v>
      </c>
      <c r="G749">
        <v>2</v>
      </c>
      <c r="H749" s="1" t="s">
        <v>41</v>
      </c>
      <c r="I749">
        <v>3</v>
      </c>
      <c r="J749">
        <v>2</v>
      </c>
      <c r="K749" s="1" t="s">
        <v>34</v>
      </c>
      <c r="L749">
        <v>4</v>
      </c>
      <c r="M749" s="1" t="s">
        <v>35</v>
      </c>
      <c r="N749">
        <v>6861</v>
      </c>
      <c r="O749">
        <v>8</v>
      </c>
      <c r="P749" s="1" t="s">
        <v>30</v>
      </c>
      <c r="Q749">
        <v>12</v>
      </c>
      <c r="R749">
        <v>3</v>
      </c>
      <c r="S749">
        <v>0</v>
      </c>
      <c r="T749">
        <v>19</v>
      </c>
      <c r="U749">
        <v>1</v>
      </c>
      <c r="V749">
        <v>3</v>
      </c>
      <c r="W749">
        <v>1</v>
      </c>
      <c r="X749">
        <v>0</v>
      </c>
      <c r="Y749">
        <v>0</v>
      </c>
      <c r="Z749">
        <v>0</v>
      </c>
      <c r="AA749">
        <v>0</v>
      </c>
      <c r="AB749" s="1" t="s">
        <v>36</v>
      </c>
      <c r="AC749" t="s">
        <v>37</v>
      </c>
      <c r="AD749" t="s">
        <v>47</v>
      </c>
      <c r="AE749" s="2">
        <v>6861</v>
      </c>
    </row>
    <row r="750" spans="1:31" x14ac:dyDescent="0.35">
      <c r="A750">
        <v>26</v>
      </c>
      <c r="B750" s="1" t="s">
        <v>30</v>
      </c>
      <c r="C750" s="1" t="s">
        <v>31</v>
      </c>
      <c r="D750">
        <v>29</v>
      </c>
      <c r="E750">
        <v>2</v>
      </c>
      <c r="F750" s="1" t="s">
        <v>49</v>
      </c>
      <c r="G750">
        <v>2</v>
      </c>
      <c r="H750" s="1" t="s">
        <v>41</v>
      </c>
      <c r="I750">
        <v>1</v>
      </c>
      <c r="J750">
        <v>2</v>
      </c>
      <c r="K750" s="1" t="s">
        <v>34</v>
      </c>
      <c r="L750">
        <v>1</v>
      </c>
      <c r="M750" s="1" t="s">
        <v>35</v>
      </c>
      <c r="N750">
        <v>4969</v>
      </c>
      <c r="O750">
        <v>8</v>
      </c>
      <c r="P750" s="1" t="s">
        <v>39</v>
      </c>
      <c r="Q750">
        <v>18</v>
      </c>
      <c r="R750">
        <v>4</v>
      </c>
      <c r="S750">
        <v>0</v>
      </c>
      <c r="T750">
        <v>7</v>
      </c>
      <c r="U750">
        <v>6</v>
      </c>
      <c r="V750">
        <v>3</v>
      </c>
      <c r="W750">
        <v>2</v>
      </c>
      <c r="X750">
        <v>2</v>
      </c>
      <c r="Y750">
        <v>2</v>
      </c>
      <c r="Z750">
        <v>2</v>
      </c>
      <c r="AA750">
        <v>1</v>
      </c>
      <c r="AB750" s="1" t="s">
        <v>48</v>
      </c>
      <c r="AC750" t="s">
        <v>37</v>
      </c>
      <c r="AD750" t="s">
        <v>47</v>
      </c>
      <c r="AE750" s="2">
        <v>2484.5</v>
      </c>
    </row>
    <row r="751" spans="1:31" x14ac:dyDescent="0.35">
      <c r="A751">
        <v>52</v>
      </c>
      <c r="B751" s="1" t="s">
        <v>30</v>
      </c>
      <c r="C751" s="1" t="s">
        <v>31</v>
      </c>
      <c r="D751">
        <v>2</v>
      </c>
      <c r="E751">
        <v>1</v>
      </c>
      <c r="F751" s="1" t="s">
        <v>60</v>
      </c>
      <c r="G751">
        <v>1</v>
      </c>
      <c r="H751" s="1" t="s">
        <v>33</v>
      </c>
      <c r="I751">
        <v>1</v>
      </c>
      <c r="J751">
        <v>5</v>
      </c>
      <c r="K751" s="1" t="s">
        <v>55</v>
      </c>
      <c r="L751">
        <v>4</v>
      </c>
      <c r="M751" s="1" t="s">
        <v>43</v>
      </c>
      <c r="N751">
        <v>19845</v>
      </c>
      <c r="O751">
        <v>1</v>
      </c>
      <c r="P751" s="1" t="s">
        <v>39</v>
      </c>
      <c r="Q751">
        <v>15</v>
      </c>
      <c r="R751">
        <v>4</v>
      </c>
      <c r="S751">
        <v>1</v>
      </c>
      <c r="T751">
        <v>33</v>
      </c>
      <c r="U751">
        <v>3</v>
      </c>
      <c r="V751">
        <v>3</v>
      </c>
      <c r="W751">
        <v>32</v>
      </c>
      <c r="X751">
        <v>14</v>
      </c>
      <c r="Y751">
        <v>6</v>
      </c>
      <c r="Z751">
        <v>9</v>
      </c>
      <c r="AA751">
        <v>1</v>
      </c>
      <c r="AB751" s="1" t="s">
        <v>82</v>
      </c>
      <c r="AC751" t="s">
        <v>56</v>
      </c>
      <c r="AD751" t="s">
        <v>57</v>
      </c>
      <c r="AE751" s="2">
        <v>620.15625</v>
      </c>
    </row>
    <row r="752" spans="1:31" x14ac:dyDescent="0.35">
      <c r="A752">
        <v>44</v>
      </c>
      <c r="B752" s="1" t="s">
        <v>39</v>
      </c>
      <c r="C752" s="1" t="s">
        <v>31</v>
      </c>
      <c r="D752">
        <v>28</v>
      </c>
      <c r="E752">
        <v>3</v>
      </c>
      <c r="F752" s="1" t="s">
        <v>49</v>
      </c>
      <c r="G752">
        <v>4</v>
      </c>
      <c r="H752" s="1" t="s">
        <v>33</v>
      </c>
      <c r="I752">
        <v>4</v>
      </c>
      <c r="J752">
        <v>4</v>
      </c>
      <c r="K752" s="1" t="s">
        <v>34</v>
      </c>
      <c r="L752">
        <v>4</v>
      </c>
      <c r="M752" s="1" t="s">
        <v>43</v>
      </c>
      <c r="N752">
        <v>13320</v>
      </c>
      <c r="O752">
        <v>3</v>
      </c>
      <c r="P752" s="1" t="s">
        <v>30</v>
      </c>
      <c r="Q752">
        <v>18</v>
      </c>
      <c r="R752">
        <v>3</v>
      </c>
      <c r="S752">
        <v>1</v>
      </c>
      <c r="T752">
        <v>23</v>
      </c>
      <c r="U752">
        <v>2</v>
      </c>
      <c r="V752">
        <v>3</v>
      </c>
      <c r="W752">
        <v>12</v>
      </c>
      <c r="X752">
        <v>11</v>
      </c>
      <c r="Y752">
        <v>11</v>
      </c>
      <c r="Z752">
        <v>11</v>
      </c>
      <c r="AA752">
        <v>0</v>
      </c>
      <c r="AB752" s="1" t="s">
        <v>36</v>
      </c>
      <c r="AC752" t="s">
        <v>56</v>
      </c>
      <c r="AD752" t="s">
        <v>57</v>
      </c>
      <c r="AE752" s="2">
        <v>1110</v>
      </c>
    </row>
    <row r="753" spans="1:31" x14ac:dyDescent="0.35">
      <c r="A753">
        <v>50</v>
      </c>
      <c r="B753" s="1" t="s">
        <v>39</v>
      </c>
      <c r="C753" s="1" t="s">
        <v>31</v>
      </c>
      <c r="D753">
        <v>1</v>
      </c>
      <c r="E753">
        <v>3</v>
      </c>
      <c r="F753" s="1" t="s">
        <v>32</v>
      </c>
      <c r="G753">
        <v>4</v>
      </c>
      <c r="H753" s="1" t="s">
        <v>33</v>
      </c>
      <c r="I753">
        <v>3</v>
      </c>
      <c r="J753">
        <v>2</v>
      </c>
      <c r="K753" s="1" t="s">
        <v>34</v>
      </c>
      <c r="L753">
        <v>3</v>
      </c>
      <c r="M753" s="1" t="s">
        <v>43</v>
      </c>
      <c r="N753">
        <v>6347</v>
      </c>
      <c r="O753">
        <v>0</v>
      </c>
      <c r="P753" s="1" t="s">
        <v>39</v>
      </c>
      <c r="Q753">
        <v>12</v>
      </c>
      <c r="R753">
        <v>1</v>
      </c>
      <c r="S753">
        <v>1</v>
      </c>
      <c r="T753">
        <v>19</v>
      </c>
      <c r="U753">
        <v>3</v>
      </c>
      <c r="V753">
        <v>3</v>
      </c>
      <c r="W753">
        <v>18</v>
      </c>
      <c r="X753">
        <v>7</v>
      </c>
      <c r="Y753">
        <v>0</v>
      </c>
      <c r="Z753">
        <v>13</v>
      </c>
      <c r="AA753">
        <v>0</v>
      </c>
      <c r="AB753" s="1" t="s">
        <v>82</v>
      </c>
      <c r="AC753" t="s">
        <v>37</v>
      </c>
      <c r="AD753" t="s">
        <v>57</v>
      </c>
      <c r="AE753" s="2">
        <v>352.61111111111109</v>
      </c>
    </row>
    <row r="754" spans="1:31" x14ac:dyDescent="0.35">
      <c r="A754">
        <v>36</v>
      </c>
      <c r="B754" s="1" t="s">
        <v>30</v>
      </c>
      <c r="C754" s="1" t="s">
        <v>40</v>
      </c>
      <c r="D754">
        <v>16</v>
      </c>
      <c r="E754">
        <v>4</v>
      </c>
      <c r="F754" s="1" t="s">
        <v>32</v>
      </c>
      <c r="G754">
        <v>3</v>
      </c>
      <c r="H754" s="1" t="s">
        <v>33</v>
      </c>
      <c r="I754">
        <v>4</v>
      </c>
      <c r="J754">
        <v>1</v>
      </c>
      <c r="K754" s="1" t="s">
        <v>45</v>
      </c>
      <c r="L754">
        <v>1</v>
      </c>
      <c r="M754" s="1" t="s">
        <v>35</v>
      </c>
      <c r="N754">
        <v>2743</v>
      </c>
      <c r="O754">
        <v>1</v>
      </c>
      <c r="P754" s="1" t="s">
        <v>39</v>
      </c>
      <c r="Q754">
        <v>16</v>
      </c>
      <c r="R754">
        <v>3</v>
      </c>
      <c r="S754">
        <v>0</v>
      </c>
      <c r="T754">
        <v>18</v>
      </c>
      <c r="U754">
        <v>1</v>
      </c>
      <c r="V754">
        <v>3</v>
      </c>
      <c r="W754">
        <v>17</v>
      </c>
      <c r="X754">
        <v>13</v>
      </c>
      <c r="Y754">
        <v>15</v>
      </c>
      <c r="Z754">
        <v>14</v>
      </c>
      <c r="AA754">
        <v>1</v>
      </c>
      <c r="AB754" s="1" t="s">
        <v>36</v>
      </c>
      <c r="AC754" t="s">
        <v>46</v>
      </c>
      <c r="AD754" t="s">
        <v>57</v>
      </c>
      <c r="AE754" s="2">
        <v>161.35294117647058</v>
      </c>
    </row>
    <row r="755" spans="1:31" x14ac:dyDescent="0.35">
      <c r="A755">
        <v>39</v>
      </c>
      <c r="B755" s="1" t="s">
        <v>39</v>
      </c>
      <c r="C755" s="1" t="s">
        <v>40</v>
      </c>
      <c r="D755">
        <v>22</v>
      </c>
      <c r="E755">
        <v>3</v>
      </c>
      <c r="F755" s="1" t="s">
        <v>49</v>
      </c>
      <c r="G755">
        <v>4</v>
      </c>
      <c r="H755" s="1" t="s">
        <v>33</v>
      </c>
      <c r="I755">
        <v>3</v>
      </c>
      <c r="J755">
        <v>3</v>
      </c>
      <c r="K755" s="1" t="s">
        <v>51</v>
      </c>
      <c r="L755">
        <v>1</v>
      </c>
      <c r="M755" s="1" t="s">
        <v>35</v>
      </c>
      <c r="N755">
        <v>10880</v>
      </c>
      <c r="O755">
        <v>1</v>
      </c>
      <c r="P755" s="1" t="s">
        <v>30</v>
      </c>
      <c r="Q755">
        <v>13</v>
      </c>
      <c r="R755">
        <v>3</v>
      </c>
      <c r="S755">
        <v>0</v>
      </c>
      <c r="T755">
        <v>21</v>
      </c>
      <c r="U755">
        <v>2</v>
      </c>
      <c r="V755">
        <v>3</v>
      </c>
      <c r="W755">
        <v>21</v>
      </c>
      <c r="X755">
        <v>6</v>
      </c>
      <c r="Y755">
        <v>2</v>
      </c>
      <c r="Z755">
        <v>8</v>
      </c>
      <c r="AA755">
        <v>0</v>
      </c>
      <c r="AB755" s="1" t="s">
        <v>36</v>
      </c>
      <c r="AC755" t="s">
        <v>56</v>
      </c>
      <c r="AD755" t="s">
        <v>57</v>
      </c>
      <c r="AE755" s="2">
        <v>518.09523809523807</v>
      </c>
    </row>
    <row r="756" spans="1:31" x14ac:dyDescent="0.35">
      <c r="A756">
        <v>33</v>
      </c>
      <c r="B756" s="1" t="s">
        <v>39</v>
      </c>
      <c r="C756" s="1" t="s">
        <v>31</v>
      </c>
      <c r="D756">
        <v>8</v>
      </c>
      <c r="E756">
        <v>1</v>
      </c>
      <c r="F756" s="1" t="s">
        <v>32</v>
      </c>
      <c r="G756">
        <v>2</v>
      </c>
      <c r="H756" s="1" t="s">
        <v>33</v>
      </c>
      <c r="I756">
        <v>2</v>
      </c>
      <c r="J756">
        <v>1</v>
      </c>
      <c r="K756" s="1" t="s">
        <v>58</v>
      </c>
      <c r="L756">
        <v>4</v>
      </c>
      <c r="M756" s="1" t="s">
        <v>35</v>
      </c>
      <c r="N756">
        <v>2342</v>
      </c>
      <c r="O756">
        <v>0</v>
      </c>
      <c r="P756" s="1" t="s">
        <v>39</v>
      </c>
      <c r="Q756">
        <v>19</v>
      </c>
      <c r="R756">
        <v>4</v>
      </c>
      <c r="S756">
        <v>0</v>
      </c>
      <c r="T756">
        <v>3</v>
      </c>
      <c r="U756">
        <v>2</v>
      </c>
      <c r="V756">
        <v>2</v>
      </c>
      <c r="W756">
        <v>2</v>
      </c>
      <c r="X756">
        <v>2</v>
      </c>
      <c r="Y756">
        <v>2</v>
      </c>
      <c r="Z756">
        <v>2</v>
      </c>
      <c r="AA756">
        <v>0</v>
      </c>
      <c r="AB756" s="1" t="s">
        <v>48</v>
      </c>
      <c r="AC756" t="s">
        <v>46</v>
      </c>
      <c r="AD756" t="s">
        <v>47</v>
      </c>
      <c r="AE756" s="2">
        <v>1171</v>
      </c>
    </row>
    <row r="757" spans="1:31" x14ac:dyDescent="0.35">
      <c r="A757">
        <v>45</v>
      </c>
      <c r="B757" s="1" t="s">
        <v>39</v>
      </c>
      <c r="C757" s="1" t="s">
        <v>31</v>
      </c>
      <c r="D757">
        <v>11</v>
      </c>
      <c r="E757">
        <v>2</v>
      </c>
      <c r="F757" s="1" t="s">
        <v>32</v>
      </c>
      <c r="G757">
        <v>4</v>
      </c>
      <c r="H757" s="1" t="s">
        <v>33</v>
      </c>
      <c r="I757">
        <v>3</v>
      </c>
      <c r="J757">
        <v>4</v>
      </c>
      <c r="K757" s="1" t="s">
        <v>55</v>
      </c>
      <c r="L757">
        <v>4</v>
      </c>
      <c r="M757" s="1" t="s">
        <v>43</v>
      </c>
      <c r="N757">
        <v>17650</v>
      </c>
      <c r="O757">
        <v>3</v>
      </c>
      <c r="P757" s="1" t="s">
        <v>39</v>
      </c>
      <c r="Q757">
        <v>13</v>
      </c>
      <c r="R757">
        <v>2</v>
      </c>
      <c r="S757">
        <v>1</v>
      </c>
      <c r="T757">
        <v>26</v>
      </c>
      <c r="U757">
        <v>4</v>
      </c>
      <c r="V757">
        <v>4</v>
      </c>
      <c r="W757">
        <v>9</v>
      </c>
      <c r="X757">
        <v>3</v>
      </c>
      <c r="Y757">
        <v>1</v>
      </c>
      <c r="Z757">
        <v>1</v>
      </c>
      <c r="AA757">
        <v>0</v>
      </c>
      <c r="AB757" s="1" t="s">
        <v>36</v>
      </c>
      <c r="AC757" t="s">
        <v>56</v>
      </c>
      <c r="AD757" t="s">
        <v>38</v>
      </c>
      <c r="AE757" s="2">
        <v>1961.1111111111111</v>
      </c>
    </row>
    <row r="758" spans="1:31" x14ac:dyDescent="0.35">
      <c r="A758">
        <v>32</v>
      </c>
      <c r="B758" s="1" t="s">
        <v>39</v>
      </c>
      <c r="C758" s="1" t="s">
        <v>40</v>
      </c>
      <c r="D758">
        <v>29</v>
      </c>
      <c r="E758">
        <v>4</v>
      </c>
      <c r="F758" s="1" t="s">
        <v>49</v>
      </c>
      <c r="G758">
        <v>4</v>
      </c>
      <c r="H758" s="1" t="s">
        <v>33</v>
      </c>
      <c r="I758">
        <v>3</v>
      </c>
      <c r="J758">
        <v>1</v>
      </c>
      <c r="K758" s="1" t="s">
        <v>45</v>
      </c>
      <c r="L758">
        <v>3</v>
      </c>
      <c r="M758" s="1" t="s">
        <v>35</v>
      </c>
      <c r="N758">
        <v>4025</v>
      </c>
      <c r="O758">
        <v>9</v>
      </c>
      <c r="P758" s="1" t="s">
        <v>39</v>
      </c>
      <c r="Q758">
        <v>12</v>
      </c>
      <c r="R758">
        <v>2</v>
      </c>
      <c r="S758">
        <v>0</v>
      </c>
      <c r="T758">
        <v>10</v>
      </c>
      <c r="U758">
        <v>2</v>
      </c>
      <c r="V758">
        <v>3</v>
      </c>
      <c r="W758">
        <v>8</v>
      </c>
      <c r="X758">
        <v>7</v>
      </c>
      <c r="Y758">
        <v>7</v>
      </c>
      <c r="Z758">
        <v>7</v>
      </c>
      <c r="AA758">
        <v>0</v>
      </c>
      <c r="AB758" s="1" t="s">
        <v>48</v>
      </c>
      <c r="AC758" t="s">
        <v>37</v>
      </c>
      <c r="AD758" t="s">
        <v>38</v>
      </c>
      <c r="AE758" s="2">
        <v>503.125</v>
      </c>
    </row>
    <row r="759" spans="1:31" x14ac:dyDescent="0.35">
      <c r="A759">
        <v>34</v>
      </c>
      <c r="B759" s="1" t="s">
        <v>39</v>
      </c>
      <c r="C759" s="1" t="s">
        <v>31</v>
      </c>
      <c r="D759">
        <v>1</v>
      </c>
      <c r="E759">
        <v>4</v>
      </c>
      <c r="F759" s="1" t="s">
        <v>60</v>
      </c>
      <c r="G759">
        <v>2</v>
      </c>
      <c r="H759" s="1" t="s">
        <v>41</v>
      </c>
      <c r="I759">
        <v>4</v>
      </c>
      <c r="J759">
        <v>2</v>
      </c>
      <c r="K759" s="1" t="s">
        <v>34</v>
      </c>
      <c r="L759">
        <v>4</v>
      </c>
      <c r="M759" s="1" t="s">
        <v>50</v>
      </c>
      <c r="N759">
        <v>9725</v>
      </c>
      <c r="O759">
        <v>0</v>
      </c>
      <c r="P759" s="1" t="s">
        <v>39</v>
      </c>
      <c r="Q759">
        <v>11</v>
      </c>
      <c r="R759">
        <v>4</v>
      </c>
      <c r="S759">
        <v>1</v>
      </c>
      <c r="T759">
        <v>16</v>
      </c>
      <c r="U759">
        <v>2</v>
      </c>
      <c r="V759">
        <v>2</v>
      </c>
      <c r="W759">
        <v>15</v>
      </c>
      <c r="X759">
        <v>1</v>
      </c>
      <c r="Y759">
        <v>0</v>
      </c>
      <c r="Z759">
        <v>9</v>
      </c>
      <c r="AA759">
        <v>0</v>
      </c>
      <c r="AB759" s="1" t="s">
        <v>48</v>
      </c>
      <c r="AC759" t="s">
        <v>37</v>
      </c>
      <c r="AD759" t="s">
        <v>57</v>
      </c>
      <c r="AE759" s="2">
        <v>648.33333333333337</v>
      </c>
    </row>
    <row r="760" spans="1:31" x14ac:dyDescent="0.35">
      <c r="A760">
        <v>59</v>
      </c>
      <c r="B760" s="1" t="s">
        <v>39</v>
      </c>
      <c r="C760" s="1" t="s">
        <v>31</v>
      </c>
      <c r="D760">
        <v>1</v>
      </c>
      <c r="E760">
        <v>2</v>
      </c>
      <c r="F760" s="1" t="s">
        <v>61</v>
      </c>
      <c r="G760">
        <v>2</v>
      </c>
      <c r="H760" s="1" t="s">
        <v>41</v>
      </c>
      <c r="I760">
        <v>3</v>
      </c>
      <c r="J760">
        <v>3</v>
      </c>
      <c r="K760" s="1" t="s">
        <v>55</v>
      </c>
      <c r="L760">
        <v>4</v>
      </c>
      <c r="M760" s="1" t="s">
        <v>43</v>
      </c>
      <c r="N760">
        <v>11904</v>
      </c>
      <c r="O760">
        <v>3</v>
      </c>
      <c r="P760" s="1" t="s">
        <v>30</v>
      </c>
      <c r="Q760">
        <v>14</v>
      </c>
      <c r="R760">
        <v>3</v>
      </c>
      <c r="S760">
        <v>1</v>
      </c>
      <c r="T760">
        <v>14</v>
      </c>
      <c r="U760">
        <v>1</v>
      </c>
      <c r="V760">
        <v>1</v>
      </c>
      <c r="W760">
        <v>6</v>
      </c>
      <c r="X760">
        <v>4</v>
      </c>
      <c r="Y760">
        <v>0</v>
      </c>
      <c r="Z760">
        <v>4</v>
      </c>
      <c r="AA760">
        <v>0</v>
      </c>
      <c r="AB760" s="1" t="s">
        <v>82</v>
      </c>
      <c r="AC760" t="s">
        <v>56</v>
      </c>
      <c r="AD760" t="s">
        <v>38</v>
      </c>
      <c r="AE760" s="2">
        <v>1984</v>
      </c>
    </row>
    <row r="761" spans="1:31" x14ac:dyDescent="0.35">
      <c r="A761">
        <v>45</v>
      </c>
      <c r="B761" s="1" t="s">
        <v>39</v>
      </c>
      <c r="C761" s="1" t="s">
        <v>62</v>
      </c>
      <c r="D761">
        <v>24</v>
      </c>
      <c r="E761">
        <v>4</v>
      </c>
      <c r="F761" s="1" t="s">
        <v>49</v>
      </c>
      <c r="G761">
        <v>2</v>
      </c>
      <c r="H761" s="1" t="s">
        <v>41</v>
      </c>
      <c r="I761">
        <v>3</v>
      </c>
      <c r="J761">
        <v>1</v>
      </c>
      <c r="K761" s="1" t="s">
        <v>62</v>
      </c>
      <c r="L761">
        <v>2</v>
      </c>
      <c r="M761" s="1" t="s">
        <v>35</v>
      </c>
      <c r="N761">
        <v>2177</v>
      </c>
      <c r="O761">
        <v>1</v>
      </c>
      <c r="P761" s="1" t="s">
        <v>39</v>
      </c>
      <c r="Q761">
        <v>16</v>
      </c>
      <c r="R761">
        <v>1</v>
      </c>
      <c r="S761">
        <v>0</v>
      </c>
      <c r="T761">
        <v>6</v>
      </c>
      <c r="U761">
        <v>3</v>
      </c>
      <c r="V761">
        <v>3</v>
      </c>
      <c r="W761">
        <v>6</v>
      </c>
      <c r="X761">
        <v>3</v>
      </c>
      <c r="Y761">
        <v>0</v>
      </c>
      <c r="Z761">
        <v>4</v>
      </c>
      <c r="AA761">
        <v>0</v>
      </c>
      <c r="AB761" s="1" t="s">
        <v>36</v>
      </c>
      <c r="AC761" t="s">
        <v>46</v>
      </c>
      <c r="AD761" t="s">
        <v>38</v>
      </c>
      <c r="AE761" s="2">
        <v>362.83333333333331</v>
      </c>
    </row>
    <row r="762" spans="1:31" x14ac:dyDescent="0.35">
      <c r="A762">
        <v>53</v>
      </c>
      <c r="B762" s="1" t="s">
        <v>39</v>
      </c>
      <c r="C762" s="1" t="s">
        <v>31</v>
      </c>
      <c r="D762">
        <v>2</v>
      </c>
      <c r="E762">
        <v>3</v>
      </c>
      <c r="F762" s="1" t="s">
        <v>60</v>
      </c>
      <c r="G762">
        <v>3</v>
      </c>
      <c r="H762" s="1" t="s">
        <v>33</v>
      </c>
      <c r="I762">
        <v>2</v>
      </c>
      <c r="J762">
        <v>3</v>
      </c>
      <c r="K762" s="1" t="s">
        <v>34</v>
      </c>
      <c r="L762">
        <v>2</v>
      </c>
      <c r="M762" s="1" t="s">
        <v>43</v>
      </c>
      <c r="N762">
        <v>7525</v>
      </c>
      <c r="O762">
        <v>2</v>
      </c>
      <c r="P762" s="1" t="s">
        <v>39</v>
      </c>
      <c r="Q762">
        <v>12</v>
      </c>
      <c r="R762">
        <v>1</v>
      </c>
      <c r="S762">
        <v>1</v>
      </c>
      <c r="T762">
        <v>30</v>
      </c>
      <c r="U762">
        <v>2</v>
      </c>
      <c r="V762">
        <v>3</v>
      </c>
      <c r="W762">
        <v>15</v>
      </c>
      <c r="X762">
        <v>7</v>
      </c>
      <c r="Y762">
        <v>6</v>
      </c>
      <c r="Z762">
        <v>12</v>
      </c>
      <c r="AA762">
        <v>0</v>
      </c>
      <c r="AB762" s="1" t="s">
        <v>82</v>
      </c>
      <c r="AC762" t="s">
        <v>37</v>
      </c>
      <c r="AD762" t="s">
        <v>57</v>
      </c>
      <c r="AE762" s="2">
        <v>501.66666666666669</v>
      </c>
    </row>
    <row r="763" spans="1:31" x14ac:dyDescent="0.35">
      <c r="A763">
        <v>36</v>
      </c>
      <c r="B763" s="1" t="s">
        <v>30</v>
      </c>
      <c r="C763" s="1" t="s">
        <v>40</v>
      </c>
      <c r="D763">
        <v>15</v>
      </c>
      <c r="E763">
        <v>3</v>
      </c>
      <c r="F763" s="1" t="s">
        <v>44</v>
      </c>
      <c r="G763">
        <v>1</v>
      </c>
      <c r="H763" s="1" t="s">
        <v>41</v>
      </c>
      <c r="I763">
        <v>3</v>
      </c>
      <c r="J763">
        <v>2</v>
      </c>
      <c r="K763" s="1" t="s">
        <v>45</v>
      </c>
      <c r="L763">
        <v>3</v>
      </c>
      <c r="M763" s="1" t="s">
        <v>50</v>
      </c>
      <c r="N763">
        <v>4834</v>
      </c>
      <c r="O763">
        <v>7</v>
      </c>
      <c r="P763" s="1" t="s">
        <v>39</v>
      </c>
      <c r="Q763">
        <v>14</v>
      </c>
      <c r="R763">
        <v>2</v>
      </c>
      <c r="S763">
        <v>1</v>
      </c>
      <c r="T763">
        <v>9</v>
      </c>
      <c r="U763">
        <v>3</v>
      </c>
      <c r="V763">
        <v>2</v>
      </c>
      <c r="W763">
        <v>1</v>
      </c>
      <c r="X763">
        <v>0</v>
      </c>
      <c r="Y763">
        <v>0</v>
      </c>
      <c r="Z763">
        <v>0</v>
      </c>
      <c r="AA763">
        <v>1</v>
      </c>
      <c r="AB763" s="1" t="s">
        <v>36</v>
      </c>
      <c r="AC763" t="s">
        <v>37</v>
      </c>
      <c r="AD763" t="s">
        <v>47</v>
      </c>
      <c r="AE763" s="2">
        <v>4834</v>
      </c>
    </row>
    <row r="764" spans="1:31" x14ac:dyDescent="0.35">
      <c r="A764">
        <v>26</v>
      </c>
      <c r="B764" s="1" t="s">
        <v>30</v>
      </c>
      <c r="C764" s="1" t="s">
        <v>40</v>
      </c>
      <c r="D764">
        <v>2</v>
      </c>
      <c r="E764">
        <v>3</v>
      </c>
      <c r="F764" s="1" t="s">
        <v>32</v>
      </c>
      <c r="G764">
        <v>1</v>
      </c>
      <c r="H764" s="1" t="s">
        <v>41</v>
      </c>
      <c r="I764">
        <v>3</v>
      </c>
      <c r="J764">
        <v>1</v>
      </c>
      <c r="K764" s="1" t="s">
        <v>42</v>
      </c>
      <c r="L764">
        <v>1</v>
      </c>
      <c r="M764" s="1" t="s">
        <v>43</v>
      </c>
      <c r="N764">
        <v>2042</v>
      </c>
      <c r="O764">
        <v>6</v>
      </c>
      <c r="P764" s="1" t="s">
        <v>30</v>
      </c>
      <c r="Q764">
        <v>14</v>
      </c>
      <c r="R764">
        <v>2</v>
      </c>
      <c r="S764">
        <v>1</v>
      </c>
      <c r="T764">
        <v>6</v>
      </c>
      <c r="U764">
        <v>2</v>
      </c>
      <c r="V764">
        <v>3</v>
      </c>
      <c r="W764">
        <v>3</v>
      </c>
      <c r="X764">
        <v>2</v>
      </c>
      <c r="Y764">
        <v>1</v>
      </c>
      <c r="Z764">
        <v>2</v>
      </c>
      <c r="AA764">
        <v>1</v>
      </c>
      <c r="AB764" s="1" t="s">
        <v>48</v>
      </c>
      <c r="AC764" t="s">
        <v>46</v>
      </c>
      <c r="AD764" t="s">
        <v>53</v>
      </c>
      <c r="AE764" s="2">
        <v>680.66666666666663</v>
      </c>
    </row>
    <row r="765" spans="1:31" x14ac:dyDescent="0.35">
      <c r="A765">
        <v>34</v>
      </c>
      <c r="B765" s="1" t="s">
        <v>39</v>
      </c>
      <c r="C765" s="1" t="s">
        <v>31</v>
      </c>
      <c r="D765">
        <v>10</v>
      </c>
      <c r="E765">
        <v>4</v>
      </c>
      <c r="F765" s="1" t="s">
        <v>32</v>
      </c>
      <c r="G765">
        <v>3</v>
      </c>
      <c r="H765" s="1" t="s">
        <v>33</v>
      </c>
      <c r="I765">
        <v>3</v>
      </c>
      <c r="J765">
        <v>1</v>
      </c>
      <c r="K765" s="1" t="s">
        <v>58</v>
      </c>
      <c r="L765">
        <v>3</v>
      </c>
      <c r="M765" s="1" t="s">
        <v>43</v>
      </c>
      <c r="N765">
        <v>2220</v>
      </c>
      <c r="O765">
        <v>1</v>
      </c>
      <c r="P765" s="1" t="s">
        <v>30</v>
      </c>
      <c r="Q765">
        <v>19</v>
      </c>
      <c r="R765">
        <v>4</v>
      </c>
      <c r="S765">
        <v>1</v>
      </c>
      <c r="T765">
        <v>1</v>
      </c>
      <c r="U765">
        <v>2</v>
      </c>
      <c r="V765">
        <v>3</v>
      </c>
      <c r="W765">
        <v>1</v>
      </c>
      <c r="X765">
        <v>1</v>
      </c>
      <c r="Y765">
        <v>0</v>
      </c>
      <c r="Z765">
        <v>0</v>
      </c>
      <c r="AA765">
        <v>0</v>
      </c>
      <c r="AB765" s="1" t="s">
        <v>48</v>
      </c>
      <c r="AC765" t="s">
        <v>46</v>
      </c>
      <c r="AD765" t="s">
        <v>47</v>
      </c>
      <c r="AE765" s="2">
        <v>2220</v>
      </c>
    </row>
    <row r="766" spans="1:31" x14ac:dyDescent="0.35">
      <c r="A766">
        <v>28</v>
      </c>
      <c r="B766" s="1" t="s">
        <v>39</v>
      </c>
      <c r="C766" s="1" t="s">
        <v>31</v>
      </c>
      <c r="D766">
        <v>10</v>
      </c>
      <c r="E766">
        <v>1</v>
      </c>
      <c r="F766" s="1" t="s">
        <v>49</v>
      </c>
      <c r="G766">
        <v>4</v>
      </c>
      <c r="H766" s="1" t="s">
        <v>41</v>
      </c>
      <c r="I766">
        <v>3</v>
      </c>
      <c r="J766">
        <v>1</v>
      </c>
      <c r="K766" s="1" t="s">
        <v>58</v>
      </c>
      <c r="L766">
        <v>2</v>
      </c>
      <c r="M766" s="1" t="s">
        <v>43</v>
      </c>
      <c r="N766">
        <v>1052</v>
      </c>
      <c r="O766">
        <v>1</v>
      </c>
      <c r="P766" s="1" t="s">
        <v>39</v>
      </c>
      <c r="Q766">
        <v>22</v>
      </c>
      <c r="R766">
        <v>2</v>
      </c>
      <c r="S766">
        <v>0</v>
      </c>
      <c r="T766">
        <v>1</v>
      </c>
      <c r="U766">
        <v>5</v>
      </c>
      <c r="V766">
        <v>3</v>
      </c>
      <c r="W766">
        <v>1</v>
      </c>
      <c r="X766">
        <v>0</v>
      </c>
      <c r="Y766">
        <v>0</v>
      </c>
      <c r="Z766">
        <v>0</v>
      </c>
      <c r="AA766">
        <v>0</v>
      </c>
      <c r="AB766" s="1" t="s">
        <v>48</v>
      </c>
      <c r="AC766" t="s">
        <v>46</v>
      </c>
      <c r="AD766" t="s">
        <v>47</v>
      </c>
      <c r="AE766" s="2">
        <v>1052</v>
      </c>
    </row>
    <row r="767" spans="1:31" x14ac:dyDescent="0.35">
      <c r="A767">
        <v>38</v>
      </c>
      <c r="B767" s="1" t="s">
        <v>39</v>
      </c>
      <c r="C767" s="1" t="s">
        <v>40</v>
      </c>
      <c r="D767">
        <v>3</v>
      </c>
      <c r="E767">
        <v>4</v>
      </c>
      <c r="F767" s="1" t="s">
        <v>44</v>
      </c>
      <c r="G767">
        <v>3</v>
      </c>
      <c r="H767" s="1" t="s">
        <v>41</v>
      </c>
      <c r="I767">
        <v>3</v>
      </c>
      <c r="J767">
        <v>1</v>
      </c>
      <c r="K767" s="1" t="s">
        <v>42</v>
      </c>
      <c r="L767">
        <v>3</v>
      </c>
      <c r="M767" s="1" t="s">
        <v>43</v>
      </c>
      <c r="N767">
        <v>2821</v>
      </c>
      <c r="O767">
        <v>3</v>
      </c>
      <c r="P767" s="1" t="s">
        <v>39</v>
      </c>
      <c r="Q767">
        <v>16</v>
      </c>
      <c r="R767">
        <v>1</v>
      </c>
      <c r="S767">
        <v>1</v>
      </c>
      <c r="T767">
        <v>8</v>
      </c>
      <c r="U767">
        <v>2</v>
      </c>
      <c r="V767">
        <v>3</v>
      </c>
      <c r="W767">
        <v>2</v>
      </c>
      <c r="X767">
        <v>2</v>
      </c>
      <c r="Y767">
        <v>2</v>
      </c>
      <c r="Z767">
        <v>2</v>
      </c>
      <c r="AA767">
        <v>0</v>
      </c>
      <c r="AB767" s="1" t="s">
        <v>36</v>
      </c>
      <c r="AC767" t="s">
        <v>46</v>
      </c>
      <c r="AD767" t="s">
        <v>47</v>
      </c>
      <c r="AE767" s="2">
        <v>1410.5</v>
      </c>
    </row>
    <row r="768" spans="1:31" x14ac:dyDescent="0.35">
      <c r="A768">
        <v>50</v>
      </c>
      <c r="B768" s="1" t="s">
        <v>39</v>
      </c>
      <c r="C768" s="1" t="s">
        <v>40</v>
      </c>
      <c r="D768">
        <v>2</v>
      </c>
      <c r="E768">
        <v>4</v>
      </c>
      <c r="F768" s="1" t="s">
        <v>49</v>
      </c>
      <c r="G768">
        <v>2</v>
      </c>
      <c r="H768" s="1" t="s">
        <v>41</v>
      </c>
      <c r="I768">
        <v>3</v>
      </c>
      <c r="J768">
        <v>5</v>
      </c>
      <c r="K768" s="1" t="s">
        <v>59</v>
      </c>
      <c r="L768">
        <v>3</v>
      </c>
      <c r="M768" s="1" t="s">
        <v>43</v>
      </c>
      <c r="N768">
        <v>19237</v>
      </c>
      <c r="O768">
        <v>2</v>
      </c>
      <c r="P768" s="1" t="s">
        <v>30</v>
      </c>
      <c r="Q768">
        <v>11</v>
      </c>
      <c r="R768">
        <v>4</v>
      </c>
      <c r="S768">
        <v>1</v>
      </c>
      <c r="T768">
        <v>29</v>
      </c>
      <c r="U768">
        <v>2</v>
      </c>
      <c r="V768">
        <v>2</v>
      </c>
      <c r="W768">
        <v>8</v>
      </c>
      <c r="X768">
        <v>1</v>
      </c>
      <c r="Y768">
        <v>7</v>
      </c>
      <c r="Z768">
        <v>7</v>
      </c>
      <c r="AA768">
        <v>0</v>
      </c>
      <c r="AB768" s="1" t="s">
        <v>82</v>
      </c>
      <c r="AC768" t="s">
        <v>56</v>
      </c>
      <c r="AD768" t="s">
        <v>38</v>
      </c>
      <c r="AE768" s="2">
        <v>2404.625</v>
      </c>
    </row>
    <row r="769" spans="1:31" x14ac:dyDescent="0.35">
      <c r="A769">
        <v>37</v>
      </c>
      <c r="B769" s="1" t="s">
        <v>39</v>
      </c>
      <c r="C769" s="1" t="s">
        <v>40</v>
      </c>
      <c r="D769">
        <v>3</v>
      </c>
      <c r="E769">
        <v>3</v>
      </c>
      <c r="F769" s="1" t="s">
        <v>44</v>
      </c>
      <c r="G769">
        <v>4</v>
      </c>
      <c r="H769" s="1" t="s">
        <v>33</v>
      </c>
      <c r="I769">
        <v>3</v>
      </c>
      <c r="J769">
        <v>2</v>
      </c>
      <c r="K769" s="1" t="s">
        <v>52</v>
      </c>
      <c r="L769">
        <v>2</v>
      </c>
      <c r="M769" s="1" t="s">
        <v>35</v>
      </c>
      <c r="N769">
        <v>4107</v>
      </c>
      <c r="O769">
        <v>3</v>
      </c>
      <c r="P769" s="1" t="s">
        <v>39</v>
      </c>
      <c r="Q769">
        <v>15</v>
      </c>
      <c r="R769">
        <v>1</v>
      </c>
      <c r="S769">
        <v>0</v>
      </c>
      <c r="T769">
        <v>8</v>
      </c>
      <c r="U769">
        <v>3</v>
      </c>
      <c r="V769">
        <v>2</v>
      </c>
      <c r="W769">
        <v>4</v>
      </c>
      <c r="X769">
        <v>3</v>
      </c>
      <c r="Y769">
        <v>0</v>
      </c>
      <c r="Z769">
        <v>1</v>
      </c>
      <c r="AA769">
        <v>0</v>
      </c>
      <c r="AB769" s="1" t="s">
        <v>36</v>
      </c>
      <c r="AC769" t="s">
        <v>37</v>
      </c>
      <c r="AD769" t="s">
        <v>53</v>
      </c>
      <c r="AE769" s="2">
        <v>1026.75</v>
      </c>
    </row>
    <row r="770" spans="1:31" x14ac:dyDescent="0.35">
      <c r="A770">
        <v>40</v>
      </c>
      <c r="B770" s="1" t="s">
        <v>39</v>
      </c>
      <c r="C770" s="1" t="s">
        <v>31</v>
      </c>
      <c r="D770">
        <v>26</v>
      </c>
      <c r="E770">
        <v>3</v>
      </c>
      <c r="F770" s="1" t="s">
        <v>60</v>
      </c>
      <c r="G770">
        <v>3</v>
      </c>
      <c r="H770" s="1" t="s">
        <v>41</v>
      </c>
      <c r="I770">
        <v>3</v>
      </c>
      <c r="J770">
        <v>2</v>
      </c>
      <c r="K770" s="1" t="s">
        <v>34</v>
      </c>
      <c r="L770">
        <v>1</v>
      </c>
      <c r="M770" s="1" t="s">
        <v>43</v>
      </c>
      <c r="N770">
        <v>8396</v>
      </c>
      <c r="O770">
        <v>1</v>
      </c>
      <c r="P770" s="1" t="s">
        <v>39</v>
      </c>
      <c r="Q770">
        <v>14</v>
      </c>
      <c r="R770">
        <v>2</v>
      </c>
      <c r="S770">
        <v>1</v>
      </c>
      <c r="T770">
        <v>8</v>
      </c>
      <c r="U770">
        <v>3</v>
      </c>
      <c r="V770">
        <v>2</v>
      </c>
      <c r="W770">
        <v>7</v>
      </c>
      <c r="X770">
        <v>7</v>
      </c>
      <c r="Y770">
        <v>7</v>
      </c>
      <c r="Z770">
        <v>5</v>
      </c>
      <c r="AA770">
        <v>0</v>
      </c>
      <c r="AB770" s="1" t="s">
        <v>36</v>
      </c>
      <c r="AC770" t="s">
        <v>37</v>
      </c>
      <c r="AD770" t="s">
        <v>38</v>
      </c>
      <c r="AE770" s="2">
        <v>1199.4285714285713</v>
      </c>
    </row>
    <row r="771" spans="1:31" x14ac:dyDescent="0.35">
      <c r="A771">
        <v>26</v>
      </c>
      <c r="B771" s="1" t="s">
        <v>39</v>
      </c>
      <c r="C771" s="1" t="s">
        <v>40</v>
      </c>
      <c r="D771">
        <v>1</v>
      </c>
      <c r="E771">
        <v>1</v>
      </c>
      <c r="F771" s="1" t="s">
        <v>49</v>
      </c>
      <c r="G771">
        <v>1</v>
      </c>
      <c r="H771" s="1" t="s">
        <v>33</v>
      </c>
      <c r="I771">
        <v>2</v>
      </c>
      <c r="J771">
        <v>1</v>
      </c>
      <c r="K771" s="1" t="s">
        <v>42</v>
      </c>
      <c r="L771">
        <v>3</v>
      </c>
      <c r="M771" s="1" t="s">
        <v>50</v>
      </c>
      <c r="N771">
        <v>2007</v>
      </c>
      <c r="O771">
        <v>1</v>
      </c>
      <c r="P771" s="1" t="s">
        <v>39</v>
      </c>
      <c r="Q771">
        <v>13</v>
      </c>
      <c r="R771">
        <v>3</v>
      </c>
      <c r="S771">
        <v>2</v>
      </c>
      <c r="T771">
        <v>5</v>
      </c>
      <c r="U771">
        <v>5</v>
      </c>
      <c r="V771">
        <v>3</v>
      </c>
      <c r="W771">
        <v>5</v>
      </c>
      <c r="X771">
        <v>3</v>
      </c>
      <c r="Y771">
        <v>1</v>
      </c>
      <c r="Z771">
        <v>3</v>
      </c>
      <c r="AA771">
        <v>0</v>
      </c>
      <c r="AB771" s="1" t="s">
        <v>48</v>
      </c>
      <c r="AC771" t="s">
        <v>46</v>
      </c>
      <c r="AD771" t="s">
        <v>53</v>
      </c>
      <c r="AE771" s="2">
        <v>401.4</v>
      </c>
    </row>
    <row r="772" spans="1:31" x14ac:dyDescent="0.35">
      <c r="A772">
        <v>46</v>
      </c>
      <c r="B772" s="1" t="s">
        <v>39</v>
      </c>
      <c r="C772" s="1" t="s">
        <v>40</v>
      </c>
      <c r="D772">
        <v>1</v>
      </c>
      <c r="E772">
        <v>4</v>
      </c>
      <c r="F772" s="1" t="s">
        <v>49</v>
      </c>
      <c r="G772">
        <v>4</v>
      </c>
      <c r="H772" s="1" t="s">
        <v>41</v>
      </c>
      <c r="I772">
        <v>3</v>
      </c>
      <c r="J772">
        <v>5</v>
      </c>
      <c r="K772" s="1" t="s">
        <v>59</v>
      </c>
      <c r="L772">
        <v>4</v>
      </c>
      <c r="M772" s="1" t="s">
        <v>50</v>
      </c>
      <c r="N772">
        <v>19627</v>
      </c>
      <c r="O772">
        <v>9</v>
      </c>
      <c r="P772" s="1" t="s">
        <v>39</v>
      </c>
      <c r="Q772">
        <v>17</v>
      </c>
      <c r="R772">
        <v>4</v>
      </c>
      <c r="S772">
        <v>2</v>
      </c>
      <c r="T772">
        <v>23</v>
      </c>
      <c r="U772">
        <v>0</v>
      </c>
      <c r="V772">
        <v>3</v>
      </c>
      <c r="W772">
        <v>2</v>
      </c>
      <c r="X772">
        <v>2</v>
      </c>
      <c r="Y772">
        <v>2</v>
      </c>
      <c r="Z772">
        <v>2</v>
      </c>
      <c r="AA772">
        <v>0</v>
      </c>
      <c r="AB772" s="1" t="s">
        <v>82</v>
      </c>
      <c r="AC772" t="s">
        <v>56</v>
      </c>
      <c r="AD772" t="s">
        <v>47</v>
      </c>
      <c r="AE772" s="2">
        <v>9813.5</v>
      </c>
    </row>
    <row r="773" spans="1:31" x14ac:dyDescent="0.35">
      <c r="A773">
        <v>54</v>
      </c>
      <c r="B773" s="1" t="s">
        <v>39</v>
      </c>
      <c r="C773" s="1" t="s">
        <v>31</v>
      </c>
      <c r="D773">
        <v>2</v>
      </c>
      <c r="E773">
        <v>4</v>
      </c>
      <c r="F773" s="1" t="s">
        <v>32</v>
      </c>
      <c r="G773">
        <v>3</v>
      </c>
      <c r="H773" s="1" t="s">
        <v>33</v>
      </c>
      <c r="I773">
        <v>2</v>
      </c>
      <c r="J773">
        <v>3</v>
      </c>
      <c r="K773" s="1" t="s">
        <v>34</v>
      </c>
      <c r="L773">
        <v>3</v>
      </c>
      <c r="M773" s="1" t="s">
        <v>43</v>
      </c>
      <c r="N773">
        <v>10686</v>
      </c>
      <c r="O773">
        <v>6</v>
      </c>
      <c r="P773" s="1" t="s">
        <v>39</v>
      </c>
      <c r="Q773">
        <v>11</v>
      </c>
      <c r="R773">
        <v>2</v>
      </c>
      <c r="S773">
        <v>1</v>
      </c>
      <c r="T773">
        <v>13</v>
      </c>
      <c r="U773">
        <v>4</v>
      </c>
      <c r="V773">
        <v>3</v>
      </c>
      <c r="W773">
        <v>9</v>
      </c>
      <c r="X773">
        <v>4</v>
      </c>
      <c r="Y773">
        <v>7</v>
      </c>
      <c r="Z773">
        <v>0</v>
      </c>
      <c r="AA773">
        <v>0</v>
      </c>
      <c r="AB773" s="1" t="s">
        <v>82</v>
      </c>
      <c r="AC773" t="s">
        <v>56</v>
      </c>
      <c r="AD773" t="s">
        <v>38</v>
      </c>
      <c r="AE773" s="2">
        <v>1187.3333333333333</v>
      </c>
    </row>
    <row r="774" spans="1:31" x14ac:dyDescent="0.35">
      <c r="A774">
        <v>56</v>
      </c>
      <c r="B774" s="1" t="s">
        <v>39</v>
      </c>
      <c r="C774" s="1" t="s">
        <v>40</v>
      </c>
      <c r="D774">
        <v>9</v>
      </c>
      <c r="E774">
        <v>3</v>
      </c>
      <c r="F774" s="1" t="s">
        <v>49</v>
      </c>
      <c r="G774">
        <v>1</v>
      </c>
      <c r="H774" s="1" t="s">
        <v>33</v>
      </c>
      <c r="I774">
        <v>3</v>
      </c>
      <c r="J774">
        <v>1</v>
      </c>
      <c r="K774" s="1" t="s">
        <v>42</v>
      </c>
      <c r="L774">
        <v>3</v>
      </c>
      <c r="M774" s="1" t="s">
        <v>43</v>
      </c>
      <c r="N774">
        <v>2942</v>
      </c>
      <c r="O774">
        <v>2</v>
      </c>
      <c r="P774" s="1" t="s">
        <v>39</v>
      </c>
      <c r="Q774">
        <v>19</v>
      </c>
      <c r="R774">
        <v>2</v>
      </c>
      <c r="S774">
        <v>1</v>
      </c>
      <c r="T774">
        <v>18</v>
      </c>
      <c r="U774">
        <v>4</v>
      </c>
      <c r="V774">
        <v>3</v>
      </c>
      <c r="W774">
        <v>5</v>
      </c>
      <c r="X774">
        <v>4</v>
      </c>
      <c r="Y774">
        <v>0</v>
      </c>
      <c r="Z774">
        <v>3</v>
      </c>
      <c r="AA774">
        <v>0</v>
      </c>
      <c r="AB774" s="1" t="s">
        <v>82</v>
      </c>
      <c r="AC774" t="s">
        <v>46</v>
      </c>
      <c r="AD774" t="s">
        <v>53</v>
      </c>
      <c r="AE774" s="2">
        <v>588.4</v>
      </c>
    </row>
    <row r="775" spans="1:31" x14ac:dyDescent="0.35">
      <c r="A775">
        <v>36</v>
      </c>
      <c r="B775" s="1" t="s">
        <v>39</v>
      </c>
      <c r="C775" s="1" t="s">
        <v>40</v>
      </c>
      <c r="D775">
        <v>12</v>
      </c>
      <c r="E775">
        <v>5</v>
      </c>
      <c r="F775" s="1" t="s">
        <v>49</v>
      </c>
      <c r="G775">
        <v>4</v>
      </c>
      <c r="H775" s="1" t="s">
        <v>33</v>
      </c>
      <c r="I775">
        <v>2</v>
      </c>
      <c r="J775">
        <v>3</v>
      </c>
      <c r="K775" s="1" t="s">
        <v>51</v>
      </c>
      <c r="L775">
        <v>4</v>
      </c>
      <c r="M775" s="1" t="s">
        <v>35</v>
      </c>
      <c r="N775">
        <v>8858</v>
      </c>
      <c r="O775">
        <v>0</v>
      </c>
      <c r="P775" s="1" t="s">
        <v>39</v>
      </c>
      <c r="Q775">
        <v>11</v>
      </c>
      <c r="R775">
        <v>2</v>
      </c>
      <c r="S775">
        <v>0</v>
      </c>
      <c r="T775">
        <v>15</v>
      </c>
      <c r="U775">
        <v>2</v>
      </c>
      <c r="V775">
        <v>2</v>
      </c>
      <c r="W775">
        <v>14</v>
      </c>
      <c r="X775">
        <v>8</v>
      </c>
      <c r="Y775">
        <v>7</v>
      </c>
      <c r="Z775">
        <v>8</v>
      </c>
      <c r="AA775">
        <v>0</v>
      </c>
      <c r="AB775" s="1" t="s">
        <v>36</v>
      </c>
      <c r="AC775" t="s">
        <v>37</v>
      </c>
      <c r="AD775" t="s">
        <v>57</v>
      </c>
      <c r="AE775" s="2">
        <v>632.71428571428567</v>
      </c>
    </row>
    <row r="776" spans="1:31" x14ac:dyDescent="0.35">
      <c r="A776">
        <v>55</v>
      </c>
      <c r="B776" s="1" t="s">
        <v>39</v>
      </c>
      <c r="C776" s="1" t="s">
        <v>40</v>
      </c>
      <c r="D776">
        <v>2</v>
      </c>
      <c r="E776">
        <v>1</v>
      </c>
      <c r="F776" s="1" t="s">
        <v>49</v>
      </c>
      <c r="G776">
        <v>3</v>
      </c>
      <c r="H776" s="1" t="s">
        <v>41</v>
      </c>
      <c r="I776">
        <v>2</v>
      </c>
      <c r="J776">
        <v>4</v>
      </c>
      <c r="K776" s="1" t="s">
        <v>55</v>
      </c>
      <c r="L776">
        <v>1</v>
      </c>
      <c r="M776" s="1" t="s">
        <v>35</v>
      </c>
      <c r="N776">
        <v>16756</v>
      </c>
      <c r="O776">
        <v>7</v>
      </c>
      <c r="P776" s="1" t="s">
        <v>39</v>
      </c>
      <c r="Q776">
        <v>15</v>
      </c>
      <c r="R776">
        <v>2</v>
      </c>
      <c r="S776">
        <v>0</v>
      </c>
      <c r="T776">
        <v>31</v>
      </c>
      <c r="U776">
        <v>3</v>
      </c>
      <c r="V776">
        <v>4</v>
      </c>
      <c r="W776">
        <v>9</v>
      </c>
      <c r="X776">
        <v>7</v>
      </c>
      <c r="Y776">
        <v>6</v>
      </c>
      <c r="Z776">
        <v>2</v>
      </c>
      <c r="AA776">
        <v>0</v>
      </c>
      <c r="AB776" s="1" t="s">
        <v>82</v>
      </c>
      <c r="AC776" t="s">
        <v>56</v>
      </c>
      <c r="AD776" t="s">
        <v>38</v>
      </c>
      <c r="AE776" s="2">
        <v>1861.7777777777778</v>
      </c>
    </row>
    <row r="777" spans="1:31" x14ac:dyDescent="0.35">
      <c r="A777">
        <v>43</v>
      </c>
      <c r="B777" s="1" t="s">
        <v>39</v>
      </c>
      <c r="C777" s="1" t="s">
        <v>31</v>
      </c>
      <c r="D777">
        <v>25</v>
      </c>
      <c r="E777">
        <v>3</v>
      </c>
      <c r="F777" s="1" t="s">
        <v>49</v>
      </c>
      <c r="G777">
        <v>3</v>
      </c>
      <c r="H777" s="1" t="s">
        <v>41</v>
      </c>
      <c r="I777">
        <v>2</v>
      </c>
      <c r="J777">
        <v>3</v>
      </c>
      <c r="K777" s="1" t="s">
        <v>34</v>
      </c>
      <c r="L777">
        <v>4</v>
      </c>
      <c r="M777" s="1" t="s">
        <v>50</v>
      </c>
      <c r="N777">
        <v>10798</v>
      </c>
      <c r="O777">
        <v>5</v>
      </c>
      <c r="P777" s="1" t="s">
        <v>39</v>
      </c>
      <c r="Q777">
        <v>13</v>
      </c>
      <c r="R777">
        <v>3</v>
      </c>
      <c r="S777">
        <v>1</v>
      </c>
      <c r="T777">
        <v>18</v>
      </c>
      <c r="U777">
        <v>5</v>
      </c>
      <c r="V777">
        <v>3</v>
      </c>
      <c r="W777">
        <v>1</v>
      </c>
      <c r="X777">
        <v>0</v>
      </c>
      <c r="Y777">
        <v>0</v>
      </c>
      <c r="Z777">
        <v>0</v>
      </c>
      <c r="AA777">
        <v>0</v>
      </c>
      <c r="AB777" s="1" t="s">
        <v>36</v>
      </c>
      <c r="AC777" t="s">
        <v>56</v>
      </c>
      <c r="AD777" t="s">
        <v>47</v>
      </c>
      <c r="AE777" s="2">
        <v>10798</v>
      </c>
    </row>
    <row r="778" spans="1:31" x14ac:dyDescent="0.35">
      <c r="A778">
        <v>20</v>
      </c>
      <c r="B778" s="1" t="s">
        <v>30</v>
      </c>
      <c r="C778" s="1" t="s">
        <v>31</v>
      </c>
      <c r="D778">
        <v>9</v>
      </c>
      <c r="E778">
        <v>3</v>
      </c>
      <c r="F778" s="1" t="s">
        <v>60</v>
      </c>
      <c r="G778">
        <v>4</v>
      </c>
      <c r="H778" s="1" t="s">
        <v>33</v>
      </c>
      <c r="I778">
        <v>3</v>
      </c>
      <c r="J778">
        <v>1</v>
      </c>
      <c r="K778" s="1" t="s">
        <v>58</v>
      </c>
      <c r="L778">
        <v>4</v>
      </c>
      <c r="M778" s="1" t="s">
        <v>35</v>
      </c>
      <c r="N778">
        <v>2323</v>
      </c>
      <c r="O778">
        <v>1</v>
      </c>
      <c r="P778" s="1" t="s">
        <v>30</v>
      </c>
      <c r="Q778">
        <v>14</v>
      </c>
      <c r="R778">
        <v>2</v>
      </c>
      <c r="S778">
        <v>0</v>
      </c>
      <c r="T778">
        <v>2</v>
      </c>
      <c r="U778">
        <v>3</v>
      </c>
      <c r="V778">
        <v>3</v>
      </c>
      <c r="W778">
        <v>2</v>
      </c>
      <c r="X778">
        <v>2</v>
      </c>
      <c r="Y778">
        <v>0</v>
      </c>
      <c r="Z778">
        <v>2</v>
      </c>
      <c r="AA778">
        <v>1</v>
      </c>
      <c r="AB778" s="1" t="s">
        <v>54</v>
      </c>
      <c r="AC778" t="s">
        <v>46</v>
      </c>
      <c r="AD778" t="s">
        <v>47</v>
      </c>
      <c r="AE778" s="2">
        <v>1161.5</v>
      </c>
    </row>
    <row r="779" spans="1:31" x14ac:dyDescent="0.35">
      <c r="A779">
        <v>21</v>
      </c>
      <c r="B779" s="1" t="s">
        <v>30</v>
      </c>
      <c r="C779" s="1" t="s">
        <v>40</v>
      </c>
      <c r="D779">
        <v>10</v>
      </c>
      <c r="E779">
        <v>3</v>
      </c>
      <c r="F779" s="1" t="s">
        <v>32</v>
      </c>
      <c r="G779">
        <v>3</v>
      </c>
      <c r="H779" s="1" t="s">
        <v>33</v>
      </c>
      <c r="I779">
        <v>2</v>
      </c>
      <c r="J779">
        <v>1</v>
      </c>
      <c r="K779" s="1" t="s">
        <v>45</v>
      </c>
      <c r="L779">
        <v>1</v>
      </c>
      <c r="M779" s="1" t="s">
        <v>35</v>
      </c>
      <c r="N779">
        <v>1416</v>
      </c>
      <c r="O779">
        <v>1</v>
      </c>
      <c r="P779" s="1" t="s">
        <v>39</v>
      </c>
      <c r="Q779">
        <v>13</v>
      </c>
      <c r="R779">
        <v>1</v>
      </c>
      <c r="S779">
        <v>0</v>
      </c>
      <c r="T779">
        <v>1</v>
      </c>
      <c r="U779">
        <v>6</v>
      </c>
      <c r="V779">
        <v>2</v>
      </c>
      <c r="W779">
        <v>1</v>
      </c>
      <c r="X779">
        <v>0</v>
      </c>
      <c r="Y779">
        <v>1</v>
      </c>
      <c r="Z779">
        <v>0</v>
      </c>
      <c r="AA779">
        <v>1</v>
      </c>
      <c r="AB779" s="1" t="s">
        <v>54</v>
      </c>
      <c r="AC779" t="s">
        <v>46</v>
      </c>
      <c r="AD779" t="s">
        <v>47</v>
      </c>
      <c r="AE779" s="2">
        <v>1416</v>
      </c>
    </row>
    <row r="780" spans="1:31" x14ac:dyDescent="0.35">
      <c r="A780">
        <v>46</v>
      </c>
      <c r="B780" s="1" t="s">
        <v>39</v>
      </c>
      <c r="C780" s="1" t="s">
        <v>40</v>
      </c>
      <c r="D780">
        <v>8</v>
      </c>
      <c r="E780">
        <v>4</v>
      </c>
      <c r="F780" s="1" t="s">
        <v>32</v>
      </c>
      <c r="G780">
        <v>4</v>
      </c>
      <c r="H780" s="1" t="s">
        <v>33</v>
      </c>
      <c r="I780">
        <v>2</v>
      </c>
      <c r="J780">
        <v>2</v>
      </c>
      <c r="K780" s="1" t="s">
        <v>42</v>
      </c>
      <c r="L780">
        <v>1</v>
      </c>
      <c r="M780" s="1" t="s">
        <v>50</v>
      </c>
      <c r="N780">
        <v>4615</v>
      </c>
      <c r="O780">
        <v>8</v>
      </c>
      <c r="P780" s="1" t="s">
        <v>30</v>
      </c>
      <c r="Q780">
        <v>23</v>
      </c>
      <c r="R780">
        <v>1</v>
      </c>
      <c r="S780">
        <v>3</v>
      </c>
      <c r="T780">
        <v>19</v>
      </c>
      <c r="U780">
        <v>2</v>
      </c>
      <c r="V780">
        <v>3</v>
      </c>
      <c r="W780">
        <v>16</v>
      </c>
      <c r="X780">
        <v>13</v>
      </c>
      <c r="Y780">
        <v>1</v>
      </c>
      <c r="Z780">
        <v>7</v>
      </c>
      <c r="AA780">
        <v>0</v>
      </c>
      <c r="AB780" s="1" t="s">
        <v>82</v>
      </c>
      <c r="AC780" t="s">
        <v>37</v>
      </c>
      <c r="AD780" t="s">
        <v>57</v>
      </c>
      <c r="AE780" s="2">
        <v>288.4375</v>
      </c>
    </row>
    <row r="781" spans="1:31" x14ac:dyDescent="0.35">
      <c r="A781">
        <v>51</v>
      </c>
      <c r="B781" s="1" t="s">
        <v>30</v>
      </c>
      <c r="C781" s="1" t="s">
        <v>40</v>
      </c>
      <c r="D781">
        <v>4</v>
      </c>
      <c r="E781">
        <v>4</v>
      </c>
      <c r="F781" s="1" t="s">
        <v>32</v>
      </c>
      <c r="G781">
        <v>1</v>
      </c>
      <c r="H781" s="1" t="s">
        <v>41</v>
      </c>
      <c r="I781">
        <v>3</v>
      </c>
      <c r="J781">
        <v>1</v>
      </c>
      <c r="K781" s="1" t="s">
        <v>42</v>
      </c>
      <c r="L781">
        <v>3</v>
      </c>
      <c r="M781" s="1" t="s">
        <v>43</v>
      </c>
      <c r="N781">
        <v>2461</v>
      </c>
      <c r="O781">
        <v>9</v>
      </c>
      <c r="P781" s="1" t="s">
        <v>30</v>
      </c>
      <c r="Q781">
        <v>12</v>
      </c>
      <c r="R781">
        <v>3</v>
      </c>
      <c r="S781">
        <v>3</v>
      </c>
      <c r="T781">
        <v>18</v>
      </c>
      <c r="U781">
        <v>2</v>
      </c>
      <c r="V781">
        <v>4</v>
      </c>
      <c r="W781">
        <v>10</v>
      </c>
      <c r="X781">
        <v>0</v>
      </c>
      <c r="Y781">
        <v>2</v>
      </c>
      <c r="Z781">
        <v>7</v>
      </c>
      <c r="AA781">
        <v>1</v>
      </c>
      <c r="AB781" s="1" t="s">
        <v>82</v>
      </c>
      <c r="AC781" t="s">
        <v>46</v>
      </c>
      <c r="AD781" t="s">
        <v>38</v>
      </c>
      <c r="AE781" s="2">
        <v>246.1</v>
      </c>
    </row>
    <row r="782" spans="1:31" x14ac:dyDescent="0.35">
      <c r="A782">
        <v>28</v>
      </c>
      <c r="B782" s="1" t="s">
        <v>30</v>
      </c>
      <c r="C782" s="1" t="s">
        <v>40</v>
      </c>
      <c r="D782">
        <v>24</v>
      </c>
      <c r="E782">
        <v>2</v>
      </c>
      <c r="F782" s="1" t="s">
        <v>61</v>
      </c>
      <c r="G782">
        <v>2</v>
      </c>
      <c r="H782" s="1" t="s">
        <v>41</v>
      </c>
      <c r="I782">
        <v>2</v>
      </c>
      <c r="J782">
        <v>3</v>
      </c>
      <c r="K782" s="1" t="s">
        <v>52</v>
      </c>
      <c r="L782">
        <v>1</v>
      </c>
      <c r="M782" s="1" t="s">
        <v>35</v>
      </c>
      <c r="N782">
        <v>8722</v>
      </c>
      <c r="O782">
        <v>1</v>
      </c>
      <c r="P782" s="1" t="s">
        <v>39</v>
      </c>
      <c r="Q782">
        <v>12</v>
      </c>
      <c r="R782">
        <v>1</v>
      </c>
      <c r="S782">
        <v>0</v>
      </c>
      <c r="T782">
        <v>10</v>
      </c>
      <c r="U782">
        <v>2</v>
      </c>
      <c r="V782">
        <v>2</v>
      </c>
      <c r="W782">
        <v>10</v>
      </c>
      <c r="X782">
        <v>7</v>
      </c>
      <c r="Y782">
        <v>1</v>
      </c>
      <c r="Z782">
        <v>9</v>
      </c>
      <c r="AA782">
        <v>1</v>
      </c>
      <c r="AB782" s="1" t="s">
        <v>48</v>
      </c>
      <c r="AC782" t="s">
        <v>37</v>
      </c>
      <c r="AD782" t="s">
        <v>38</v>
      </c>
      <c r="AE782" s="2">
        <v>872.2</v>
      </c>
    </row>
    <row r="783" spans="1:31" x14ac:dyDescent="0.35">
      <c r="A783">
        <v>26</v>
      </c>
      <c r="B783" s="1" t="s">
        <v>39</v>
      </c>
      <c r="C783" s="1" t="s">
        <v>40</v>
      </c>
      <c r="D783">
        <v>1</v>
      </c>
      <c r="E783">
        <v>2</v>
      </c>
      <c r="F783" s="1" t="s">
        <v>49</v>
      </c>
      <c r="G783">
        <v>1</v>
      </c>
      <c r="H783" s="1" t="s">
        <v>41</v>
      </c>
      <c r="I783">
        <v>2</v>
      </c>
      <c r="J783">
        <v>1</v>
      </c>
      <c r="K783" s="1" t="s">
        <v>45</v>
      </c>
      <c r="L783">
        <v>1</v>
      </c>
      <c r="M783" s="1" t="s">
        <v>43</v>
      </c>
      <c r="N783">
        <v>3955</v>
      </c>
      <c r="O783">
        <v>1</v>
      </c>
      <c r="P783" s="1" t="s">
        <v>39</v>
      </c>
      <c r="Q783">
        <v>16</v>
      </c>
      <c r="R783">
        <v>1</v>
      </c>
      <c r="S783">
        <v>2</v>
      </c>
      <c r="T783">
        <v>6</v>
      </c>
      <c r="U783">
        <v>2</v>
      </c>
      <c r="V783">
        <v>3</v>
      </c>
      <c r="W783">
        <v>5</v>
      </c>
      <c r="X783">
        <v>3</v>
      </c>
      <c r="Y783">
        <v>1</v>
      </c>
      <c r="Z783">
        <v>3</v>
      </c>
      <c r="AA783">
        <v>0</v>
      </c>
      <c r="AB783" s="1" t="s">
        <v>48</v>
      </c>
      <c r="AC783" t="s">
        <v>46</v>
      </c>
      <c r="AD783" t="s">
        <v>53</v>
      </c>
      <c r="AE783" s="2">
        <v>791</v>
      </c>
    </row>
    <row r="784" spans="1:31" x14ac:dyDescent="0.35">
      <c r="A784">
        <v>30</v>
      </c>
      <c r="B784" s="1" t="s">
        <v>39</v>
      </c>
      <c r="C784" s="1" t="s">
        <v>40</v>
      </c>
      <c r="D784">
        <v>20</v>
      </c>
      <c r="E784">
        <v>3</v>
      </c>
      <c r="F784" s="1" t="s">
        <v>44</v>
      </c>
      <c r="G784">
        <v>3</v>
      </c>
      <c r="H784" s="1" t="s">
        <v>41</v>
      </c>
      <c r="I784">
        <v>3</v>
      </c>
      <c r="J784">
        <v>2</v>
      </c>
      <c r="K784" s="1" t="s">
        <v>51</v>
      </c>
      <c r="L784">
        <v>1</v>
      </c>
      <c r="M784" s="1" t="s">
        <v>43</v>
      </c>
      <c r="N784">
        <v>9957</v>
      </c>
      <c r="O784">
        <v>0</v>
      </c>
      <c r="P784" s="1" t="s">
        <v>39</v>
      </c>
      <c r="Q784">
        <v>15</v>
      </c>
      <c r="R784">
        <v>3</v>
      </c>
      <c r="S784">
        <v>1</v>
      </c>
      <c r="T784">
        <v>7</v>
      </c>
      <c r="U784">
        <v>1</v>
      </c>
      <c r="V784">
        <v>2</v>
      </c>
      <c r="W784">
        <v>6</v>
      </c>
      <c r="X784">
        <v>2</v>
      </c>
      <c r="Y784">
        <v>0</v>
      </c>
      <c r="Z784">
        <v>2</v>
      </c>
      <c r="AA784">
        <v>0</v>
      </c>
      <c r="AB784" s="1" t="s">
        <v>48</v>
      </c>
      <c r="AC784" t="s">
        <v>37</v>
      </c>
      <c r="AD784" t="s">
        <v>38</v>
      </c>
      <c r="AE784" s="2">
        <v>1659.5</v>
      </c>
    </row>
    <row r="785" spans="1:31" x14ac:dyDescent="0.35">
      <c r="A785">
        <v>41</v>
      </c>
      <c r="B785" s="1" t="s">
        <v>39</v>
      </c>
      <c r="C785" s="1" t="s">
        <v>40</v>
      </c>
      <c r="D785">
        <v>7</v>
      </c>
      <c r="E785">
        <v>2</v>
      </c>
      <c r="F785" s="1" t="s">
        <v>61</v>
      </c>
      <c r="G785">
        <v>2</v>
      </c>
      <c r="H785" s="1" t="s">
        <v>33</v>
      </c>
      <c r="I785">
        <v>4</v>
      </c>
      <c r="J785">
        <v>1</v>
      </c>
      <c r="K785" s="1" t="s">
        <v>42</v>
      </c>
      <c r="L785">
        <v>3</v>
      </c>
      <c r="M785" s="1" t="s">
        <v>43</v>
      </c>
      <c r="N785">
        <v>3376</v>
      </c>
      <c r="O785">
        <v>1</v>
      </c>
      <c r="P785" s="1" t="s">
        <v>39</v>
      </c>
      <c r="Q785">
        <v>13</v>
      </c>
      <c r="R785">
        <v>3</v>
      </c>
      <c r="S785">
        <v>0</v>
      </c>
      <c r="T785">
        <v>10</v>
      </c>
      <c r="U785">
        <v>3</v>
      </c>
      <c r="V785">
        <v>3</v>
      </c>
      <c r="W785">
        <v>10</v>
      </c>
      <c r="X785">
        <v>6</v>
      </c>
      <c r="Y785">
        <v>0</v>
      </c>
      <c r="Z785">
        <v>8</v>
      </c>
      <c r="AA785">
        <v>0</v>
      </c>
      <c r="AB785" s="1" t="s">
        <v>36</v>
      </c>
      <c r="AC785" t="s">
        <v>46</v>
      </c>
      <c r="AD785" t="s">
        <v>38</v>
      </c>
      <c r="AE785" s="2">
        <v>337.6</v>
      </c>
    </row>
    <row r="786" spans="1:31" x14ac:dyDescent="0.35">
      <c r="A786">
        <v>38</v>
      </c>
      <c r="B786" s="1" t="s">
        <v>39</v>
      </c>
      <c r="C786" s="1" t="s">
        <v>40</v>
      </c>
      <c r="D786">
        <v>17</v>
      </c>
      <c r="E786">
        <v>1</v>
      </c>
      <c r="F786" s="1" t="s">
        <v>32</v>
      </c>
      <c r="G786">
        <v>3</v>
      </c>
      <c r="H786" s="1" t="s">
        <v>33</v>
      </c>
      <c r="I786">
        <v>2</v>
      </c>
      <c r="J786">
        <v>3</v>
      </c>
      <c r="K786" s="1" t="s">
        <v>52</v>
      </c>
      <c r="L786">
        <v>3</v>
      </c>
      <c r="M786" s="1" t="s">
        <v>43</v>
      </c>
      <c r="N786">
        <v>8823</v>
      </c>
      <c r="O786">
        <v>0</v>
      </c>
      <c r="P786" s="1" t="s">
        <v>39</v>
      </c>
      <c r="Q786">
        <v>18</v>
      </c>
      <c r="R786">
        <v>1</v>
      </c>
      <c r="S786">
        <v>1</v>
      </c>
      <c r="T786">
        <v>20</v>
      </c>
      <c r="U786">
        <v>4</v>
      </c>
      <c r="V786">
        <v>2</v>
      </c>
      <c r="W786">
        <v>19</v>
      </c>
      <c r="X786">
        <v>9</v>
      </c>
      <c r="Y786">
        <v>1</v>
      </c>
      <c r="Z786">
        <v>9</v>
      </c>
      <c r="AA786">
        <v>0</v>
      </c>
      <c r="AB786" s="1" t="s">
        <v>36</v>
      </c>
      <c r="AC786" t="s">
        <v>37</v>
      </c>
      <c r="AD786" t="s">
        <v>57</v>
      </c>
      <c r="AE786" s="2">
        <v>464.36842105263156</v>
      </c>
    </row>
    <row r="787" spans="1:31" x14ac:dyDescent="0.35">
      <c r="A787">
        <v>40</v>
      </c>
      <c r="B787" s="1" t="s">
        <v>39</v>
      </c>
      <c r="C787" s="1" t="s">
        <v>40</v>
      </c>
      <c r="D787">
        <v>20</v>
      </c>
      <c r="E787">
        <v>4</v>
      </c>
      <c r="F787" s="1" t="s">
        <v>61</v>
      </c>
      <c r="G787">
        <v>1</v>
      </c>
      <c r="H787" s="1" t="s">
        <v>41</v>
      </c>
      <c r="I787">
        <v>3</v>
      </c>
      <c r="J787">
        <v>3</v>
      </c>
      <c r="K787" s="1" t="s">
        <v>52</v>
      </c>
      <c r="L787">
        <v>4</v>
      </c>
      <c r="M787" s="1" t="s">
        <v>43</v>
      </c>
      <c r="N787">
        <v>10322</v>
      </c>
      <c r="O787">
        <v>4</v>
      </c>
      <c r="P787" s="1" t="s">
        <v>39</v>
      </c>
      <c r="Q787">
        <v>20</v>
      </c>
      <c r="R787">
        <v>4</v>
      </c>
      <c r="S787">
        <v>1</v>
      </c>
      <c r="T787">
        <v>14</v>
      </c>
      <c r="U787">
        <v>6</v>
      </c>
      <c r="V787">
        <v>3</v>
      </c>
      <c r="W787">
        <v>11</v>
      </c>
      <c r="X787">
        <v>10</v>
      </c>
      <c r="Y787">
        <v>11</v>
      </c>
      <c r="Z787">
        <v>1</v>
      </c>
      <c r="AA787">
        <v>0</v>
      </c>
      <c r="AB787" s="1" t="s">
        <v>36</v>
      </c>
      <c r="AC787" t="s">
        <v>56</v>
      </c>
      <c r="AD787" t="s">
        <v>57</v>
      </c>
      <c r="AE787" s="2">
        <v>938.36363636363637</v>
      </c>
    </row>
    <row r="788" spans="1:31" x14ac:dyDescent="0.35">
      <c r="A788">
        <v>27</v>
      </c>
      <c r="B788" s="1" t="s">
        <v>39</v>
      </c>
      <c r="C788" s="1" t="s">
        <v>40</v>
      </c>
      <c r="D788">
        <v>8</v>
      </c>
      <c r="E788">
        <v>5</v>
      </c>
      <c r="F788" s="1" t="s">
        <v>32</v>
      </c>
      <c r="G788">
        <v>1</v>
      </c>
      <c r="H788" s="1" t="s">
        <v>41</v>
      </c>
      <c r="I788">
        <v>1</v>
      </c>
      <c r="J788">
        <v>1</v>
      </c>
      <c r="K788" s="1" t="s">
        <v>45</v>
      </c>
      <c r="L788">
        <v>3</v>
      </c>
      <c r="M788" s="1" t="s">
        <v>43</v>
      </c>
      <c r="N788">
        <v>4621</v>
      </c>
      <c r="O788">
        <v>1</v>
      </c>
      <c r="P788" s="1" t="s">
        <v>39</v>
      </c>
      <c r="Q788">
        <v>19</v>
      </c>
      <c r="R788">
        <v>4</v>
      </c>
      <c r="S788">
        <v>3</v>
      </c>
      <c r="T788">
        <v>3</v>
      </c>
      <c r="U788">
        <v>4</v>
      </c>
      <c r="V788">
        <v>3</v>
      </c>
      <c r="W788">
        <v>3</v>
      </c>
      <c r="X788">
        <v>2</v>
      </c>
      <c r="Y788">
        <v>1</v>
      </c>
      <c r="Z788">
        <v>2</v>
      </c>
      <c r="AA788">
        <v>0</v>
      </c>
      <c r="AB788" s="1" t="s">
        <v>48</v>
      </c>
      <c r="AC788" t="s">
        <v>37</v>
      </c>
      <c r="AD788" t="s">
        <v>53</v>
      </c>
      <c r="AE788" s="2">
        <v>1540.3333333333333</v>
      </c>
    </row>
    <row r="789" spans="1:31" x14ac:dyDescent="0.35">
      <c r="A789">
        <v>55</v>
      </c>
      <c r="B789" s="1" t="s">
        <v>39</v>
      </c>
      <c r="C789" s="1" t="s">
        <v>40</v>
      </c>
      <c r="D789">
        <v>2</v>
      </c>
      <c r="E789">
        <v>1</v>
      </c>
      <c r="F789" s="1" t="s">
        <v>32</v>
      </c>
      <c r="G789">
        <v>4</v>
      </c>
      <c r="H789" s="1" t="s">
        <v>41</v>
      </c>
      <c r="I789">
        <v>3</v>
      </c>
      <c r="J789">
        <v>3</v>
      </c>
      <c r="K789" s="1" t="s">
        <v>51</v>
      </c>
      <c r="L789">
        <v>2</v>
      </c>
      <c r="M789" s="1" t="s">
        <v>43</v>
      </c>
      <c r="N789">
        <v>10976</v>
      </c>
      <c r="O789">
        <v>3</v>
      </c>
      <c r="P789" s="1" t="s">
        <v>39</v>
      </c>
      <c r="Q789">
        <v>18</v>
      </c>
      <c r="R789">
        <v>2</v>
      </c>
      <c r="S789">
        <v>1</v>
      </c>
      <c r="T789">
        <v>23</v>
      </c>
      <c r="U789">
        <v>4</v>
      </c>
      <c r="V789">
        <v>3</v>
      </c>
      <c r="W789">
        <v>3</v>
      </c>
      <c r="X789">
        <v>2</v>
      </c>
      <c r="Y789">
        <v>1</v>
      </c>
      <c r="Z789">
        <v>2</v>
      </c>
      <c r="AA789">
        <v>0</v>
      </c>
      <c r="AB789" s="1" t="s">
        <v>82</v>
      </c>
      <c r="AC789" t="s">
        <v>56</v>
      </c>
      <c r="AD789" t="s">
        <v>53</v>
      </c>
      <c r="AE789" s="2">
        <v>3658.6666666666665</v>
      </c>
    </row>
    <row r="790" spans="1:31" x14ac:dyDescent="0.35">
      <c r="A790">
        <v>28</v>
      </c>
      <c r="B790" s="1" t="s">
        <v>39</v>
      </c>
      <c r="C790" s="1" t="s">
        <v>40</v>
      </c>
      <c r="D790">
        <v>10</v>
      </c>
      <c r="E790">
        <v>3</v>
      </c>
      <c r="F790" s="1" t="s">
        <v>44</v>
      </c>
      <c r="G790">
        <v>3</v>
      </c>
      <c r="H790" s="1" t="s">
        <v>33</v>
      </c>
      <c r="I790">
        <v>3</v>
      </c>
      <c r="J790">
        <v>2</v>
      </c>
      <c r="K790" s="1" t="s">
        <v>42</v>
      </c>
      <c r="L790">
        <v>3</v>
      </c>
      <c r="M790" s="1" t="s">
        <v>35</v>
      </c>
      <c r="N790">
        <v>3660</v>
      </c>
      <c r="O790">
        <v>3</v>
      </c>
      <c r="P790" s="1" t="s">
        <v>39</v>
      </c>
      <c r="Q790">
        <v>13</v>
      </c>
      <c r="R790">
        <v>4</v>
      </c>
      <c r="S790">
        <v>0</v>
      </c>
      <c r="T790">
        <v>10</v>
      </c>
      <c r="U790">
        <v>4</v>
      </c>
      <c r="V790">
        <v>4</v>
      </c>
      <c r="W790">
        <v>8</v>
      </c>
      <c r="X790">
        <v>7</v>
      </c>
      <c r="Y790">
        <v>1</v>
      </c>
      <c r="Z790">
        <v>7</v>
      </c>
      <c r="AA790">
        <v>0</v>
      </c>
      <c r="AB790" s="1" t="s">
        <v>48</v>
      </c>
      <c r="AC790" t="s">
        <v>46</v>
      </c>
      <c r="AD790" t="s">
        <v>38</v>
      </c>
      <c r="AE790" s="2">
        <v>457.5</v>
      </c>
    </row>
    <row r="791" spans="1:31" x14ac:dyDescent="0.35">
      <c r="A791">
        <v>44</v>
      </c>
      <c r="B791" s="1" t="s">
        <v>30</v>
      </c>
      <c r="C791" s="1" t="s">
        <v>62</v>
      </c>
      <c r="D791">
        <v>1</v>
      </c>
      <c r="E791">
        <v>2</v>
      </c>
      <c r="F791" s="1" t="s">
        <v>49</v>
      </c>
      <c r="G791">
        <v>2</v>
      </c>
      <c r="H791" s="1" t="s">
        <v>41</v>
      </c>
      <c r="I791">
        <v>2</v>
      </c>
      <c r="J791">
        <v>3</v>
      </c>
      <c r="K791" s="1" t="s">
        <v>62</v>
      </c>
      <c r="L791">
        <v>1</v>
      </c>
      <c r="M791" s="1" t="s">
        <v>43</v>
      </c>
      <c r="N791">
        <v>10482</v>
      </c>
      <c r="O791">
        <v>9</v>
      </c>
      <c r="P791" s="1" t="s">
        <v>39</v>
      </c>
      <c r="Q791">
        <v>14</v>
      </c>
      <c r="R791">
        <v>4</v>
      </c>
      <c r="S791">
        <v>1</v>
      </c>
      <c r="T791">
        <v>24</v>
      </c>
      <c r="U791">
        <v>1</v>
      </c>
      <c r="V791">
        <v>3</v>
      </c>
      <c r="W791">
        <v>20</v>
      </c>
      <c r="X791">
        <v>6</v>
      </c>
      <c r="Y791">
        <v>3</v>
      </c>
      <c r="Z791">
        <v>6</v>
      </c>
      <c r="AA791">
        <v>1</v>
      </c>
      <c r="AB791" s="1" t="s">
        <v>36</v>
      </c>
      <c r="AC791" t="s">
        <v>56</v>
      </c>
      <c r="AD791" t="s">
        <v>57</v>
      </c>
      <c r="AE791" s="2">
        <v>524.1</v>
      </c>
    </row>
    <row r="792" spans="1:31" x14ac:dyDescent="0.35">
      <c r="A792">
        <v>33</v>
      </c>
      <c r="B792" s="1" t="s">
        <v>39</v>
      </c>
      <c r="C792" s="1" t="s">
        <v>40</v>
      </c>
      <c r="D792">
        <v>5</v>
      </c>
      <c r="E792">
        <v>3</v>
      </c>
      <c r="F792" s="1" t="s">
        <v>32</v>
      </c>
      <c r="G792">
        <v>4</v>
      </c>
      <c r="H792" s="1" t="s">
        <v>41</v>
      </c>
      <c r="I792">
        <v>2</v>
      </c>
      <c r="J792">
        <v>3</v>
      </c>
      <c r="K792" s="1" t="s">
        <v>52</v>
      </c>
      <c r="L792">
        <v>4</v>
      </c>
      <c r="M792" s="1" t="s">
        <v>50</v>
      </c>
      <c r="N792">
        <v>7119</v>
      </c>
      <c r="O792">
        <v>4</v>
      </c>
      <c r="P792" s="1" t="s">
        <v>39</v>
      </c>
      <c r="Q792">
        <v>15</v>
      </c>
      <c r="R792">
        <v>3</v>
      </c>
      <c r="S792">
        <v>1</v>
      </c>
      <c r="T792">
        <v>9</v>
      </c>
      <c r="U792">
        <v>2</v>
      </c>
      <c r="V792">
        <v>3</v>
      </c>
      <c r="W792">
        <v>3</v>
      </c>
      <c r="X792">
        <v>2</v>
      </c>
      <c r="Y792">
        <v>1</v>
      </c>
      <c r="Z792">
        <v>2</v>
      </c>
      <c r="AA792">
        <v>0</v>
      </c>
      <c r="AB792" s="1" t="s">
        <v>48</v>
      </c>
      <c r="AC792" t="s">
        <v>37</v>
      </c>
      <c r="AD792" t="s">
        <v>53</v>
      </c>
      <c r="AE792" s="2">
        <v>2373</v>
      </c>
    </row>
    <row r="793" spans="1:31" x14ac:dyDescent="0.35">
      <c r="A793">
        <v>35</v>
      </c>
      <c r="B793" s="1" t="s">
        <v>30</v>
      </c>
      <c r="C793" s="1" t="s">
        <v>31</v>
      </c>
      <c r="D793">
        <v>4</v>
      </c>
      <c r="E793">
        <v>3</v>
      </c>
      <c r="F793" s="1" t="s">
        <v>61</v>
      </c>
      <c r="G793">
        <v>4</v>
      </c>
      <c r="H793" s="1" t="s">
        <v>41</v>
      </c>
      <c r="I793">
        <v>3</v>
      </c>
      <c r="J793">
        <v>3</v>
      </c>
      <c r="K793" s="1" t="s">
        <v>34</v>
      </c>
      <c r="L793">
        <v>1</v>
      </c>
      <c r="M793" s="1" t="s">
        <v>35</v>
      </c>
      <c r="N793">
        <v>9582</v>
      </c>
      <c r="O793">
        <v>0</v>
      </c>
      <c r="P793" s="1" t="s">
        <v>30</v>
      </c>
      <c r="Q793">
        <v>22</v>
      </c>
      <c r="R793">
        <v>1</v>
      </c>
      <c r="S793">
        <v>0</v>
      </c>
      <c r="T793">
        <v>9</v>
      </c>
      <c r="U793">
        <v>2</v>
      </c>
      <c r="V793">
        <v>3</v>
      </c>
      <c r="W793">
        <v>8</v>
      </c>
      <c r="X793">
        <v>7</v>
      </c>
      <c r="Y793">
        <v>4</v>
      </c>
      <c r="Z793">
        <v>7</v>
      </c>
      <c r="AA793">
        <v>1</v>
      </c>
      <c r="AB793" s="1" t="s">
        <v>48</v>
      </c>
      <c r="AC793" t="s">
        <v>37</v>
      </c>
      <c r="AD793" t="s">
        <v>38</v>
      </c>
      <c r="AE793" s="2">
        <v>1197.75</v>
      </c>
    </row>
    <row r="794" spans="1:31" x14ac:dyDescent="0.35">
      <c r="A794">
        <v>33</v>
      </c>
      <c r="B794" s="1" t="s">
        <v>30</v>
      </c>
      <c r="C794" s="1" t="s">
        <v>40</v>
      </c>
      <c r="D794">
        <v>29</v>
      </c>
      <c r="E794">
        <v>4</v>
      </c>
      <c r="F794" s="1" t="s">
        <v>49</v>
      </c>
      <c r="G794">
        <v>1</v>
      </c>
      <c r="H794" s="1" t="s">
        <v>33</v>
      </c>
      <c r="I794">
        <v>2</v>
      </c>
      <c r="J794">
        <v>2</v>
      </c>
      <c r="K794" s="1" t="s">
        <v>42</v>
      </c>
      <c r="L794">
        <v>3</v>
      </c>
      <c r="M794" s="1" t="s">
        <v>35</v>
      </c>
      <c r="N794">
        <v>4508</v>
      </c>
      <c r="O794">
        <v>1</v>
      </c>
      <c r="P794" s="1" t="s">
        <v>39</v>
      </c>
      <c r="Q794">
        <v>22</v>
      </c>
      <c r="R794">
        <v>2</v>
      </c>
      <c r="S794">
        <v>0</v>
      </c>
      <c r="T794">
        <v>14</v>
      </c>
      <c r="U794">
        <v>4</v>
      </c>
      <c r="V794">
        <v>3</v>
      </c>
      <c r="W794">
        <v>13</v>
      </c>
      <c r="X794">
        <v>7</v>
      </c>
      <c r="Y794">
        <v>3</v>
      </c>
      <c r="Z794">
        <v>8</v>
      </c>
      <c r="AA794">
        <v>1</v>
      </c>
      <c r="AB794" s="1" t="s">
        <v>48</v>
      </c>
      <c r="AC794" t="s">
        <v>37</v>
      </c>
      <c r="AD794" t="s">
        <v>57</v>
      </c>
      <c r="AE794" s="2">
        <v>346.76923076923077</v>
      </c>
    </row>
    <row r="795" spans="1:31" x14ac:dyDescent="0.35">
      <c r="A795">
        <v>28</v>
      </c>
      <c r="B795" s="1" t="s">
        <v>39</v>
      </c>
      <c r="C795" s="1" t="s">
        <v>40</v>
      </c>
      <c r="D795">
        <v>15</v>
      </c>
      <c r="E795">
        <v>2</v>
      </c>
      <c r="F795" s="1" t="s">
        <v>32</v>
      </c>
      <c r="G795">
        <v>1</v>
      </c>
      <c r="H795" s="1" t="s">
        <v>41</v>
      </c>
      <c r="I795">
        <v>3</v>
      </c>
      <c r="J795">
        <v>1</v>
      </c>
      <c r="K795" s="1" t="s">
        <v>45</v>
      </c>
      <c r="L795">
        <v>3</v>
      </c>
      <c r="M795" s="1" t="s">
        <v>50</v>
      </c>
      <c r="N795">
        <v>2207</v>
      </c>
      <c r="O795">
        <v>1</v>
      </c>
      <c r="P795" s="1" t="s">
        <v>39</v>
      </c>
      <c r="Q795">
        <v>16</v>
      </c>
      <c r="R795">
        <v>4</v>
      </c>
      <c r="S795">
        <v>1</v>
      </c>
      <c r="T795">
        <v>4</v>
      </c>
      <c r="U795">
        <v>5</v>
      </c>
      <c r="V795">
        <v>2</v>
      </c>
      <c r="W795">
        <v>4</v>
      </c>
      <c r="X795">
        <v>2</v>
      </c>
      <c r="Y795">
        <v>2</v>
      </c>
      <c r="Z795">
        <v>2</v>
      </c>
      <c r="AA795">
        <v>0</v>
      </c>
      <c r="AB795" s="1" t="s">
        <v>48</v>
      </c>
      <c r="AC795" t="s">
        <v>46</v>
      </c>
      <c r="AD795" t="s">
        <v>53</v>
      </c>
      <c r="AE795" s="2">
        <v>551.75</v>
      </c>
    </row>
    <row r="796" spans="1:31" x14ac:dyDescent="0.35">
      <c r="A796">
        <v>34</v>
      </c>
      <c r="B796" s="1" t="s">
        <v>39</v>
      </c>
      <c r="C796" s="1" t="s">
        <v>40</v>
      </c>
      <c r="D796">
        <v>3</v>
      </c>
      <c r="E796">
        <v>1</v>
      </c>
      <c r="F796" s="1" t="s">
        <v>32</v>
      </c>
      <c r="G796">
        <v>1</v>
      </c>
      <c r="H796" s="1" t="s">
        <v>41</v>
      </c>
      <c r="I796">
        <v>3</v>
      </c>
      <c r="J796">
        <v>2</v>
      </c>
      <c r="K796" s="1" t="s">
        <v>52</v>
      </c>
      <c r="L796">
        <v>4</v>
      </c>
      <c r="M796" s="1" t="s">
        <v>35</v>
      </c>
      <c r="N796">
        <v>7756</v>
      </c>
      <c r="O796">
        <v>0</v>
      </c>
      <c r="P796" s="1" t="s">
        <v>39</v>
      </c>
      <c r="Q796">
        <v>17</v>
      </c>
      <c r="R796">
        <v>3</v>
      </c>
      <c r="S796">
        <v>0</v>
      </c>
      <c r="T796">
        <v>7</v>
      </c>
      <c r="U796">
        <v>1</v>
      </c>
      <c r="V796">
        <v>2</v>
      </c>
      <c r="W796">
        <v>6</v>
      </c>
      <c r="X796">
        <v>2</v>
      </c>
      <c r="Y796">
        <v>0</v>
      </c>
      <c r="Z796">
        <v>4</v>
      </c>
      <c r="AA796">
        <v>0</v>
      </c>
      <c r="AB796" s="1" t="s">
        <v>48</v>
      </c>
      <c r="AC796" t="s">
        <v>37</v>
      </c>
      <c r="AD796" t="s">
        <v>38</v>
      </c>
      <c r="AE796" s="2">
        <v>1292.6666666666667</v>
      </c>
    </row>
    <row r="797" spans="1:31" x14ac:dyDescent="0.35">
      <c r="A797">
        <v>37</v>
      </c>
      <c r="B797" s="1" t="s">
        <v>39</v>
      </c>
      <c r="C797" s="1" t="s">
        <v>31</v>
      </c>
      <c r="D797">
        <v>10</v>
      </c>
      <c r="E797">
        <v>4</v>
      </c>
      <c r="F797" s="1" t="s">
        <v>32</v>
      </c>
      <c r="G797">
        <v>4</v>
      </c>
      <c r="H797" s="1" t="s">
        <v>33</v>
      </c>
      <c r="I797">
        <v>2</v>
      </c>
      <c r="J797">
        <v>2</v>
      </c>
      <c r="K797" s="1" t="s">
        <v>34</v>
      </c>
      <c r="L797">
        <v>4</v>
      </c>
      <c r="M797" s="1" t="s">
        <v>50</v>
      </c>
      <c r="N797">
        <v>6694</v>
      </c>
      <c r="O797">
        <v>2</v>
      </c>
      <c r="P797" s="1" t="s">
        <v>30</v>
      </c>
      <c r="Q797">
        <v>14</v>
      </c>
      <c r="R797">
        <v>3</v>
      </c>
      <c r="S797">
        <v>3</v>
      </c>
      <c r="T797">
        <v>8</v>
      </c>
      <c r="U797">
        <v>5</v>
      </c>
      <c r="V797">
        <v>3</v>
      </c>
      <c r="W797">
        <v>1</v>
      </c>
      <c r="X797">
        <v>0</v>
      </c>
      <c r="Y797">
        <v>0</v>
      </c>
      <c r="Z797">
        <v>0</v>
      </c>
      <c r="AA797">
        <v>0</v>
      </c>
      <c r="AB797" s="1" t="s">
        <v>36</v>
      </c>
      <c r="AC797" t="s">
        <v>37</v>
      </c>
      <c r="AD797" t="s">
        <v>47</v>
      </c>
      <c r="AE797" s="2">
        <v>6694</v>
      </c>
    </row>
    <row r="798" spans="1:31" x14ac:dyDescent="0.35">
      <c r="A798">
        <v>25</v>
      </c>
      <c r="B798" s="1" t="s">
        <v>30</v>
      </c>
      <c r="C798" s="1" t="s">
        <v>40</v>
      </c>
      <c r="D798">
        <v>4</v>
      </c>
      <c r="E798">
        <v>1</v>
      </c>
      <c r="F798" s="1" t="s">
        <v>61</v>
      </c>
      <c r="G798">
        <v>4</v>
      </c>
      <c r="H798" s="1" t="s">
        <v>41</v>
      </c>
      <c r="I798">
        <v>3</v>
      </c>
      <c r="J798">
        <v>1</v>
      </c>
      <c r="K798" s="1" t="s">
        <v>45</v>
      </c>
      <c r="L798">
        <v>4</v>
      </c>
      <c r="M798" s="1" t="s">
        <v>43</v>
      </c>
      <c r="N798">
        <v>3691</v>
      </c>
      <c r="O798">
        <v>1</v>
      </c>
      <c r="P798" s="1" t="s">
        <v>30</v>
      </c>
      <c r="Q798">
        <v>15</v>
      </c>
      <c r="R798">
        <v>2</v>
      </c>
      <c r="S798">
        <v>1</v>
      </c>
      <c r="T798">
        <v>7</v>
      </c>
      <c r="U798">
        <v>3</v>
      </c>
      <c r="V798">
        <v>4</v>
      </c>
      <c r="W798">
        <v>7</v>
      </c>
      <c r="X798">
        <v>7</v>
      </c>
      <c r="Y798">
        <v>5</v>
      </c>
      <c r="Z798">
        <v>6</v>
      </c>
      <c r="AA798">
        <v>1</v>
      </c>
      <c r="AB798" s="1" t="s">
        <v>54</v>
      </c>
      <c r="AC798" t="s">
        <v>46</v>
      </c>
      <c r="AD798" t="s">
        <v>38</v>
      </c>
      <c r="AE798" s="2">
        <v>527.28571428571433</v>
      </c>
    </row>
    <row r="799" spans="1:31" x14ac:dyDescent="0.35">
      <c r="A799">
        <v>26</v>
      </c>
      <c r="B799" s="1" t="s">
        <v>30</v>
      </c>
      <c r="C799" s="1" t="s">
        <v>40</v>
      </c>
      <c r="D799">
        <v>21</v>
      </c>
      <c r="E799">
        <v>3</v>
      </c>
      <c r="F799" s="1" t="s">
        <v>49</v>
      </c>
      <c r="G799">
        <v>1</v>
      </c>
      <c r="H799" s="1" t="s">
        <v>41</v>
      </c>
      <c r="I799">
        <v>3</v>
      </c>
      <c r="J799">
        <v>1</v>
      </c>
      <c r="K799" s="1" t="s">
        <v>45</v>
      </c>
      <c r="L799">
        <v>3</v>
      </c>
      <c r="M799" s="1" t="s">
        <v>50</v>
      </c>
      <c r="N799">
        <v>2377</v>
      </c>
      <c r="O799">
        <v>1</v>
      </c>
      <c r="P799" s="1" t="s">
        <v>39</v>
      </c>
      <c r="Q799">
        <v>20</v>
      </c>
      <c r="R799">
        <v>3</v>
      </c>
      <c r="S799">
        <v>1</v>
      </c>
      <c r="T799">
        <v>1</v>
      </c>
      <c r="U799">
        <v>0</v>
      </c>
      <c r="V799">
        <v>2</v>
      </c>
      <c r="W799">
        <v>1</v>
      </c>
      <c r="X799">
        <v>1</v>
      </c>
      <c r="Y799">
        <v>0</v>
      </c>
      <c r="Z799">
        <v>0</v>
      </c>
      <c r="AA799">
        <v>1</v>
      </c>
      <c r="AB799" s="1" t="s">
        <v>48</v>
      </c>
      <c r="AC799" t="s">
        <v>46</v>
      </c>
      <c r="AD799" t="s">
        <v>47</v>
      </c>
      <c r="AE799" s="2">
        <v>2377</v>
      </c>
    </row>
    <row r="800" spans="1:31" x14ac:dyDescent="0.35">
      <c r="A800">
        <v>33</v>
      </c>
      <c r="B800" s="1" t="s">
        <v>30</v>
      </c>
      <c r="C800" s="1" t="s">
        <v>40</v>
      </c>
      <c r="D800">
        <v>25</v>
      </c>
      <c r="E800">
        <v>3</v>
      </c>
      <c r="F800" s="1" t="s">
        <v>49</v>
      </c>
      <c r="G800">
        <v>1</v>
      </c>
      <c r="H800" s="1" t="s">
        <v>41</v>
      </c>
      <c r="I800">
        <v>2</v>
      </c>
      <c r="J800">
        <v>1</v>
      </c>
      <c r="K800" s="1" t="s">
        <v>42</v>
      </c>
      <c r="L800">
        <v>2</v>
      </c>
      <c r="M800" s="1" t="s">
        <v>35</v>
      </c>
      <c r="N800">
        <v>2313</v>
      </c>
      <c r="O800">
        <v>4</v>
      </c>
      <c r="P800" s="1" t="s">
        <v>30</v>
      </c>
      <c r="Q800">
        <v>20</v>
      </c>
      <c r="R800">
        <v>2</v>
      </c>
      <c r="S800">
        <v>0</v>
      </c>
      <c r="T800">
        <v>5</v>
      </c>
      <c r="U800">
        <v>0</v>
      </c>
      <c r="V800">
        <v>3</v>
      </c>
      <c r="W800">
        <v>2</v>
      </c>
      <c r="X800">
        <v>2</v>
      </c>
      <c r="Y800">
        <v>2</v>
      </c>
      <c r="Z800">
        <v>2</v>
      </c>
      <c r="AA800">
        <v>1</v>
      </c>
      <c r="AB800" s="1" t="s">
        <v>48</v>
      </c>
      <c r="AC800" t="s">
        <v>46</v>
      </c>
      <c r="AD800" t="s">
        <v>47</v>
      </c>
      <c r="AE800" s="2">
        <v>1156.5</v>
      </c>
    </row>
    <row r="801" spans="1:31" x14ac:dyDescent="0.35">
      <c r="A801">
        <v>42</v>
      </c>
      <c r="B801" s="1" t="s">
        <v>39</v>
      </c>
      <c r="C801" s="1" t="s">
        <v>40</v>
      </c>
      <c r="D801">
        <v>2</v>
      </c>
      <c r="E801">
        <v>2</v>
      </c>
      <c r="F801" s="1" t="s">
        <v>49</v>
      </c>
      <c r="G801">
        <v>4</v>
      </c>
      <c r="H801" s="1" t="s">
        <v>41</v>
      </c>
      <c r="I801">
        <v>3</v>
      </c>
      <c r="J801">
        <v>4</v>
      </c>
      <c r="K801" s="1" t="s">
        <v>55</v>
      </c>
      <c r="L801">
        <v>1</v>
      </c>
      <c r="M801" s="1" t="s">
        <v>43</v>
      </c>
      <c r="N801">
        <v>17665</v>
      </c>
      <c r="O801">
        <v>0</v>
      </c>
      <c r="P801" s="1" t="s">
        <v>39</v>
      </c>
      <c r="Q801">
        <v>17</v>
      </c>
      <c r="R801">
        <v>4</v>
      </c>
      <c r="S801">
        <v>1</v>
      </c>
      <c r="T801">
        <v>23</v>
      </c>
      <c r="U801">
        <v>3</v>
      </c>
      <c r="V801">
        <v>3</v>
      </c>
      <c r="W801">
        <v>22</v>
      </c>
      <c r="X801">
        <v>6</v>
      </c>
      <c r="Y801">
        <v>13</v>
      </c>
      <c r="Z801">
        <v>7</v>
      </c>
      <c r="AA801">
        <v>0</v>
      </c>
      <c r="AB801" s="1" t="s">
        <v>36</v>
      </c>
      <c r="AC801" t="s">
        <v>56</v>
      </c>
      <c r="AD801" t="s">
        <v>57</v>
      </c>
      <c r="AE801" s="2">
        <v>802.9545454545455</v>
      </c>
    </row>
    <row r="802" spans="1:31" x14ac:dyDescent="0.35">
      <c r="A802">
        <v>28</v>
      </c>
      <c r="B802" s="1" t="s">
        <v>30</v>
      </c>
      <c r="C802" s="1" t="s">
        <v>40</v>
      </c>
      <c r="D802">
        <v>1</v>
      </c>
      <c r="E802">
        <v>3</v>
      </c>
      <c r="F802" s="1" t="s">
        <v>49</v>
      </c>
      <c r="G802">
        <v>1</v>
      </c>
      <c r="H802" s="1" t="s">
        <v>41</v>
      </c>
      <c r="I802">
        <v>2</v>
      </c>
      <c r="J802">
        <v>1</v>
      </c>
      <c r="K802" s="1" t="s">
        <v>45</v>
      </c>
      <c r="L802">
        <v>2</v>
      </c>
      <c r="M802" s="1" t="s">
        <v>50</v>
      </c>
      <c r="N802">
        <v>2596</v>
      </c>
      <c r="O802">
        <v>1</v>
      </c>
      <c r="P802" s="1" t="s">
        <v>39</v>
      </c>
      <c r="Q802">
        <v>15</v>
      </c>
      <c r="R802">
        <v>1</v>
      </c>
      <c r="S802">
        <v>2</v>
      </c>
      <c r="T802">
        <v>1</v>
      </c>
      <c r="U802">
        <v>2</v>
      </c>
      <c r="V802">
        <v>3</v>
      </c>
      <c r="W802">
        <v>1</v>
      </c>
      <c r="X802">
        <v>0</v>
      </c>
      <c r="Y802">
        <v>0</v>
      </c>
      <c r="Z802">
        <v>0</v>
      </c>
      <c r="AA802">
        <v>1</v>
      </c>
      <c r="AB802" s="1" t="s">
        <v>48</v>
      </c>
      <c r="AC802" t="s">
        <v>46</v>
      </c>
      <c r="AD802" t="s">
        <v>47</v>
      </c>
      <c r="AE802" s="2">
        <v>2596</v>
      </c>
    </row>
    <row r="803" spans="1:31" x14ac:dyDescent="0.35">
      <c r="A803">
        <v>50</v>
      </c>
      <c r="B803" s="1" t="s">
        <v>30</v>
      </c>
      <c r="C803" s="1" t="s">
        <v>31</v>
      </c>
      <c r="D803">
        <v>1</v>
      </c>
      <c r="E803">
        <v>4</v>
      </c>
      <c r="F803" s="1" t="s">
        <v>44</v>
      </c>
      <c r="G803">
        <v>4</v>
      </c>
      <c r="H803" s="1" t="s">
        <v>41</v>
      </c>
      <c r="I803">
        <v>3</v>
      </c>
      <c r="J803">
        <v>2</v>
      </c>
      <c r="K803" s="1" t="s">
        <v>34</v>
      </c>
      <c r="L803">
        <v>3</v>
      </c>
      <c r="M803" s="1" t="s">
        <v>35</v>
      </c>
      <c r="N803">
        <v>4728</v>
      </c>
      <c r="O803">
        <v>3</v>
      </c>
      <c r="P803" s="1" t="s">
        <v>30</v>
      </c>
      <c r="Q803">
        <v>14</v>
      </c>
      <c r="R803">
        <v>4</v>
      </c>
      <c r="S803">
        <v>0</v>
      </c>
      <c r="T803">
        <v>5</v>
      </c>
      <c r="U803">
        <v>4</v>
      </c>
      <c r="V803">
        <v>3</v>
      </c>
      <c r="W803">
        <v>0</v>
      </c>
      <c r="X803">
        <v>0</v>
      </c>
      <c r="Y803">
        <v>0</v>
      </c>
      <c r="Z803">
        <v>0</v>
      </c>
      <c r="AA803">
        <v>1</v>
      </c>
      <c r="AB803" s="1" t="s">
        <v>82</v>
      </c>
      <c r="AC803" t="s">
        <v>37</v>
      </c>
      <c r="AD803" t="s">
        <v>47</v>
      </c>
      <c r="AE803" s="2">
        <v>4728</v>
      </c>
    </row>
    <row r="804" spans="1:31" x14ac:dyDescent="0.35">
      <c r="A804">
        <v>33</v>
      </c>
      <c r="B804" s="1" t="s">
        <v>39</v>
      </c>
      <c r="C804" s="1" t="s">
        <v>31</v>
      </c>
      <c r="D804">
        <v>7</v>
      </c>
      <c r="E804">
        <v>3</v>
      </c>
      <c r="F804" s="1" t="s">
        <v>32</v>
      </c>
      <c r="G804">
        <v>4</v>
      </c>
      <c r="H804" s="1" t="s">
        <v>33</v>
      </c>
      <c r="I804">
        <v>3</v>
      </c>
      <c r="J804">
        <v>2</v>
      </c>
      <c r="K804" s="1" t="s">
        <v>34</v>
      </c>
      <c r="L804">
        <v>2</v>
      </c>
      <c r="M804" s="1" t="s">
        <v>43</v>
      </c>
      <c r="N804">
        <v>4302</v>
      </c>
      <c r="O804">
        <v>0</v>
      </c>
      <c r="P804" s="1" t="s">
        <v>39</v>
      </c>
      <c r="Q804">
        <v>17</v>
      </c>
      <c r="R804">
        <v>3</v>
      </c>
      <c r="S804">
        <v>1</v>
      </c>
      <c r="T804">
        <v>4</v>
      </c>
      <c r="U804">
        <v>3</v>
      </c>
      <c r="V804">
        <v>3</v>
      </c>
      <c r="W804">
        <v>3</v>
      </c>
      <c r="X804">
        <v>2</v>
      </c>
      <c r="Y804">
        <v>0</v>
      </c>
      <c r="Z804">
        <v>2</v>
      </c>
      <c r="AA804">
        <v>0</v>
      </c>
      <c r="AB804" s="1" t="s">
        <v>48</v>
      </c>
      <c r="AC804" t="s">
        <v>37</v>
      </c>
      <c r="AD804" t="s">
        <v>53</v>
      </c>
      <c r="AE804" s="2">
        <v>1434</v>
      </c>
    </row>
    <row r="805" spans="1:31" x14ac:dyDescent="0.35">
      <c r="A805">
        <v>34</v>
      </c>
      <c r="B805" s="1" t="s">
        <v>39</v>
      </c>
      <c r="C805" s="1" t="s">
        <v>40</v>
      </c>
      <c r="D805">
        <v>3</v>
      </c>
      <c r="E805">
        <v>4</v>
      </c>
      <c r="F805" s="1" t="s">
        <v>32</v>
      </c>
      <c r="G805">
        <v>3</v>
      </c>
      <c r="H805" s="1" t="s">
        <v>41</v>
      </c>
      <c r="I805">
        <v>2</v>
      </c>
      <c r="J805">
        <v>1</v>
      </c>
      <c r="K805" s="1" t="s">
        <v>42</v>
      </c>
      <c r="L805">
        <v>4</v>
      </c>
      <c r="M805" s="1" t="s">
        <v>43</v>
      </c>
      <c r="N805">
        <v>2979</v>
      </c>
      <c r="O805">
        <v>3</v>
      </c>
      <c r="P805" s="1" t="s">
        <v>39</v>
      </c>
      <c r="Q805">
        <v>17</v>
      </c>
      <c r="R805">
        <v>4</v>
      </c>
      <c r="S805">
        <v>3</v>
      </c>
      <c r="T805">
        <v>6</v>
      </c>
      <c r="U805">
        <v>2</v>
      </c>
      <c r="V805">
        <v>3</v>
      </c>
      <c r="W805">
        <v>0</v>
      </c>
      <c r="X805">
        <v>0</v>
      </c>
      <c r="Y805">
        <v>0</v>
      </c>
      <c r="Z805">
        <v>0</v>
      </c>
      <c r="AA805">
        <v>0</v>
      </c>
      <c r="AB805" s="1" t="s">
        <v>48</v>
      </c>
      <c r="AC805" t="s">
        <v>46</v>
      </c>
      <c r="AD805" t="s">
        <v>47</v>
      </c>
      <c r="AE805" s="2">
        <v>2979</v>
      </c>
    </row>
    <row r="806" spans="1:31" x14ac:dyDescent="0.35">
      <c r="A806">
        <v>48</v>
      </c>
      <c r="B806" s="1" t="s">
        <v>39</v>
      </c>
      <c r="C806" s="1" t="s">
        <v>40</v>
      </c>
      <c r="D806">
        <v>1</v>
      </c>
      <c r="E806">
        <v>4</v>
      </c>
      <c r="F806" s="1" t="s">
        <v>49</v>
      </c>
      <c r="G806">
        <v>1</v>
      </c>
      <c r="H806" s="1" t="s">
        <v>41</v>
      </c>
      <c r="I806">
        <v>4</v>
      </c>
      <c r="J806">
        <v>4</v>
      </c>
      <c r="K806" s="1" t="s">
        <v>55</v>
      </c>
      <c r="L806">
        <v>4</v>
      </c>
      <c r="M806" s="1" t="s">
        <v>35</v>
      </c>
      <c r="N806">
        <v>16885</v>
      </c>
      <c r="O806">
        <v>2</v>
      </c>
      <c r="P806" s="1" t="s">
        <v>39</v>
      </c>
      <c r="Q806">
        <v>22</v>
      </c>
      <c r="R806">
        <v>3</v>
      </c>
      <c r="S806">
        <v>0</v>
      </c>
      <c r="T806">
        <v>27</v>
      </c>
      <c r="U806">
        <v>3</v>
      </c>
      <c r="V806">
        <v>2</v>
      </c>
      <c r="W806">
        <v>5</v>
      </c>
      <c r="X806">
        <v>4</v>
      </c>
      <c r="Y806">
        <v>2</v>
      </c>
      <c r="Z806">
        <v>1</v>
      </c>
      <c r="AA806">
        <v>0</v>
      </c>
      <c r="AB806" s="1" t="s">
        <v>82</v>
      </c>
      <c r="AC806" t="s">
        <v>56</v>
      </c>
      <c r="AD806" t="s">
        <v>53</v>
      </c>
      <c r="AE806" s="2">
        <v>3377</v>
      </c>
    </row>
    <row r="807" spans="1:31" x14ac:dyDescent="0.35">
      <c r="A807">
        <v>45</v>
      </c>
      <c r="B807" s="1" t="s">
        <v>39</v>
      </c>
      <c r="C807" s="1" t="s">
        <v>31</v>
      </c>
      <c r="D807">
        <v>9</v>
      </c>
      <c r="E807">
        <v>4</v>
      </c>
      <c r="F807" s="1" t="s">
        <v>32</v>
      </c>
      <c r="G807">
        <v>2</v>
      </c>
      <c r="H807" s="1" t="s">
        <v>33</v>
      </c>
      <c r="I807">
        <v>2</v>
      </c>
      <c r="J807">
        <v>2</v>
      </c>
      <c r="K807" s="1" t="s">
        <v>34</v>
      </c>
      <c r="L807">
        <v>3</v>
      </c>
      <c r="M807" s="1" t="s">
        <v>43</v>
      </c>
      <c r="N807">
        <v>5593</v>
      </c>
      <c r="O807">
        <v>1</v>
      </c>
      <c r="P807" s="1" t="s">
        <v>39</v>
      </c>
      <c r="Q807">
        <v>13</v>
      </c>
      <c r="R807">
        <v>4</v>
      </c>
      <c r="S807">
        <v>1</v>
      </c>
      <c r="T807">
        <v>15</v>
      </c>
      <c r="U807">
        <v>2</v>
      </c>
      <c r="V807">
        <v>3</v>
      </c>
      <c r="W807">
        <v>15</v>
      </c>
      <c r="X807">
        <v>10</v>
      </c>
      <c r="Y807">
        <v>4</v>
      </c>
      <c r="Z807">
        <v>12</v>
      </c>
      <c r="AA807">
        <v>0</v>
      </c>
      <c r="AB807" s="1" t="s">
        <v>36</v>
      </c>
      <c r="AC807" t="s">
        <v>37</v>
      </c>
      <c r="AD807" t="s">
        <v>57</v>
      </c>
      <c r="AE807" s="2">
        <v>372.86666666666667</v>
      </c>
    </row>
    <row r="808" spans="1:31" x14ac:dyDescent="0.35">
      <c r="A808">
        <v>52</v>
      </c>
      <c r="B808" s="1" t="s">
        <v>39</v>
      </c>
      <c r="C808" s="1" t="s">
        <v>40</v>
      </c>
      <c r="D808">
        <v>7</v>
      </c>
      <c r="E808">
        <v>4</v>
      </c>
      <c r="F808" s="1" t="s">
        <v>32</v>
      </c>
      <c r="G808">
        <v>2</v>
      </c>
      <c r="H808" s="1" t="s">
        <v>41</v>
      </c>
      <c r="I808">
        <v>3</v>
      </c>
      <c r="J808">
        <v>3</v>
      </c>
      <c r="K808" s="1" t="s">
        <v>52</v>
      </c>
      <c r="L808">
        <v>2</v>
      </c>
      <c r="M808" s="1" t="s">
        <v>35</v>
      </c>
      <c r="N808">
        <v>10445</v>
      </c>
      <c r="O808">
        <v>7</v>
      </c>
      <c r="P808" s="1" t="s">
        <v>39</v>
      </c>
      <c r="Q808">
        <v>19</v>
      </c>
      <c r="R808">
        <v>4</v>
      </c>
      <c r="S808">
        <v>0</v>
      </c>
      <c r="T808">
        <v>18</v>
      </c>
      <c r="U808">
        <v>4</v>
      </c>
      <c r="V808">
        <v>3</v>
      </c>
      <c r="W808">
        <v>8</v>
      </c>
      <c r="X808">
        <v>6</v>
      </c>
      <c r="Y808">
        <v>4</v>
      </c>
      <c r="Z808">
        <v>0</v>
      </c>
      <c r="AA808">
        <v>0</v>
      </c>
      <c r="AB808" s="1" t="s">
        <v>82</v>
      </c>
      <c r="AC808" t="s">
        <v>56</v>
      </c>
      <c r="AD808" t="s">
        <v>38</v>
      </c>
      <c r="AE808" s="2">
        <v>1305.625</v>
      </c>
    </row>
    <row r="809" spans="1:31" x14ac:dyDescent="0.35">
      <c r="A809">
        <v>38</v>
      </c>
      <c r="B809" s="1" t="s">
        <v>39</v>
      </c>
      <c r="C809" s="1" t="s">
        <v>31</v>
      </c>
      <c r="D809">
        <v>10</v>
      </c>
      <c r="E809">
        <v>4</v>
      </c>
      <c r="F809" s="1" t="s">
        <v>60</v>
      </c>
      <c r="G809">
        <v>3</v>
      </c>
      <c r="H809" s="1" t="s">
        <v>41</v>
      </c>
      <c r="I809">
        <v>2</v>
      </c>
      <c r="J809">
        <v>3</v>
      </c>
      <c r="K809" s="1" t="s">
        <v>34</v>
      </c>
      <c r="L809">
        <v>3</v>
      </c>
      <c r="M809" s="1" t="s">
        <v>50</v>
      </c>
      <c r="N809">
        <v>8740</v>
      </c>
      <c r="O809">
        <v>0</v>
      </c>
      <c r="P809" s="1" t="s">
        <v>30</v>
      </c>
      <c r="Q809">
        <v>14</v>
      </c>
      <c r="R809">
        <v>2</v>
      </c>
      <c r="S809">
        <v>2</v>
      </c>
      <c r="T809">
        <v>9</v>
      </c>
      <c r="U809">
        <v>2</v>
      </c>
      <c r="V809">
        <v>3</v>
      </c>
      <c r="W809">
        <v>8</v>
      </c>
      <c r="X809">
        <v>7</v>
      </c>
      <c r="Y809">
        <v>2</v>
      </c>
      <c r="Z809">
        <v>7</v>
      </c>
      <c r="AA809">
        <v>0</v>
      </c>
      <c r="AB809" s="1" t="s">
        <v>36</v>
      </c>
      <c r="AC809" t="s">
        <v>37</v>
      </c>
      <c r="AD809" t="s">
        <v>38</v>
      </c>
      <c r="AE809" s="2">
        <v>1092.5</v>
      </c>
    </row>
    <row r="810" spans="1:31" x14ac:dyDescent="0.35">
      <c r="A810">
        <v>29</v>
      </c>
      <c r="B810" s="1" t="s">
        <v>39</v>
      </c>
      <c r="C810" s="1" t="s">
        <v>40</v>
      </c>
      <c r="D810">
        <v>28</v>
      </c>
      <c r="E810">
        <v>4</v>
      </c>
      <c r="F810" s="1" t="s">
        <v>32</v>
      </c>
      <c r="G810">
        <v>3</v>
      </c>
      <c r="H810" s="1" t="s">
        <v>33</v>
      </c>
      <c r="I810">
        <v>3</v>
      </c>
      <c r="J810">
        <v>1</v>
      </c>
      <c r="K810" s="1" t="s">
        <v>42</v>
      </c>
      <c r="L810">
        <v>4</v>
      </c>
      <c r="M810" s="1" t="s">
        <v>50</v>
      </c>
      <c r="N810">
        <v>2514</v>
      </c>
      <c r="O810">
        <v>4</v>
      </c>
      <c r="P810" s="1" t="s">
        <v>39</v>
      </c>
      <c r="Q810">
        <v>22</v>
      </c>
      <c r="R810">
        <v>1</v>
      </c>
      <c r="S810">
        <v>1</v>
      </c>
      <c r="T810">
        <v>11</v>
      </c>
      <c r="U810">
        <v>1</v>
      </c>
      <c r="V810">
        <v>3</v>
      </c>
      <c r="W810">
        <v>7</v>
      </c>
      <c r="X810">
        <v>5</v>
      </c>
      <c r="Y810">
        <v>1</v>
      </c>
      <c r="Z810">
        <v>7</v>
      </c>
      <c r="AA810">
        <v>0</v>
      </c>
      <c r="AB810" s="1" t="s">
        <v>48</v>
      </c>
      <c r="AC810" t="s">
        <v>46</v>
      </c>
      <c r="AD810" t="s">
        <v>38</v>
      </c>
      <c r="AE810" s="2">
        <v>359.14285714285717</v>
      </c>
    </row>
    <row r="811" spans="1:31" x14ac:dyDescent="0.35">
      <c r="A811">
        <v>28</v>
      </c>
      <c r="B811" s="1" t="s">
        <v>39</v>
      </c>
      <c r="C811" s="1" t="s">
        <v>40</v>
      </c>
      <c r="D811">
        <v>3</v>
      </c>
      <c r="E811">
        <v>3</v>
      </c>
      <c r="F811" s="1" t="s">
        <v>49</v>
      </c>
      <c r="G811">
        <v>4</v>
      </c>
      <c r="H811" s="1" t="s">
        <v>33</v>
      </c>
      <c r="I811">
        <v>3</v>
      </c>
      <c r="J811">
        <v>3</v>
      </c>
      <c r="K811" s="1" t="s">
        <v>51</v>
      </c>
      <c r="L811">
        <v>2</v>
      </c>
      <c r="M811" s="1" t="s">
        <v>50</v>
      </c>
      <c r="N811">
        <v>7655</v>
      </c>
      <c r="O811">
        <v>0</v>
      </c>
      <c r="P811" s="1" t="s">
        <v>39</v>
      </c>
      <c r="Q811">
        <v>17</v>
      </c>
      <c r="R811">
        <v>2</v>
      </c>
      <c r="S811">
        <v>3</v>
      </c>
      <c r="T811">
        <v>10</v>
      </c>
      <c r="U811">
        <v>3</v>
      </c>
      <c r="V811">
        <v>2</v>
      </c>
      <c r="W811">
        <v>9</v>
      </c>
      <c r="X811">
        <v>7</v>
      </c>
      <c r="Y811">
        <v>1</v>
      </c>
      <c r="Z811">
        <v>7</v>
      </c>
      <c r="AA811">
        <v>0</v>
      </c>
      <c r="AB811" s="1" t="s">
        <v>48</v>
      </c>
      <c r="AC811" t="s">
        <v>37</v>
      </c>
      <c r="AD811" t="s">
        <v>38</v>
      </c>
      <c r="AE811" s="2">
        <v>850.55555555555554</v>
      </c>
    </row>
    <row r="812" spans="1:31" x14ac:dyDescent="0.35">
      <c r="A812">
        <v>46</v>
      </c>
      <c r="B812" s="1" t="s">
        <v>39</v>
      </c>
      <c r="C812" s="1" t="s">
        <v>31</v>
      </c>
      <c r="D812">
        <v>3</v>
      </c>
      <c r="E812">
        <v>1</v>
      </c>
      <c r="F812" s="1" t="s">
        <v>60</v>
      </c>
      <c r="G812">
        <v>1</v>
      </c>
      <c r="H812" s="1" t="s">
        <v>41</v>
      </c>
      <c r="I812">
        <v>3</v>
      </c>
      <c r="J812">
        <v>4</v>
      </c>
      <c r="K812" s="1" t="s">
        <v>55</v>
      </c>
      <c r="L812">
        <v>3</v>
      </c>
      <c r="M812" s="1" t="s">
        <v>43</v>
      </c>
      <c r="N812">
        <v>17465</v>
      </c>
      <c r="O812">
        <v>3</v>
      </c>
      <c r="P812" s="1" t="s">
        <v>39</v>
      </c>
      <c r="Q812">
        <v>12</v>
      </c>
      <c r="R812">
        <v>4</v>
      </c>
      <c r="S812">
        <v>1</v>
      </c>
      <c r="T812">
        <v>23</v>
      </c>
      <c r="U812">
        <v>3</v>
      </c>
      <c r="V812">
        <v>3</v>
      </c>
      <c r="W812">
        <v>12</v>
      </c>
      <c r="X812">
        <v>9</v>
      </c>
      <c r="Y812">
        <v>4</v>
      </c>
      <c r="Z812">
        <v>9</v>
      </c>
      <c r="AA812">
        <v>0</v>
      </c>
      <c r="AB812" s="1" t="s">
        <v>82</v>
      </c>
      <c r="AC812" t="s">
        <v>56</v>
      </c>
      <c r="AD812" t="s">
        <v>57</v>
      </c>
      <c r="AE812" s="2">
        <v>1455.4166666666667</v>
      </c>
    </row>
    <row r="813" spans="1:31" x14ac:dyDescent="0.35">
      <c r="A813">
        <v>38</v>
      </c>
      <c r="B813" s="1" t="s">
        <v>39</v>
      </c>
      <c r="C813" s="1" t="s">
        <v>31</v>
      </c>
      <c r="D813">
        <v>2</v>
      </c>
      <c r="E813">
        <v>2</v>
      </c>
      <c r="F813" s="1" t="s">
        <v>60</v>
      </c>
      <c r="G813">
        <v>4</v>
      </c>
      <c r="H813" s="1" t="s">
        <v>41</v>
      </c>
      <c r="I813">
        <v>3</v>
      </c>
      <c r="J813">
        <v>3</v>
      </c>
      <c r="K813" s="1" t="s">
        <v>34</v>
      </c>
      <c r="L813">
        <v>2</v>
      </c>
      <c r="M813" s="1" t="s">
        <v>35</v>
      </c>
      <c r="N813">
        <v>7351</v>
      </c>
      <c r="O813">
        <v>7</v>
      </c>
      <c r="P813" s="1" t="s">
        <v>39</v>
      </c>
      <c r="Q813">
        <v>16</v>
      </c>
      <c r="R813">
        <v>3</v>
      </c>
      <c r="S813">
        <v>0</v>
      </c>
      <c r="T813">
        <v>10</v>
      </c>
      <c r="U813">
        <v>2</v>
      </c>
      <c r="V813">
        <v>3</v>
      </c>
      <c r="W813">
        <v>1</v>
      </c>
      <c r="X813">
        <v>0</v>
      </c>
      <c r="Y813">
        <v>0</v>
      </c>
      <c r="Z813">
        <v>0</v>
      </c>
      <c r="AA813">
        <v>0</v>
      </c>
      <c r="AB813" s="1" t="s">
        <v>36</v>
      </c>
      <c r="AC813" t="s">
        <v>37</v>
      </c>
      <c r="AD813" t="s">
        <v>47</v>
      </c>
      <c r="AE813" s="2">
        <v>7351</v>
      </c>
    </row>
    <row r="814" spans="1:31" x14ac:dyDescent="0.35">
      <c r="A814">
        <v>43</v>
      </c>
      <c r="B814" s="1" t="s">
        <v>39</v>
      </c>
      <c r="C814" s="1" t="s">
        <v>40</v>
      </c>
      <c r="D814">
        <v>27</v>
      </c>
      <c r="E814">
        <v>3</v>
      </c>
      <c r="F814" s="1" t="s">
        <v>32</v>
      </c>
      <c r="G814">
        <v>3</v>
      </c>
      <c r="H814" s="1" t="s">
        <v>33</v>
      </c>
      <c r="I814">
        <v>3</v>
      </c>
      <c r="J814">
        <v>3</v>
      </c>
      <c r="K814" s="1" t="s">
        <v>51</v>
      </c>
      <c r="L814">
        <v>1</v>
      </c>
      <c r="M814" s="1" t="s">
        <v>43</v>
      </c>
      <c r="N814">
        <v>10820</v>
      </c>
      <c r="O814">
        <v>8</v>
      </c>
      <c r="P814" s="1" t="s">
        <v>39</v>
      </c>
      <c r="Q814">
        <v>11</v>
      </c>
      <c r="R814">
        <v>3</v>
      </c>
      <c r="S814">
        <v>1</v>
      </c>
      <c r="T814">
        <v>18</v>
      </c>
      <c r="U814">
        <v>1</v>
      </c>
      <c r="V814">
        <v>3</v>
      </c>
      <c r="W814">
        <v>8</v>
      </c>
      <c r="X814">
        <v>7</v>
      </c>
      <c r="Y814">
        <v>0</v>
      </c>
      <c r="Z814">
        <v>1</v>
      </c>
      <c r="AA814">
        <v>0</v>
      </c>
      <c r="AB814" s="1" t="s">
        <v>36</v>
      </c>
      <c r="AC814" t="s">
        <v>56</v>
      </c>
      <c r="AD814" t="s">
        <v>38</v>
      </c>
      <c r="AE814" s="2">
        <v>1352.5</v>
      </c>
    </row>
    <row r="815" spans="1:31" x14ac:dyDescent="0.35">
      <c r="A815">
        <v>39</v>
      </c>
      <c r="B815" s="1" t="s">
        <v>30</v>
      </c>
      <c r="C815" s="1" t="s">
        <v>40</v>
      </c>
      <c r="D815">
        <v>2</v>
      </c>
      <c r="E815">
        <v>3</v>
      </c>
      <c r="F815" s="1" t="s">
        <v>32</v>
      </c>
      <c r="G815">
        <v>1</v>
      </c>
      <c r="H815" s="1" t="s">
        <v>41</v>
      </c>
      <c r="I815">
        <v>3</v>
      </c>
      <c r="J815">
        <v>4</v>
      </c>
      <c r="K815" s="1" t="s">
        <v>52</v>
      </c>
      <c r="L815">
        <v>4</v>
      </c>
      <c r="M815" s="1" t="s">
        <v>50</v>
      </c>
      <c r="N815">
        <v>12169</v>
      </c>
      <c r="O815">
        <v>7</v>
      </c>
      <c r="P815" s="1" t="s">
        <v>39</v>
      </c>
      <c r="Q815">
        <v>11</v>
      </c>
      <c r="R815">
        <v>4</v>
      </c>
      <c r="S815">
        <v>3</v>
      </c>
      <c r="T815">
        <v>21</v>
      </c>
      <c r="U815">
        <v>4</v>
      </c>
      <c r="V815">
        <v>3</v>
      </c>
      <c r="W815">
        <v>18</v>
      </c>
      <c r="X815">
        <v>7</v>
      </c>
      <c r="Y815">
        <v>11</v>
      </c>
      <c r="Z815">
        <v>5</v>
      </c>
      <c r="AA815">
        <v>1</v>
      </c>
      <c r="AB815" s="1" t="s">
        <v>36</v>
      </c>
      <c r="AC815" t="s">
        <v>56</v>
      </c>
      <c r="AD815" t="s">
        <v>57</v>
      </c>
      <c r="AE815" s="2">
        <v>676.05555555555554</v>
      </c>
    </row>
    <row r="816" spans="1:31" x14ac:dyDescent="0.35">
      <c r="A816">
        <v>40</v>
      </c>
      <c r="B816" s="1" t="s">
        <v>39</v>
      </c>
      <c r="C816" s="1" t="s">
        <v>40</v>
      </c>
      <c r="D816">
        <v>14</v>
      </c>
      <c r="E816">
        <v>3</v>
      </c>
      <c r="F816" s="1" t="s">
        <v>49</v>
      </c>
      <c r="G816">
        <v>3</v>
      </c>
      <c r="H816" s="1" t="s">
        <v>41</v>
      </c>
      <c r="I816">
        <v>2</v>
      </c>
      <c r="J816">
        <v>5</v>
      </c>
      <c r="K816" s="1" t="s">
        <v>59</v>
      </c>
      <c r="L816">
        <v>3</v>
      </c>
      <c r="M816" s="1" t="s">
        <v>35</v>
      </c>
      <c r="N816">
        <v>19626</v>
      </c>
      <c r="O816">
        <v>1</v>
      </c>
      <c r="P816" s="1" t="s">
        <v>39</v>
      </c>
      <c r="Q816">
        <v>14</v>
      </c>
      <c r="R816">
        <v>1</v>
      </c>
      <c r="S816">
        <v>0</v>
      </c>
      <c r="T816">
        <v>21</v>
      </c>
      <c r="U816">
        <v>2</v>
      </c>
      <c r="V816">
        <v>4</v>
      </c>
      <c r="W816">
        <v>20</v>
      </c>
      <c r="X816">
        <v>7</v>
      </c>
      <c r="Y816">
        <v>4</v>
      </c>
      <c r="Z816">
        <v>9</v>
      </c>
      <c r="AA816">
        <v>0</v>
      </c>
      <c r="AB816" s="1" t="s">
        <v>36</v>
      </c>
      <c r="AC816" t="s">
        <v>56</v>
      </c>
      <c r="AD816" t="s">
        <v>57</v>
      </c>
      <c r="AE816" s="2">
        <v>981.3</v>
      </c>
    </row>
    <row r="817" spans="1:31" x14ac:dyDescent="0.35">
      <c r="A817">
        <v>21</v>
      </c>
      <c r="B817" s="1" t="s">
        <v>39</v>
      </c>
      <c r="C817" s="1" t="s">
        <v>40</v>
      </c>
      <c r="D817">
        <v>1</v>
      </c>
      <c r="E817">
        <v>1</v>
      </c>
      <c r="F817" s="1" t="s">
        <v>61</v>
      </c>
      <c r="G817">
        <v>4</v>
      </c>
      <c r="H817" s="1" t="s">
        <v>33</v>
      </c>
      <c r="I817">
        <v>2</v>
      </c>
      <c r="J817">
        <v>1</v>
      </c>
      <c r="K817" s="1" t="s">
        <v>42</v>
      </c>
      <c r="L817">
        <v>2</v>
      </c>
      <c r="M817" s="1" t="s">
        <v>35</v>
      </c>
      <c r="N817">
        <v>2070</v>
      </c>
      <c r="O817">
        <v>1</v>
      </c>
      <c r="P817" s="1" t="s">
        <v>30</v>
      </c>
      <c r="Q817">
        <v>11</v>
      </c>
      <c r="R817">
        <v>3</v>
      </c>
      <c r="S817">
        <v>0</v>
      </c>
      <c r="T817">
        <v>2</v>
      </c>
      <c r="U817">
        <v>6</v>
      </c>
      <c r="V817">
        <v>4</v>
      </c>
      <c r="W817">
        <v>2</v>
      </c>
      <c r="X817">
        <v>2</v>
      </c>
      <c r="Y817">
        <v>2</v>
      </c>
      <c r="Z817">
        <v>2</v>
      </c>
      <c r="AA817">
        <v>0</v>
      </c>
      <c r="AB817" s="1" t="s">
        <v>54</v>
      </c>
      <c r="AC817" t="s">
        <v>46</v>
      </c>
      <c r="AD817" t="s">
        <v>47</v>
      </c>
      <c r="AE817" s="2">
        <v>1035</v>
      </c>
    </row>
    <row r="818" spans="1:31" x14ac:dyDescent="0.35">
      <c r="A818">
        <v>39</v>
      </c>
      <c r="B818" s="1" t="s">
        <v>39</v>
      </c>
      <c r="C818" s="1" t="s">
        <v>40</v>
      </c>
      <c r="D818">
        <v>9</v>
      </c>
      <c r="E818">
        <v>3</v>
      </c>
      <c r="F818" s="1" t="s">
        <v>32</v>
      </c>
      <c r="G818">
        <v>3</v>
      </c>
      <c r="H818" s="1" t="s">
        <v>41</v>
      </c>
      <c r="I818">
        <v>3</v>
      </c>
      <c r="J818">
        <v>2</v>
      </c>
      <c r="K818" s="1" t="s">
        <v>45</v>
      </c>
      <c r="L818">
        <v>2</v>
      </c>
      <c r="M818" s="1" t="s">
        <v>35</v>
      </c>
      <c r="N818">
        <v>6782</v>
      </c>
      <c r="O818">
        <v>9</v>
      </c>
      <c r="P818" s="1" t="s">
        <v>39</v>
      </c>
      <c r="Q818">
        <v>15</v>
      </c>
      <c r="R818">
        <v>3</v>
      </c>
      <c r="S818">
        <v>0</v>
      </c>
      <c r="T818">
        <v>9</v>
      </c>
      <c r="U818">
        <v>2</v>
      </c>
      <c r="V818">
        <v>2</v>
      </c>
      <c r="W818">
        <v>5</v>
      </c>
      <c r="X818">
        <v>4</v>
      </c>
      <c r="Y818">
        <v>0</v>
      </c>
      <c r="Z818">
        <v>3</v>
      </c>
      <c r="AA818">
        <v>0</v>
      </c>
      <c r="AB818" s="1" t="s">
        <v>36</v>
      </c>
      <c r="AC818" t="s">
        <v>37</v>
      </c>
      <c r="AD818" t="s">
        <v>53</v>
      </c>
      <c r="AE818" s="2">
        <v>1356.4</v>
      </c>
    </row>
    <row r="819" spans="1:31" x14ac:dyDescent="0.35">
      <c r="A819">
        <v>36</v>
      </c>
      <c r="B819" s="1" t="s">
        <v>39</v>
      </c>
      <c r="C819" s="1" t="s">
        <v>40</v>
      </c>
      <c r="D819">
        <v>18</v>
      </c>
      <c r="E819">
        <v>4</v>
      </c>
      <c r="F819" s="1" t="s">
        <v>32</v>
      </c>
      <c r="G819">
        <v>1</v>
      </c>
      <c r="H819" s="1" t="s">
        <v>41</v>
      </c>
      <c r="I819">
        <v>3</v>
      </c>
      <c r="J819">
        <v>2</v>
      </c>
      <c r="K819" s="1" t="s">
        <v>51</v>
      </c>
      <c r="L819">
        <v>4</v>
      </c>
      <c r="M819" s="1" t="s">
        <v>35</v>
      </c>
      <c r="N819">
        <v>7779</v>
      </c>
      <c r="O819">
        <v>2</v>
      </c>
      <c r="P819" s="1" t="s">
        <v>39</v>
      </c>
      <c r="Q819">
        <v>20</v>
      </c>
      <c r="R819">
        <v>1</v>
      </c>
      <c r="S819">
        <v>0</v>
      </c>
      <c r="T819">
        <v>18</v>
      </c>
      <c r="U819">
        <v>0</v>
      </c>
      <c r="V819">
        <v>3</v>
      </c>
      <c r="W819">
        <v>11</v>
      </c>
      <c r="X819">
        <v>9</v>
      </c>
      <c r="Y819">
        <v>0</v>
      </c>
      <c r="Z819">
        <v>9</v>
      </c>
      <c r="AA819">
        <v>0</v>
      </c>
      <c r="AB819" s="1" t="s">
        <v>36</v>
      </c>
      <c r="AC819" t="s">
        <v>37</v>
      </c>
      <c r="AD819" t="s">
        <v>57</v>
      </c>
      <c r="AE819" s="2">
        <v>707.18181818181813</v>
      </c>
    </row>
    <row r="820" spans="1:31" x14ac:dyDescent="0.35">
      <c r="A820">
        <v>31</v>
      </c>
      <c r="B820" s="1" t="s">
        <v>39</v>
      </c>
      <c r="C820" s="1" t="s">
        <v>31</v>
      </c>
      <c r="D820">
        <v>20</v>
      </c>
      <c r="E820">
        <v>3</v>
      </c>
      <c r="F820" s="1" t="s">
        <v>32</v>
      </c>
      <c r="G820">
        <v>3</v>
      </c>
      <c r="H820" s="1" t="s">
        <v>41</v>
      </c>
      <c r="I820">
        <v>4</v>
      </c>
      <c r="J820">
        <v>1</v>
      </c>
      <c r="K820" s="1" t="s">
        <v>58</v>
      </c>
      <c r="L820">
        <v>4</v>
      </c>
      <c r="M820" s="1" t="s">
        <v>43</v>
      </c>
      <c r="N820">
        <v>2791</v>
      </c>
      <c r="O820">
        <v>0</v>
      </c>
      <c r="P820" s="1" t="s">
        <v>39</v>
      </c>
      <c r="Q820">
        <v>12</v>
      </c>
      <c r="R820">
        <v>1</v>
      </c>
      <c r="S820">
        <v>1</v>
      </c>
      <c r="T820">
        <v>3</v>
      </c>
      <c r="U820">
        <v>4</v>
      </c>
      <c r="V820">
        <v>3</v>
      </c>
      <c r="W820">
        <v>2</v>
      </c>
      <c r="X820">
        <v>2</v>
      </c>
      <c r="Y820">
        <v>2</v>
      </c>
      <c r="Z820">
        <v>2</v>
      </c>
      <c r="AA820">
        <v>0</v>
      </c>
      <c r="AB820" s="1" t="s">
        <v>48</v>
      </c>
      <c r="AC820" t="s">
        <v>46</v>
      </c>
      <c r="AD820" t="s">
        <v>47</v>
      </c>
      <c r="AE820" s="2">
        <v>1395.5</v>
      </c>
    </row>
    <row r="821" spans="1:31" x14ac:dyDescent="0.35">
      <c r="A821">
        <v>28</v>
      </c>
      <c r="B821" s="1" t="s">
        <v>39</v>
      </c>
      <c r="C821" s="1" t="s">
        <v>40</v>
      </c>
      <c r="D821">
        <v>2</v>
      </c>
      <c r="E821">
        <v>1</v>
      </c>
      <c r="F821" s="1" t="s">
        <v>32</v>
      </c>
      <c r="G821">
        <v>1</v>
      </c>
      <c r="H821" s="1" t="s">
        <v>41</v>
      </c>
      <c r="I821">
        <v>2</v>
      </c>
      <c r="J821">
        <v>1</v>
      </c>
      <c r="K821" s="1" t="s">
        <v>42</v>
      </c>
      <c r="L821">
        <v>2</v>
      </c>
      <c r="M821" s="1" t="s">
        <v>43</v>
      </c>
      <c r="N821">
        <v>3201</v>
      </c>
      <c r="O821">
        <v>0</v>
      </c>
      <c r="P821" s="1" t="s">
        <v>39</v>
      </c>
      <c r="Q821">
        <v>17</v>
      </c>
      <c r="R821">
        <v>1</v>
      </c>
      <c r="S821">
        <v>0</v>
      </c>
      <c r="T821">
        <v>6</v>
      </c>
      <c r="U821">
        <v>2</v>
      </c>
      <c r="V821">
        <v>1</v>
      </c>
      <c r="W821">
        <v>5</v>
      </c>
      <c r="X821">
        <v>3</v>
      </c>
      <c r="Y821">
        <v>0</v>
      </c>
      <c r="Z821">
        <v>4</v>
      </c>
      <c r="AA821">
        <v>0</v>
      </c>
      <c r="AB821" s="1" t="s">
        <v>48</v>
      </c>
      <c r="AC821" t="s">
        <v>46</v>
      </c>
      <c r="AD821" t="s">
        <v>53</v>
      </c>
      <c r="AE821" s="2">
        <v>640.20000000000005</v>
      </c>
    </row>
    <row r="822" spans="1:31" x14ac:dyDescent="0.35">
      <c r="A822">
        <v>35</v>
      </c>
      <c r="B822" s="1" t="s">
        <v>39</v>
      </c>
      <c r="C822" s="1" t="s">
        <v>31</v>
      </c>
      <c r="D822">
        <v>11</v>
      </c>
      <c r="E822">
        <v>2</v>
      </c>
      <c r="F822" s="1" t="s">
        <v>60</v>
      </c>
      <c r="G822">
        <v>4</v>
      </c>
      <c r="H822" s="1" t="s">
        <v>41</v>
      </c>
      <c r="I822">
        <v>3</v>
      </c>
      <c r="J822">
        <v>2</v>
      </c>
      <c r="K822" s="1" t="s">
        <v>34</v>
      </c>
      <c r="L822">
        <v>4</v>
      </c>
      <c r="M822" s="1" t="s">
        <v>50</v>
      </c>
      <c r="N822">
        <v>4968</v>
      </c>
      <c r="O822">
        <v>1</v>
      </c>
      <c r="P822" s="1" t="s">
        <v>39</v>
      </c>
      <c r="Q822">
        <v>11</v>
      </c>
      <c r="R822">
        <v>4</v>
      </c>
      <c r="S822">
        <v>1</v>
      </c>
      <c r="T822">
        <v>5</v>
      </c>
      <c r="U822">
        <v>3</v>
      </c>
      <c r="V822">
        <v>3</v>
      </c>
      <c r="W822">
        <v>5</v>
      </c>
      <c r="X822">
        <v>2</v>
      </c>
      <c r="Y822">
        <v>0</v>
      </c>
      <c r="Z822">
        <v>2</v>
      </c>
      <c r="AA822">
        <v>0</v>
      </c>
      <c r="AB822" s="1" t="s">
        <v>48</v>
      </c>
      <c r="AC822" t="s">
        <v>37</v>
      </c>
      <c r="AD822" t="s">
        <v>53</v>
      </c>
      <c r="AE822" s="2">
        <v>993.6</v>
      </c>
    </row>
    <row r="823" spans="1:31" x14ac:dyDescent="0.35">
      <c r="A823">
        <v>49</v>
      </c>
      <c r="B823" s="1" t="s">
        <v>39</v>
      </c>
      <c r="C823" s="1" t="s">
        <v>31</v>
      </c>
      <c r="D823">
        <v>8</v>
      </c>
      <c r="E823">
        <v>4</v>
      </c>
      <c r="F823" s="1" t="s">
        <v>61</v>
      </c>
      <c r="G823">
        <v>4</v>
      </c>
      <c r="H823" s="1" t="s">
        <v>41</v>
      </c>
      <c r="I823">
        <v>2</v>
      </c>
      <c r="J823">
        <v>4</v>
      </c>
      <c r="K823" s="1" t="s">
        <v>34</v>
      </c>
      <c r="L823">
        <v>2</v>
      </c>
      <c r="M823" s="1" t="s">
        <v>43</v>
      </c>
      <c r="N823">
        <v>13120</v>
      </c>
      <c r="O823">
        <v>6</v>
      </c>
      <c r="P823" s="1" t="s">
        <v>39</v>
      </c>
      <c r="Q823">
        <v>17</v>
      </c>
      <c r="R823">
        <v>2</v>
      </c>
      <c r="S823">
        <v>1</v>
      </c>
      <c r="T823">
        <v>22</v>
      </c>
      <c r="U823">
        <v>3</v>
      </c>
      <c r="V823">
        <v>3</v>
      </c>
      <c r="W823">
        <v>9</v>
      </c>
      <c r="X823">
        <v>8</v>
      </c>
      <c r="Y823">
        <v>2</v>
      </c>
      <c r="Z823">
        <v>3</v>
      </c>
      <c r="AA823">
        <v>0</v>
      </c>
      <c r="AB823" s="1" t="s">
        <v>82</v>
      </c>
      <c r="AC823" t="s">
        <v>56</v>
      </c>
      <c r="AD823" t="s">
        <v>38</v>
      </c>
      <c r="AE823" s="2">
        <v>1457.7777777777778</v>
      </c>
    </row>
    <row r="824" spans="1:31" x14ac:dyDescent="0.35">
      <c r="A824">
        <v>34</v>
      </c>
      <c r="B824" s="1" t="s">
        <v>39</v>
      </c>
      <c r="C824" s="1" t="s">
        <v>40</v>
      </c>
      <c r="D824">
        <v>2</v>
      </c>
      <c r="E824">
        <v>2</v>
      </c>
      <c r="F824" s="1" t="s">
        <v>32</v>
      </c>
      <c r="G824">
        <v>4</v>
      </c>
      <c r="H824" s="1" t="s">
        <v>41</v>
      </c>
      <c r="I824">
        <v>3</v>
      </c>
      <c r="J824">
        <v>2</v>
      </c>
      <c r="K824" s="1" t="s">
        <v>51</v>
      </c>
      <c r="L824">
        <v>3</v>
      </c>
      <c r="M824" s="1" t="s">
        <v>35</v>
      </c>
      <c r="N824">
        <v>4033</v>
      </c>
      <c r="O824">
        <v>2</v>
      </c>
      <c r="P824" s="1" t="s">
        <v>39</v>
      </c>
      <c r="Q824">
        <v>11</v>
      </c>
      <c r="R824">
        <v>4</v>
      </c>
      <c r="S824">
        <v>0</v>
      </c>
      <c r="T824">
        <v>5</v>
      </c>
      <c r="U824">
        <v>3</v>
      </c>
      <c r="V824">
        <v>2</v>
      </c>
      <c r="W824">
        <v>3</v>
      </c>
      <c r="X824">
        <v>2</v>
      </c>
      <c r="Y824">
        <v>0</v>
      </c>
      <c r="Z824">
        <v>2</v>
      </c>
      <c r="AA824">
        <v>0</v>
      </c>
      <c r="AB824" s="1" t="s">
        <v>48</v>
      </c>
      <c r="AC824" t="s">
        <v>37</v>
      </c>
      <c r="AD824" t="s">
        <v>53</v>
      </c>
      <c r="AE824" s="2">
        <v>1344.3333333333333</v>
      </c>
    </row>
    <row r="825" spans="1:31" x14ac:dyDescent="0.35">
      <c r="A825">
        <v>29</v>
      </c>
      <c r="B825" s="1" t="s">
        <v>39</v>
      </c>
      <c r="C825" s="1" t="s">
        <v>40</v>
      </c>
      <c r="D825">
        <v>10</v>
      </c>
      <c r="E825">
        <v>3</v>
      </c>
      <c r="F825" s="1" t="s">
        <v>32</v>
      </c>
      <c r="G825">
        <v>4</v>
      </c>
      <c r="H825" s="1" t="s">
        <v>33</v>
      </c>
      <c r="I825">
        <v>3</v>
      </c>
      <c r="J825">
        <v>1</v>
      </c>
      <c r="K825" s="1" t="s">
        <v>42</v>
      </c>
      <c r="L825">
        <v>2</v>
      </c>
      <c r="M825" s="1" t="s">
        <v>50</v>
      </c>
      <c r="N825">
        <v>3291</v>
      </c>
      <c r="O825">
        <v>0</v>
      </c>
      <c r="P825" s="1" t="s">
        <v>39</v>
      </c>
      <c r="Q825">
        <v>14</v>
      </c>
      <c r="R825">
        <v>4</v>
      </c>
      <c r="S825">
        <v>2</v>
      </c>
      <c r="T825">
        <v>8</v>
      </c>
      <c r="U825">
        <v>2</v>
      </c>
      <c r="V825">
        <v>2</v>
      </c>
      <c r="W825">
        <v>7</v>
      </c>
      <c r="X825">
        <v>5</v>
      </c>
      <c r="Y825">
        <v>1</v>
      </c>
      <c r="Z825">
        <v>1</v>
      </c>
      <c r="AA825">
        <v>0</v>
      </c>
      <c r="AB825" s="1" t="s">
        <v>48</v>
      </c>
      <c r="AC825" t="s">
        <v>46</v>
      </c>
      <c r="AD825" t="s">
        <v>38</v>
      </c>
      <c r="AE825" s="2">
        <v>470.14285714285717</v>
      </c>
    </row>
    <row r="826" spans="1:31" x14ac:dyDescent="0.35">
      <c r="A826">
        <v>42</v>
      </c>
      <c r="B826" s="1" t="s">
        <v>39</v>
      </c>
      <c r="C826" s="1" t="s">
        <v>40</v>
      </c>
      <c r="D826">
        <v>29</v>
      </c>
      <c r="E826">
        <v>3</v>
      </c>
      <c r="F826" s="1" t="s">
        <v>49</v>
      </c>
      <c r="G826">
        <v>2</v>
      </c>
      <c r="H826" s="1" t="s">
        <v>41</v>
      </c>
      <c r="I826">
        <v>1</v>
      </c>
      <c r="J826">
        <v>2</v>
      </c>
      <c r="K826" s="1" t="s">
        <v>45</v>
      </c>
      <c r="L826">
        <v>4</v>
      </c>
      <c r="M826" s="1" t="s">
        <v>35</v>
      </c>
      <c r="N826">
        <v>4272</v>
      </c>
      <c r="O826">
        <v>4</v>
      </c>
      <c r="P826" s="1" t="s">
        <v>39</v>
      </c>
      <c r="Q826">
        <v>19</v>
      </c>
      <c r="R826">
        <v>1</v>
      </c>
      <c r="S826">
        <v>0</v>
      </c>
      <c r="T826">
        <v>16</v>
      </c>
      <c r="U826">
        <v>3</v>
      </c>
      <c r="V826">
        <v>3</v>
      </c>
      <c r="W826">
        <v>1</v>
      </c>
      <c r="X826">
        <v>0</v>
      </c>
      <c r="Y826">
        <v>0</v>
      </c>
      <c r="Z826">
        <v>0</v>
      </c>
      <c r="AA826">
        <v>0</v>
      </c>
      <c r="AB826" s="1" t="s">
        <v>36</v>
      </c>
      <c r="AC826" t="s">
        <v>37</v>
      </c>
      <c r="AD826" t="s">
        <v>47</v>
      </c>
      <c r="AE826" s="2">
        <v>4272</v>
      </c>
    </row>
    <row r="827" spans="1:31" x14ac:dyDescent="0.35">
      <c r="A827">
        <v>29</v>
      </c>
      <c r="B827" s="1" t="s">
        <v>39</v>
      </c>
      <c r="C827" s="1" t="s">
        <v>40</v>
      </c>
      <c r="D827">
        <v>8</v>
      </c>
      <c r="E827">
        <v>1</v>
      </c>
      <c r="F827" s="1" t="s">
        <v>49</v>
      </c>
      <c r="G827">
        <v>2</v>
      </c>
      <c r="H827" s="1" t="s">
        <v>41</v>
      </c>
      <c r="I827">
        <v>2</v>
      </c>
      <c r="J827">
        <v>2</v>
      </c>
      <c r="K827" s="1" t="s">
        <v>51</v>
      </c>
      <c r="L827">
        <v>4</v>
      </c>
      <c r="M827" s="1" t="s">
        <v>43</v>
      </c>
      <c r="N827">
        <v>5056</v>
      </c>
      <c r="O827">
        <v>1</v>
      </c>
      <c r="P827" s="1" t="s">
        <v>30</v>
      </c>
      <c r="Q827">
        <v>15</v>
      </c>
      <c r="R827">
        <v>3</v>
      </c>
      <c r="S827">
        <v>1</v>
      </c>
      <c r="T827">
        <v>10</v>
      </c>
      <c r="U827">
        <v>2</v>
      </c>
      <c r="V827">
        <v>2</v>
      </c>
      <c r="W827">
        <v>10</v>
      </c>
      <c r="X827">
        <v>7</v>
      </c>
      <c r="Y827">
        <v>1</v>
      </c>
      <c r="Z827">
        <v>2</v>
      </c>
      <c r="AA827">
        <v>0</v>
      </c>
      <c r="AB827" s="1" t="s">
        <v>48</v>
      </c>
      <c r="AC827" t="s">
        <v>37</v>
      </c>
      <c r="AD827" t="s">
        <v>38</v>
      </c>
      <c r="AE827" s="2">
        <v>505.6</v>
      </c>
    </row>
    <row r="828" spans="1:31" x14ac:dyDescent="0.35">
      <c r="A828">
        <v>38</v>
      </c>
      <c r="B828" s="1" t="s">
        <v>39</v>
      </c>
      <c r="C828" s="1" t="s">
        <v>62</v>
      </c>
      <c r="D828">
        <v>1</v>
      </c>
      <c r="E828">
        <v>3</v>
      </c>
      <c r="F828" s="1" t="s">
        <v>62</v>
      </c>
      <c r="G828">
        <v>3</v>
      </c>
      <c r="H828" s="1" t="s">
        <v>41</v>
      </c>
      <c r="I828">
        <v>4</v>
      </c>
      <c r="J828">
        <v>1</v>
      </c>
      <c r="K828" s="1" t="s">
        <v>62</v>
      </c>
      <c r="L828">
        <v>3</v>
      </c>
      <c r="M828" s="1" t="s">
        <v>43</v>
      </c>
      <c r="N828">
        <v>2844</v>
      </c>
      <c r="O828">
        <v>1</v>
      </c>
      <c r="P828" s="1" t="s">
        <v>39</v>
      </c>
      <c r="Q828">
        <v>13</v>
      </c>
      <c r="R828">
        <v>4</v>
      </c>
      <c r="S828">
        <v>1</v>
      </c>
      <c r="T828">
        <v>7</v>
      </c>
      <c r="U828">
        <v>2</v>
      </c>
      <c r="V828">
        <v>4</v>
      </c>
      <c r="W828">
        <v>7</v>
      </c>
      <c r="X828">
        <v>6</v>
      </c>
      <c r="Y828">
        <v>5</v>
      </c>
      <c r="Z828">
        <v>0</v>
      </c>
      <c r="AA828">
        <v>0</v>
      </c>
      <c r="AB828" s="1" t="s">
        <v>36</v>
      </c>
      <c r="AC828" t="s">
        <v>46</v>
      </c>
      <c r="AD828" t="s">
        <v>38</v>
      </c>
      <c r="AE828" s="2">
        <v>406.28571428571428</v>
      </c>
    </row>
    <row r="829" spans="1:31" x14ac:dyDescent="0.35">
      <c r="A829">
        <v>28</v>
      </c>
      <c r="B829" s="1" t="s">
        <v>39</v>
      </c>
      <c r="C829" s="1" t="s">
        <v>40</v>
      </c>
      <c r="D829">
        <v>6</v>
      </c>
      <c r="E829">
        <v>3</v>
      </c>
      <c r="F829" s="1" t="s">
        <v>32</v>
      </c>
      <c r="G829">
        <v>3</v>
      </c>
      <c r="H829" s="1" t="s">
        <v>41</v>
      </c>
      <c r="I829">
        <v>2</v>
      </c>
      <c r="J829">
        <v>1</v>
      </c>
      <c r="K829" s="1" t="s">
        <v>42</v>
      </c>
      <c r="L829">
        <v>3</v>
      </c>
      <c r="M829" s="1" t="s">
        <v>50</v>
      </c>
      <c r="N829">
        <v>2703</v>
      </c>
      <c r="O829">
        <v>1</v>
      </c>
      <c r="P829" s="1" t="s">
        <v>30</v>
      </c>
      <c r="Q829">
        <v>14</v>
      </c>
      <c r="R829">
        <v>4</v>
      </c>
      <c r="S829">
        <v>1</v>
      </c>
      <c r="T829">
        <v>3</v>
      </c>
      <c r="U829">
        <v>2</v>
      </c>
      <c r="V829">
        <v>3</v>
      </c>
      <c r="W829">
        <v>3</v>
      </c>
      <c r="X829">
        <v>1</v>
      </c>
      <c r="Y829">
        <v>0</v>
      </c>
      <c r="Z829">
        <v>2</v>
      </c>
      <c r="AA829">
        <v>0</v>
      </c>
      <c r="AB829" s="1" t="s">
        <v>48</v>
      </c>
      <c r="AC829" t="s">
        <v>46</v>
      </c>
      <c r="AD829" t="s">
        <v>53</v>
      </c>
      <c r="AE829" s="2">
        <v>901</v>
      </c>
    </row>
    <row r="830" spans="1:31" x14ac:dyDescent="0.35">
      <c r="A830">
        <v>18</v>
      </c>
      <c r="B830" s="1" t="s">
        <v>30</v>
      </c>
      <c r="C830" s="1" t="s">
        <v>40</v>
      </c>
      <c r="D830">
        <v>8</v>
      </c>
      <c r="E830">
        <v>1</v>
      </c>
      <c r="F830" s="1" t="s">
        <v>49</v>
      </c>
      <c r="G830">
        <v>3</v>
      </c>
      <c r="H830" s="1" t="s">
        <v>41</v>
      </c>
      <c r="I830">
        <v>3</v>
      </c>
      <c r="J830">
        <v>1</v>
      </c>
      <c r="K830" s="1" t="s">
        <v>45</v>
      </c>
      <c r="L830">
        <v>3</v>
      </c>
      <c r="M830" s="1" t="s">
        <v>35</v>
      </c>
      <c r="N830">
        <v>1904</v>
      </c>
      <c r="O830">
        <v>1</v>
      </c>
      <c r="P830" s="1" t="s">
        <v>39</v>
      </c>
      <c r="Q830">
        <v>12</v>
      </c>
      <c r="R830">
        <v>4</v>
      </c>
      <c r="S830">
        <v>0</v>
      </c>
      <c r="T830">
        <v>0</v>
      </c>
      <c r="U830">
        <v>0</v>
      </c>
      <c r="V830">
        <v>3</v>
      </c>
      <c r="W830">
        <v>0</v>
      </c>
      <c r="X830">
        <v>0</v>
      </c>
      <c r="Y830">
        <v>0</v>
      </c>
      <c r="Z830">
        <v>0</v>
      </c>
      <c r="AA830">
        <v>1</v>
      </c>
      <c r="AB830" s="1" t="s">
        <v>54</v>
      </c>
      <c r="AC830" t="s">
        <v>46</v>
      </c>
      <c r="AD830" t="s">
        <v>47</v>
      </c>
      <c r="AE830" s="2">
        <v>1904</v>
      </c>
    </row>
    <row r="831" spans="1:31" x14ac:dyDescent="0.35">
      <c r="A831">
        <v>33</v>
      </c>
      <c r="B831" s="1" t="s">
        <v>30</v>
      </c>
      <c r="C831" s="1" t="s">
        <v>31</v>
      </c>
      <c r="D831">
        <v>9</v>
      </c>
      <c r="E831">
        <v>4</v>
      </c>
      <c r="F831" s="1" t="s">
        <v>60</v>
      </c>
      <c r="G831">
        <v>1</v>
      </c>
      <c r="H831" s="1" t="s">
        <v>33</v>
      </c>
      <c r="I831">
        <v>3</v>
      </c>
      <c r="J831">
        <v>2</v>
      </c>
      <c r="K831" s="1" t="s">
        <v>34</v>
      </c>
      <c r="L831">
        <v>1</v>
      </c>
      <c r="M831" s="1" t="s">
        <v>35</v>
      </c>
      <c r="N831">
        <v>8224</v>
      </c>
      <c r="O831">
        <v>0</v>
      </c>
      <c r="P831" s="1" t="s">
        <v>30</v>
      </c>
      <c r="Q831">
        <v>17</v>
      </c>
      <c r="R831">
        <v>1</v>
      </c>
      <c r="S831">
        <v>0</v>
      </c>
      <c r="T831">
        <v>6</v>
      </c>
      <c r="U831">
        <v>3</v>
      </c>
      <c r="V831">
        <v>3</v>
      </c>
      <c r="W831">
        <v>5</v>
      </c>
      <c r="X831">
        <v>2</v>
      </c>
      <c r="Y831">
        <v>0</v>
      </c>
      <c r="Z831">
        <v>3</v>
      </c>
      <c r="AA831">
        <v>1</v>
      </c>
      <c r="AB831" s="1" t="s">
        <v>48</v>
      </c>
      <c r="AC831" t="s">
        <v>37</v>
      </c>
      <c r="AD831" t="s">
        <v>53</v>
      </c>
      <c r="AE831" s="2">
        <v>1644.8</v>
      </c>
    </row>
    <row r="832" spans="1:31" x14ac:dyDescent="0.35">
      <c r="A832">
        <v>41</v>
      </c>
      <c r="B832" s="1" t="s">
        <v>39</v>
      </c>
      <c r="C832" s="1" t="s">
        <v>40</v>
      </c>
      <c r="D832">
        <v>12</v>
      </c>
      <c r="E832">
        <v>4</v>
      </c>
      <c r="F832" s="1" t="s">
        <v>32</v>
      </c>
      <c r="G832">
        <v>2</v>
      </c>
      <c r="H832" s="1" t="s">
        <v>41</v>
      </c>
      <c r="I832">
        <v>3</v>
      </c>
      <c r="J832">
        <v>1</v>
      </c>
      <c r="K832" s="1" t="s">
        <v>45</v>
      </c>
      <c r="L832">
        <v>4</v>
      </c>
      <c r="M832" s="1" t="s">
        <v>43</v>
      </c>
      <c r="N832">
        <v>4766</v>
      </c>
      <c r="O832">
        <v>3</v>
      </c>
      <c r="P832" s="1" t="s">
        <v>30</v>
      </c>
      <c r="Q832">
        <v>11</v>
      </c>
      <c r="R832">
        <v>1</v>
      </c>
      <c r="S832">
        <v>1</v>
      </c>
      <c r="T832">
        <v>6</v>
      </c>
      <c r="U832">
        <v>4</v>
      </c>
      <c r="V832">
        <v>3</v>
      </c>
      <c r="W832">
        <v>1</v>
      </c>
      <c r="X832">
        <v>0</v>
      </c>
      <c r="Y832">
        <v>0</v>
      </c>
      <c r="Z832">
        <v>0</v>
      </c>
      <c r="AA832">
        <v>0</v>
      </c>
      <c r="AB832" s="1" t="s">
        <v>36</v>
      </c>
      <c r="AC832" t="s">
        <v>37</v>
      </c>
      <c r="AD832" t="s">
        <v>47</v>
      </c>
      <c r="AE832" s="2">
        <v>4766</v>
      </c>
    </row>
    <row r="833" spans="1:31" x14ac:dyDescent="0.35">
      <c r="A833">
        <v>31</v>
      </c>
      <c r="B833" s="1" t="s">
        <v>30</v>
      </c>
      <c r="C833" s="1" t="s">
        <v>40</v>
      </c>
      <c r="D833">
        <v>15</v>
      </c>
      <c r="E833">
        <v>3</v>
      </c>
      <c r="F833" s="1" t="s">
        <v>49</v>
      </c>
      <c r="G833">
        <v>3</v>
      </c>
      <c r="H833" s="1" t="s">
        <v>41</v>
      </c>
      <c r="I833">
        <v>3</v>
      </c>
      <c r="J833">
        <v>1</v>
      </c>
      <c r="K833" s="1" t="s">
        <v>45</v>
      </c>
      <c r="L833">
        <v>3</v>
      </c>
      <c r="M833" s="1" t="s">
        <v>43</v>
      </c>
      <c r="N833">
        <v>2610</v>
      </c>
      <c r="O833">
        <v>1</v>
      </c>
      <c r="P833" s="1" t="s">
        <v>39</v>
      </c>
      <c r="Q833">
        <v>12</v>
      </c>
      <c r="R833">
        <v>3</v>
      </c>
      <c r="S833">
        <v>1</v>
      </c>
      <c r="T833">
        <v>2</v>
      </c>
      <c r="U833">
        <v>5</v>
      </c>
      <c r="V833">
        <v>2</v>
      </c>
      <c r="W833">
        <v>2</v>
      </c>
      <c r="X833">
        <v>2</v>
      </c>
      <c r="Y833">
        <v>2</v>
      </c>
      <c r="Z833">
        <v>2</v>
      </c>
      <c r="AA833">
        <v>1</v>
      </c>
      <c r="AB833" s="1" t="s">
        <v>48</v>
      </c>
      <c r="AC833" t="s">
        <v>46</v>
      </c>
      <c r="AD833" t="s">
        <v>47</v>
      </c>
      <c r="AE833" s="2">
        <v>1305</v>
      </c>
    </row>
    <row r="834" spans="1:31" x14ac:dyDescent="0.35">
      <c r="A834">
        <v>37</v>
      </c>
      <c r="B834" s="1" t="s">
        <v>39</v>
      </c>
      <c r="C834" s="1" t="s">
        <v>40</v>
      </c>
      <c r="D834">
        <v>25</v>
      </c>
      <c r="E834">
        <v>2</v>
      </c>
      <c r="F834" s="1" t="s">
        <v>49</v>
      </c>
      <c r="G834">
        <v>3</v>
      </c>
      <c r="H834" s="1" t="s">
        <v>33</v>
      </c>
      <c r="I834">
        <v>2</v>
      </c>
      <c r="J834">
        <v>2</v>
      </c>
      <c r="K834" s="1" t="s">
        <v>52</v>
      </c>
      <c r="L834">
        <v>4</v>
      </c>
      <c r="M834" s="1" t="s">
        <v>50</v>
      </c>
      <c r="N834">
        <v>5731</v>
      </c>
      <c r="O834">
        <v>7</v>
      </c>
      <c r="P834" s="1" t="s">
        <v>39</v>
      </c>
      <c r="Q834">
        <v>13</v>
      </c>
      <c r="R834">
        <v>3</v>
      </c>
      <c r="S834">
        <v>2</v>
      </c>
      <c r="T834">
        <v>9</v>
      </c>
      <c r="U834">
        <v>2</v>
      </c>
      <c r="V834">
        <v>3</v>
      </c>
      <c r="W834">
        <v>6</v>
      </c>
      <c r="X834">
        <v>2</v>
      </c>
      <c r="Y834">
        <v>1</v>
      </c>
      <c r="Z834">
        <v>3</v>
      </c>
      <c r="AA834">
        <v>0</v>
      </c>
      <c r="AB834" s="1" t="s">
        <v>36</v>
      </c>
      <c r="AC834" t="s">
        <v>37</v>
      </c>
      <c r="AD834" t="s">
        <v>38</v>
      </c>
      <c r="AE834" s="2">
        <v>955.16666666666663</v>
      </c>
    </row>
    <row r="835" spans="1:31" x14ac:dyDescent="0.35">
      <c r="A835">
        <v>27</v>
      </c>
      <c r="B835" s="1" t="s">
        <v>39</v>
      </c>
      <c r="C835" s="1" t="s">
        <v>40</v>
      </c>
      <c r="D835">
        <v>6</v>
      </c>
      <c r="E835">
        <v>3</v>
      </c>
      <c r="F835" s="1" t="s">
        <v>32</v>
      </c>
      <c r="G835">
        <v>4</v>
      </c>
      <c r="H835" s="1" t="s">
        <v>41</v>
      </c>
      <c r="I835">
        <v>2</v>
      </c>
      <c r="J835">
        <v>1</v>
      </c>
      <c r="K835" s="1" t="s">
        <v>42</v>
      </c>
      <c r="L835">
        <v>3</v>
      </c>
      <c r="M835" s="1" t="s">
        <v>43</v>
      </c>
      <c r="N835">
        <v>2539</v>
      </c>
      <c r="O835">
        <v>1</v>
      </c>
      <c r="P835" s="1" t="s">
        <v>39</v>
      </c>
      <c r="Q835">
        <v>13</v>
      </c>
      <c r="R835">
        <v>3</v>
      </c>
      <c r="S835">
        <v>1</v>
      </c>
      <c r="T835">
        <v>4</v>
      </c>
      <c r="U835">
        <v>0</v>
      </c>
      <c r="V835">
        <v>3</v>
      </c>
      <c r="W835">
        <v>4</v>
      </c>
      <c r="X835">
        <v>2</v>
      </c>
      <c r="Y835">
        <v>2</v>
      </c>
      <c r="Z835">
        <v>2</v>
      </c>
      <c r="AA835">
        <v>0</v>
      </c>
      <c r="AB835" s="1" t="s">
        <v>48</v>
      </c>
      <c r="AC835" t="s">
        <v>46</v>
      </c>
      <c r="AD835" t="s">
        <v>53</v>
      </c>
      <c r="AE835" s="2">
        <v>634.75</v>
      </c>
    </row>
    <row r="836" spans="1:31" x14ac:dyDescent="0.35">
      <c r="A836">
        <v>34</v>
      </c>
      <c r="B836" s="1" t="s">
        <v>39</v>
      </c>
      <c r="C836" s="1" t="s">
        <v>31</v>
      </c>
      <c r="D836">
        <v>9</v>
      </c>
      <c r="E836">
        <v>1</v>
      </c>
      <c r="F836" s="1" t="s">
        <v>32</v>
      </c>
      <c r="G836">
        <v>2</v>
      </c>
      <c r="H836" s="1" t="s">
        <v>33</v>
      </c>
      <c r="I836">
        <v>3</v>
      </c>
      <c r="J836">
        <v>2</v>
      </c>
      <c r="K836" s="1" t="s">
        <v>34</v>
      </c>
      <c r="L836">
        <v>3</v>
      </c>
      <c r="M836" s="1" t="s">
        <v>43</v>
      </c>
      <c r="N836">
        <v>5714</v>
      </c>
      <c r="O836">
        <v>1</v>
      </c>
      <c r="P836" s="1" t="s">
        <v>39</v>
      </c>
      <c r="Q836">
        <v>20</v>
      </c>
      <c r="R836">
        <v>1</v>
      </c>
      <c r="S836">
        <v>0</v>
      </c>
      <c r="T836">
        <v>6</v>
      </c>
      <c r="U836">
        <v>3</v>
      </c>
      <c r="V836">
        <v>2</v>
      </c>
      <c r="W836">
        <v>6</v>
      </c>
      <c r="X836">
        <v>5</v>
      </c>
      <c r="Y836">
        <v>1</v>
      </c>
      <c r="Z836">
        <v>3</v>
      </c>
      <c r="AA836">
        <v>0</v>
      </c>
      <c r="AB836" s="1" t="s">
        <v>48</v>
      </c>
      <c r="AC836" t="s">
        <v>37</v>
      </c>
      <c r="AD836" t="s">
        <v>38</v>
      </c>
      <c r="AE836" s="2">
        <v>952.33333333333337</v>
      </c>
    </row>
    <row r="837" spans="1:31" x14ac:dyDescent="0.35">
      <c r="A837">
        <v>35</v>
      </c>
      <c r="B837" s="1" t="s">
        <v>39</v>
      </c>
      <c r="C837" s="1" t="s">
        <v>62</v>
      </c>
      <c r="D837">
        <v>8</v>
      </c>
      <c r="E837">
        <v>4</v>
      </c>
      <c r="F837" s="1" t="s">
        <v>61</v>
      </c>
      <c r="G837">
        <v>3</v>
      </c>
      <c r="H837" s="1" t="s">
        <v>41</v>
      </c>
      <c r="I837">
        <v>3</v>
      </c>
      <c r="J837">
        <v>1</v>
      </c>
      <c r="K837" s="1" t="s">
        <v>62</v>
      </c>
      <c r="L837">
        <v>3</v>
      </c>
      <c r="M837" s="1" t="s">
        <v>35</v>
      </c>
      <c r="N837">
        <v>4323</v>
      </c>
      <c r="O837">
        <v>1</v>
      </c>
      <c r="P837" s="1" t="s">
        <v>39</v>
      </c>
      <c r="Q837">
        <v>17</v>
      </c>
      <c r="R837">
        <v>2</v>
      </c>
      <c r="S837">
        <v>0</v>
      </c>
      <c r="T837">
        <v>6</v>
      </c>
      <c r="U837">
        <v>2</v>
      </c>
      <c r="V837">
        <v>1</v>
      </c>
      <c r="W837">
        <v>5</v>
      </c>
      <c r="X837">
        <v>4</v>
      </c>
      <c r="Y837">
        <v>1</v>
      </c>
      <c r="Z837">
        <v>4</v>
      </c>
      <c r="AA837">
        <v>0</v>
      </c>
      <c r="AB837" s="1" t="s">
        <v>48</v>
      </c>
      <c r="AC837" t="s">
        <v>37</v>
      </c>
      <c r="AD837" t="s">
        <v>53</v>
      </c>
      <c r="AE837" s="2">
        <v>864.6</v>
      </c>
    </row>
    <row r="838" spans="1:31" x14ac:dyDescent="0.35">
      <c r="A838">
        <v>29</v>
      </c>
      <c r="B838" s="1" t="s">
        <v>30</v>
      </c>
      <c r="C838" s="1" t="s">
        <v>31</v>
      </c>
      <c r="D838">
        <v>23</v>
      </c>
      <c r="E838">
        <v>1</v>
      </c>
      <c r="F838" s="1" t="s">
        <v>32</v>
      </c>
      <c r="G838">
        <v>4</v>
      </c>
      <c r="H838" s="1" t="s">
        <v>33</v>
      </c>
      <c r="I838">
        <v>2</v>
      </c>
      <c r="J838">
        <v>3</v>
      </c>
      <c r="K838" s="1" t="s">
        <v>34</v>
      </c>
      <c r="L838">
        <v>1</v>
      </c>
      <c r="M838" s="1" t="s">
        <v>43</v>
      </c>
      <c r="N838">
        <v>7336</v>
      </c>
      <c r="O838">
        <v>1</v>
      </c>
      <c r="P838" s="1" t="s">
        <v>39</v>
      </c>
      <c r="Q838">
        <v>13</v>
      </c>
      <c r="R838">
        <v>1</v>
      </c>
      <c r="S838">
        <v>1</v>
      </c>
      <c r="T838">
        <v>11</v>
      </c>
      <c r="U838">
        <v>3</v>
      </c>
      <c r="V838">
        <v>1</v>
      </c>
      <c r="W838">
        <v>11</v>
      </c>
      <c r="X838">
        <v>8</v>
      </c>
      <c r="Y838">
        <v>3</v>
      </c>
      <c r="Z838">
        <v>10</v>
      </c>
      <c r="AA838">
        <v>1</v>
      </c>
      <c r="AB838" s="1" t="s">
        <v>48</v>
      </c>
      <c r="AC838" t="s">
        <v>37</v>
      </c>
      <c r="AD838" t="s">
        <v>57</v>
      </c>
      <c r="AE838" s="2">
        <v>666.90909090909088</v>
      </c>
    </row>
    <row r="839" spans="1:31" x14ac:dyDescent="0.35">
      <c r="A839">
        <v>40</v>
      </c>
      <c r="B839" s="1" t="s">
        <v>39</v>
      </c>
      <c r="C839" s="1" t="s">
        <v>40</v>
      </c>
      <c r="D839">
        <v>9</v>
      </c>
      <c r="E839">
        <v>4</v>
      </c>
      <c r="F839" s="1" t="s">
        <v>49</v>
      </c>
      <c r="G839">
        <v>2</v>
      </c>
      <c r="H839" s="1" t="s">
        <v>33</v>
      </c>
      <c r="I839">
        <v>3</v>
      </c>
      <c r="J839">
        <v>3</v>
      </c>
      <c r="K839" s="1" t="s">
        <v>59</v>
      </c>
      <c r="L839">
        <v>3</v>
      </c>
      <c r="M839" s="1" t="s">
        <v>35</v>
      </c>
      <c r="N839">
        <v>13499</v>
      </c>
      <c r="O839">
        <v>9</v>
      </c>
      <c r="P839" s="1" t="s">
        <v>39</v>
      </c>
      <c r="Q839">
        <v>17</v>
      </c>
      <c r="R839">
        <v>3</v>
      </c>
      <c r="S839">
        <v>0</v>
      </c>
      <c r="T839">
        <v>20</v>
      </c>
      <c r="U839">
        <v>3</v>
      </c>
      <c r="V839">
        <v>2</v>
      </c>
      <c r="W839">
        <v>18</v>
      </c>
      <c r="X839">
        <v>7</v>
      </c>
      <c r="Y839">
        <v>2</v>
      </c>
      <c r="Z839">
        <v>13</v>
      </c>
      <c r="AA839">
        <v>0</v>
      </c>
      <c r="AB839" s="1" t="s">
        <v>36</v>
      </c>
      <c r="AC839" t="s">
        <v>56</v>
      </c>
      <c r="AD839" t="s">
        <v>57</v>
      </c>
      <c r="AE839" s="2">
        <v>749.94444444444446</v>
      </c>
    </row>
    <row r="840" spans="1:31" x14ac:dyDescent="0.35">
      <c r="A840">
        <v>42</v>
      </c>
      <c r="B840" s="1" t="s">
        <v>30</v>
      </c>
      <c r="C840" s="1" t="s">
        <v>31</v>
      </c>
      <c r="D840">
        <v>12</v>
      </c>
      <c r="E840">
        <v>3</v>
      </c>
      <c r="F840" s="1" t="s">
        <v>32</v>
      </c>
      <c r="G840">
        <v>3</v>
      </c>
      <c r="H840" s="1" t="s">
        <v>41</v>
      </c>
      <c r="I840">
        <v>3</v>
      </c>
      <c r="J840">
        <v>4</v>
      </c>
      <c r="K840" s="1" t="s">
        <v>34</v>
      </c>
      <c r="L840">
        <v>1</v>
      </c>
      <c r="M840" s="1" t="s">
        <v>35</v>
      </c>
      <c r="N840">
        <v>13758</v>
      </c>
      <c r="O840">
        <v>0</v>
      </c>
      <c r="P840" s="1" t="s">
        <v>30</v>
      </c>
      <c r="Q840">
        <v>12</v>
      </c>
      <c r="R840">
        <v>2</v>
      </c>
      <c r="S840">
        <v>0</v>
      </c>
      <c r="T840">
        <v>22</v>
      </c>
      <c r="U840">
        <v>2</v>
      </c>
      <c r="V840">
        <v>2</v>
      </c>
      <c r="W840">
        <v>21</v>
      </c>
      <c r="X840">
        <v>9</v>
      </c>
      <c r="Y840">
        <v>13</v>
      </c>
      <c r="Z840">
        <v>14</v>
      </c>
      <c r="AA840">
        <v>1</v>
      </c>
      <c r="AB840" s="1" t="s">
        <v>36</v>
      </c>
      <c r="AC840" t="s">
        <v>56</v>
      </c>
      <c r="AD840" t="s">
        <v>57</v>
      </c>
      <c r="AE840" s="2">
        <v>655.14285714285711</v>
      </c>
    </row>
    <row r="841" spans="1:31" x14ac:dyDescent="0.35">
      <c r="A841">
        <v>42</v>
      </c>
      <c r="B841" s="1" t="s">
        <v>39</v>
      </c>
      <c r="C841" s="1" t="s">
        <v>31</v>
      </c>
      <c r="D841">
        <v>4</v>
      </c>
      <c r="E841">
        <v>4</v>
      </c>
      <c r="F841" s="1" t="s">
        <v>60</v>
      </c>
      <c r="G841">
        <v>2</v>
      </c>
      <c r="H841" s="1" t="s">
        <v>41</v>
      </c>
      <c r="I841">
        <v>3</v>
      </c>
      <c r="J841">
        <v>2</v>
      </c>
      <c r="K841" s="1" t="s">
        <v>34</v>
      </c>
      <c r="L841">
        <v>1</v>
      </c>
      <c r="M841" s="1" t="s">
        <v>35</v>
      </c>
      <c r="N841">
        <v>5155</v>
      </c>
      <c r="O841">
        <v>7</v>
      </c>
      <c r="P841" s="1" t="s">
        <v>39</v>
      </c>
      <c r="Q841">
        <v>13</v>
      </c>
      <c r="R841">
        <v>4</v>
      </c>
      <c r="S841">
        <v>0</v>
      </c>
      <c r="T841">
        <v>9</v>
      </c>
      <c r="U841">
        <v>3</v>
      </c>
      <c r="V841">
        <v>4</v>
      </c>
      <c r="W841">
        <v>6</v>
      </c>
      <c r="X841">
        <v>4</v>
      </c>
      <c r="Y841">
        <v>1</v>
      </c>
      <c r="Z841">
        <v>5</v>
      </c>
      <c r="AA841">
        <v>0</v>
      </c>
      <c r="AB841" s="1" t="s">
        <v>36</v>
      </c>
      <c r="AC841" t="s">
        <v>37</v>
      </c>
      <c r="AD841" t="s">
        <v>38</v>
      </c>
      <c r="AE841" s="2">
        <v>859.16666666666663</v>
      </c>
    </row>
    <row r="842" spans="1:31" x14ac:dyDescent="0.35">
      <c r="A842">
        <v>35</v>
      </c>
      <c r="B842" s="1" t="s">
        <v>39</v>
      </c>
      <c r="C842" s="1" t="s">
        <v>40</v>
      </c>
      <c r="D842">
        <v>1</v>
      </c>
      <c r="E842">
        <v>4</v>
      </c>
      <c r="F842" s="1" t="s">
        <v>49</v>
      </c>
      <c r="G842">
        <v>4</v>
      </c>
      <c r="H842" s="1" t="s">
        <v>41</v>
      </c>
      <c r="I842">
        <v>2</v>
      </c>
      <c r="J842">
        <v>1</v>
      </c>
      <c r="K842" s="1" t="s">
        <v>45</v>
      </c>
      <c r="L842">
        <v>3</v>
      </c>
      <c r="M842" s="1" t="s">
        <v>43</v>
      </c>
      <c r="N842">
        <v>2258</v>
      </c>
      <c r="O842">
        <v>6</v>
      </c>
      <c r="P842" s="1" t="s">
        <v>39</v>
      </c>
      <c r="Q842">
        <v>12</v>
      </c>
      <c r="R842">
        <v>2</v>
      </c>
      <c r="S842">
        <v>1</v>
      </c>
      <c r="T842">
        <v>10</v>
      </c>
      <c r="U842">
        <v>2</v>
      </c>
      <c r="V842">
        <v>3</v>
      </c>
      <c r="W842">
        <v>8</v>
      </c>
      <c r="X842">
        <v>0</v>
      </c>
      <c r="Y842">
        <v>1</v>
      </c>
      <c r="Z842">
        <v>7</v>
      </c>
      <c r="AA842">
        <v>0</v>
      </c>
      <c r="AB842" s="1" t="s">
        <v>48</v>
      </c>
      <c r="AC842" t="s">
        <v>46</v>
      </c>
      <c r="AD842" t="s">
        <v>38</v>
      </c>
      <c r="AE842" s="2">
        <v>282.25</v>
      </c>
    </row>
    <row r="843" spans="1:31" x14ac:dyDescent="0.35">
      <c r="A843">
        <v>24</v>
      </c>
      <c r="B843" s="1" t="s">
        <v>39</v>
      </c>
      <c r="C843" s="1" t="s">
        <v>40</v>
      </c>
      <c r="D843">
        <v>24</v>
      </c>
      <c r="E843">
        <v>3</v>
      </c>
      <c r="F843" s="1" t="s">
        <v>49</v>
      </c>
      <c r="G843">
        <v>4</v>
      </c>
      <c r="H843" s="1" t="s">
        <v>41</v>
      </c>
      <c r="I843">
        <v>3</v>
      </c>
      <c r="J843">
        <v>1</v>
      </c>
      <c r="K843" s="1" t="s">
        <v>45</v>
      </c>
      <c r="L843">
        <v>2</v>
      </c>
      <c r="M843" s="1" t="s">
        <v>35</v>
      </c>
      <c r="N843">
        <v>3597</v>
      </c>
      <c r="O843">
        <v>8</v>
      </c>
      <c r="P843" s="1" t="s">
        <v>39</v>
      </c>
      <c r="Q843">
        <v>22</v>
      </c>
      <c r="R843">
        <v>4</v>
      </c>
      <c r="S843">
        <v>0</v>
      </c>
      <c r="T843">
        <v>6</v>
      </c>
      <c r="U843">
        <v>2</v>
      </c>
      <c r="V843">
        <v>3</v>
      </c>
      <c r="W843">
        <v>4</v>
      </c>
      <c r="X843">
        <v>3</v>
      </c>
      <c r="Y843">
        <v>1</v>
      </c>
      <c r="Z843">
        <v>2</v>
      </c>
      <c r="AA843">
        <v>0</v>
      </c>
      <c r="AB843" s="1" t="s">
        <v>54</v>
      </c>
      <c r="AC843" t="s">
        <v>46</v>
      </c>
      <c r="AD843" t="s">
        <v>53</v>
      </c>
      <c r="AE843" s="2">
        <v>899.25</v>
      </c>
    </row>
    <row r="844" spans="1:31" x14ac:dyDescent="0.35">
      <c r="A844">
        <v>28</v>
      </c>
      <c r="B844" s="1" t="s">
        <v>30</v>
      </c>
      <c r="C844" s="1" t="s">
        <v>40</v>
      </c>
      <c r="D844">
        <v>12</v>
      </c>
      <c r="E844">
        <v>1</v>
      </c>
      <c r="F844" s="1" t="s">
        <v>32</v>
      </c>
      <c r="G844">
        <v>3</v>
      </c>
      <c r="H844" s="1" t="s">
        <v>33</v>
      </c>
      <c r="I844">
        <v>3</v>
      </c>
      <c r="J844">
        <v>1</v>
      </c>
      <c r="K844" s="1" t="s">
        <v>45</v>
      </c>
      <c r="L844">
        <v>4</v>
      </c>
      <c r="M844" s="1" t="s">
        <v>43</v>
      </c>
      <c r="N844">
        <v>2515</v>
      </c>
      <c r="O844">
        <v>1</v>
      </c>
      <c r="P844" s="1" t="s">
        <v>30</v>
      </c>
      <c r="Q844">
        <v>11</v>
      </c>
      <c r="R844">
        <v>4</v>
      </c>
      <c r="S844">
        <v>0</v>
      </c>
      <c r="T844">
        <v>1</v>
      </c>
      <c r="U844">
        <v>4</v>
      </c>
      <c r="V844">
        <v>2</v>
      </c>
      <c r="W844">
        <v>1</v>
      </c>
      <c r="X844">
        <v>1</v>
      </c>
      <c r="Y844">
        <v>0</v>
      </c>
      <c r="Z844">
        <v>0</v>
      </c>
      <c r="AA844">
        <v>1</v>
      </c>
      <c r="AB844" s="1" t="s">
        <v>48</v>
      </c>
      <c r="AC844" t="s">
        <v>46</v>
      </c>
      <c r="AD844" t="s">
        <v>47</v>
      </c>
      <c r="AE844" s="2">
        <v>2515</v>
      </c>
    </row>
    <row r="845" spans="1:31" x14ac:dyDescent="0.35">
      <c r="A845">
        <v>26</v>
      </c>
      <c r="B845" s="1" t="s">
        <v>39</v>
      </c>
      <c r="C845" s="1" t="s">
        <v>40</v>
      </c>
      <c r="D845">
        <v>3</v>
      </c>
      <c r="E845">
        <v>4</v>
      </c>
      <c r="F845" s="1" t="s">
        <v>49</v>
      </c>
      <c r="G845">
        <v>1</v>
      </c>
      <c r="H845" s="1" t="s">
        <v>41</v>
      </c>
      <c r="I845">
        <v>4</v>
      </c>
      <c r="J845">
        <v>1</v>
      </c>
      <c r="K845" s="1" t="s">
        <v>45</v>
      </c>
      <c r="L845">
        <v>4</v>
      </c>
      <c r="M845" s="1" t="s">
        <v>43</v>
      </c>
      <c r="N845">
        <v>4420</v>
      </c>
      <c r="O845">
        <v>1</v>
      </c>
      <c r="P845" s="1" t="s">
        <v>39</v>
      </c>
      <c r="Q845">
        <v>22</v>
      </c>
      <c r="R845">
        <v>2</v>
      </c>
      <c r="S845">
        <v>1</v>
      </c>
      <c r="T845">
        <v>8</v>
      </c>
      <c r="U845">
        <v>2</v>
      </c>
      <c r="V845">
        <v>3</v>
      </c>
      <c r="W845">
        <v>8</v>
      </c>
      <c r="X845">
        <v>7</v>
      </c>
      <c r="Y845">
        <v>0</v>
      </c>
      <c r="Z845">
        <v>7</v>
      </c>
      <c r="AA845">
        <v>0</v>
      </c>
      <c r="AB845" s="1" t="s">
        <v>48</v>
      </c>
      <c r="AC845" t="s">
        <v>37</v>
      </c>
      <c r="AD845" t="s">
        <v>38</v>
      </c>
      <c r="AE845" s="2">
        <v>552.5</v>
      </c>
    </row>
    <row r="846" spans="1:31" x14ac:dyDescent="0.35">
      <c r="A846">
        <v>30</v>
      </c>
      <c r="B846" s="1" t="s">
        <v>39</v>
      </c>
      <c r="C846" s="1" t="s">
        <v>31</v>
      </c>
      <c r="D846">
        <v>10</v>
      </c>
      <c r="E846">
        <v>3</v>
      </c>
      <c r="F846" s="1" t="s">
        <v>60</v>
      </c>
      <c r="G846">
        <v>3</v>
      </c>
      <c r="H846" s="1" t="s">
        <v>41</v>
      </c>
      <c r="I846">
        <v>2</v>
      </c>
      <c r="J846">
        <v>2</v>
      </c>
      <c r="K846" s="1" t="s">
        <v>34</v>
      </c>
      <c r="L846">
        <v>3</v>
      </c>
      <c r="M846" s="1" t="s">
        <v>43</v>
      </c>
      <c r="N846">
        <v>6578</v>
      </c>
      <c r="O846">
        <v>1</v>
      </c>
      <c r="P846" s="1" t="s">
        <v>39</v>
      </c>
      <c r="Q846">
        <v>18</v>
      </c>
      <c r="R846">
        <v>1</v>
      </c>
      <c r="S846">
        <v>1</v>
      </c>
      <c r="T846">
        <v>10</v>
      </c>
      <c r="U846">
        <v>3</v>
      </c>
      <c r="V846">
        <v>3</v>
      </c>
      <c r="W846">
        <v>10</v>
      </c>
      <c r="X846">
        <v>3</v>
      </c>
      <c r="Y846">
        <v>1</v>
      </c>
      <c r="Z846">
        <v>4</v>
      </c>
      <c r="AA846">
        <v>0</v>
      </c>
      <c r="AB846" s="1" t="s">
        <v>48</v>
      </c>
      <c r="AC846" t="s">
        <v>37</v>
      </c>
      <c r="AD846" t="s">
        <v>38</v>
      </c>
      <c r="AE846" s="2">
        <v>657.8</v>
      </c>
    </row>
    <row r="847" spans="1:31" x14ac:dyDescent="0.35">
      <c r="A847">
        <v>40</v>
      </c>
      <c r="B847" s="1" t="s">
        <v>39</v>
      </c>
      <c r="C847" s="1" t="s">
        <v>40</v>
      </c>
      <c r="D847">
        <v>26</v>
      </c>
      <c r="E847">
        <v>2</v>
      </c>
      <c r="F847" s="1" t="s">
        <v>49</v>
      </c>
      <c r="G847">
        <v>3</v>
      </c>
      <c r="H847" s="1" t="s">
        <v>33</v>
      </c>
      <c r="I847">
        <v>2</v>
      </c>
      <c r="J847">
        <v>2</v>
      </c>
      <c r="K847" s="1" t="s">
        <v>42</v>
      </c>
      <c r="L847">
        <v>4</v>
      </c>
      <c r="M847" s="1" t="s">
        <v>43</v>
      </c>
      <c r="N847">
        <v>4422</v>
      </c>
      <c r="O847">
        <v>3</v>
      </c>
      <c r="P847" s="1" t="s">
        <v>30</v>
      </c>
      <c r="Q847">
        <v>13</v>
      </c>
      <c r="R847">
        <v>4</v>
      </c>
      <c r="S847">
        <v>1</v>
      </c>
      <c r="T847">
        <v>16</v>
      </c>
      <c r="U847">
        <v>3</v>
      </c>
      <c r="V847">
        <v>1</v>
      </c>
      <c r="W847">
        <v>1</v>
      </c>
      <c r="X847">
        <v>1</v>
      </c>
      <c r="Y847">
        <v>0</v>
      </c>
      <c r="Z847">
        <v>0</v>
      </c>
      <c r="AA847">
        <v>0</v>
      </c>
      <c r="AB847" s="1" t="s">
        <v>36</v>
      </c>
      <c r="AC847" t="s">
        <v>37</v>
      </c>
      <c r="AD847" t="s">
        <v>47</v>
      </c>
      <c r="AE847" s="2">
        <v>4422</v>
      </c>
    </row>
    <row r="848" spans="1:31" x14ac:dyDescent="0.35">
      <c r="A848">
        <v>35</v>
      </c>
      <c r="B848" s="1" t="s">
        <v>39</v>
      </c>
      <c r="C848" s="1" t="s">
        <v>40</v>
      </c>
      <c r="D848">
        <v>2</v>
      </c>
      <c r="E848">
        <v>3</v>
      </c>
      <c r="F848" s="1" t="s">
        <v>32</v>
      </c>
      <c r="G848">
        <v>3</v>
      </c>
      <c r="H848" s="1" t="s">
        <v>41</v>
      </c>
      <c r="I848">
        <v>2</v>
      </c>
      <c r="J848">
        <v>3</v>
      </c>
      <c r="K848" s="1" t="s">
        <v>51</v>
      </c>
      <c r="L848">
        <v>2</v>
      </c>
      <c r="M848" s="1" t="s">
        <v>50</v>
      </c>
      <c r="N848">
        <v>10274</v>
      </c>
      <c r="O848">
        <v>2</v>
      </c>
      <c r="P848" s="1" t="s">
        <v>39</v>
      </c>
      <c r="Q848">
        <v>18</v>
      </c>
      <c r="R848">
        <v>2</v>
      </c>
      <c r="S848">
        <v>1</v>
      </c>
      <c r="T848">
        <v>15</v>
      </c>
      <c r="U848">
        <v>2</v>
      </c>
      <c r="V848">
        <v>4</v>
      </c>
      <c r="W848">
        <v>7</v>
      </c>
      <c r="X848">
        <v>7</v>
      </c>
      <c r="Y848">
        <v>6</v>
      </c>
      <c r="Z848">
        <v>4</v>
      </c>
      <c r="AA848">
        <v>0</v>
      </c>
      <c r="AB848" s="1" t="s">
        <v>48</v>
      </c>
      <c r="AC848" t="s">
        <v>56</v>
      </c>
      <c r="AD848" t="s">
        <v>38</v>
      </c>
      <c r="AE848" s="2">
        <v>1467.7142857142858</v>
      </c>
    </row>
    <row r="849" spans="1:31" x14ac:dyDescent="0.35">
      <c r="A849">
        <v>34</v>
      </c>
      <c r="B849" s="1" t="s">
        <v>39</v>
      </c>
      <c r="C849" s="1" t="s">
        <v>40</v>
      </c>
      <c r="D849">
        <v>1</v>
      </c>
      <c r="E849">
        <v>3</v>
      </c>
      <c r="F849" s="1" t="s">
        <v>49</v>
      </c>
      <c r="G849">
        <v>4</v>
      </c>
      <c r="H849" s="1" t="s">
        <v>41</v>
      </c>
      <c r="I849">
        <v>2</v>
      </c>
      <c r="J849">
        <v>2</v>
      </c>
      <c r="K849" s="1" t="s">
        <v>52</v>
      </c>
      <c r="L849">
        <v>1</v>
      </c>
      <c r="M849" s="1" t="s">
        <v>35</v>
      </c>
      <c r="N849">
        <v>5343</v>
      </c>
      <c r="O849">
        <v>0</v>
      </c>
      <c r="P849" s="1" t="s">
        <v>39</v>
      </c>
      <c r="Q849">
        <v>20</v>
      </c>
      <c r="R849">
        <v>3</v>
      </c>
      <c r="S849">
        <v>0</v>
      </c>
      <c r="T849">
        <v>14</v>
      </c>
      <c r="U849">
        <v>3</v>
      </c>
      <c r="V849">
        <v>3</v>
      </c>
      <c r="W849">
        <v>13</v>
      </c>
      <c r="X849">
        <v>9</v>
      </c>
      <c r="Y849">
        <v>4</v>
      </c>
      <c r="Z849">
        <v>9</v>
      </c>
      <c r="AA849">
        <v>0</v>
      </c>
      <c r="AB849" s="1" t="s">
        <v>48</v>
      </c>
      <c r="AC849" t="s">
        <v>37</v>
      </c>
      <c r="AD849" t="s">
        <v>57</v>
      </c>
      <c r="AE849" s="2">
        <v>411</v>
      </c>
    </row>
    <row r="850" spans="1:31" x14ac:dyDescent="0.35">
      <c r="A850">
        <v>35</v>
      </c>
      <c r="B850" s="1" t="s">
        <v>39</v>
      </c>
      <c r="C850" s="1" t="s">
        <v>40</v>
      </c>
      <c r="D850">
        <v>4</v>
      </c>
      <c r="E850">
        <v>4</v>
      </c>
      <c r="F850" s="1" t="s">
        <v>44</v>
      </c>
      <c r="G850">
        <v>4</v>
      </c>
      <c r="H850" s="1" t="s">
        <v>41</v>
      </c>
      <c r="I850">
        <v>2</v>
      </c>
      <c r="J850">
        <v>1</v>
      </c>
      <c r="K850" s="1" t="s">
        <v>45</v>
      </c>
      <c r="L850">
        <v>4</v>
      </c>
      <c r="M850" s="1" t="s">
        <v>43</v>
      </c>
      <c r="N850">
        <v>2376</v>
      </c>
      <c r="O850">
        <v>1</v>
      </c>
      <c r="P850" s="1" t="s">
        <v>39</v>
      </c>
      <c r="Q850">
        <v>13</v>
      </c>
      <c r="R850">
        <v>2</v>
      </c>
      <c r="S850">
        <v>1</v>
      </c>
      <c r="T850">
        <v>2</v>
      </c>
      <c r="U850">
        <v>2</v>
      </c>
      <c r="V850">
        <v>4</v>
      </c>
      <c r="W850">
        <v>2</v>
      </c>
      <c r="X850">
        <v>2</v>
      </c>
      <c r="Y850">
        <v>2</v>
      </c>
      <c r="Z850">
        <v>2</v>
      </c>
      <c r="AA850">
        <v>0</v>
      </c>
      <c r="AB850" s="1" t="s">
        <v>48</v>
      </c>
      <c r="AC850" t="s">
        <v>46</v>
      </c>
      <c r="AD850" t="s">
        <v>47</v>
      </c>
      <c r="AE850" s="2">
        <v>1188</v>
      </c>
    </row>
    <row r="851" spans="1:31" x14ac:dyDescent="0.35">
      <c r="A851">
        <v>43</v>
      </c>
      <c r="B851" s="1" t="s">
        <v>30</v>
      </c>
      <c r="C851" s="1" t="s">
        <v>31</v>
      </c>
      <c r="D851">
        <v>9</v>
      </c>
      <c r="E851">
        <v>3</v>
      </c>
      <c r="F851" s="1" t="s">
        <v>60</v>
      </c>
      <c r="G851">
        <v>1</v>
      </c>
      <c r="H851" s="1" t="s">
        <v>33</v>
      </c>
      <c r="I851">
        <v>1</v>
      </c>
      <c r="J851">
        <v>2</v>
      </c>
      <c r="K851" s="1" t="s">
        <v>34</v>
      </c>
      <c r="L851">
        <v>3</v>
      </c>
      <c r="M851" s="1" t="s">
        <v>35</v>
      </c>
      <c r="N851">
        <v>5346</v>
      </c>
      <c r="O851">
        <v>8</v>
      </c>
      <c r="P851" s="1" t="s">
        <v>39</v>
      </c>
      <c r="Q851">
        <v>13</v>
      </c>
      <c r="R851">
        <v>2</v>
      </c>
      <c r="S851">
        <v>0</v>
      </c>
      <c r="T851">
        <v>7</v>
      </c>
      <c r="U851">
        <v>2</v>
      </c>
      <c r="V851">
        <v>2</v>
      </c>
      <c r="W851">
        <v>4</v>
      </c>
      <c r="X851">
        <v>3</v>
      </c>
      <c r="Y851">
        <v>1</v>
      </c>
      <c r="Z851">
        <v>3</v>
      </c>
      <c r="AA851">
        <v>1</v>
      </c>
      <c r="AB851" s="1" t="s">
        <v>36</v>
      </c>
      <c r="AC851" t="s">
        <v>37</v>
      </c>
      <c r="AD851" t="s">
        <v>53</v>
      </c>
      <c r="AE851" s="2">
        <v>1336.5</v>
      </c>
    </row>
    <row r="852" spans="1:31" x14ac:dyDescent="0.35">
      <c r="A852">
        <v>32</v>
      </c>
      <c r="B852" s="1" t="s">
        <v>39</v>
      </c>
      <c r="C852" s="1" t="s">
        <v>31</v>
      </c>
      <c r="D852">
        <v>2</v>
      </c>
      <c r="E852">
        <v>1</v>
      </c>
      <c r="F852" s="1" t="s">
        <v>32</v>
      </c>
      <c r="G852">
        <v>3</v>
      </c>
      <c r="H852" s="1" t="s">
        <v>33</v>
      </c>
      <c r="I852">
        <v>3</v>
      </c>
      <c r="J852">
        <v>1</v>
      </c>
      <c r="K852" s="1" t="s">
        <v>58</v>
      </c>
      <c r="L852">
        <v>1</v>
      </c>
      <c r="M852" s="1" t="s">
        <v>50</v>
      </c>
      <c r="N852">
        <v>2827</v>
      </c>
      <c r="O852">
        <v>1</v>
      </c>
      <c r="P852" s="1" t="s">
        <v>39</v>
      </c>
      <c r="Q852">
        <v>12</v>
      </c>
      <c r="R852">
        <v>3</v>
      </c>
      <c r="S852">
        <v>3</v>
      </c>
      <c r="T852">
        <v>1</v>
      </c>
      <c r="U852">
        <v>3</v>
      </c>
      <c r="V852">
        <v>3</v>
      </c>
      <c r="W852">
        <v>1</v>
      </c>
      <c r="X852">
        <v>0</v>
      </c>
      <c r="Y852">
        <v>0</v>
      </c>
      <c r="Z852">
        <v>0</v>
      </c>
      <c r="AA852">
        <v>0</v>
      </c>
      <c r="AB852" s="1" t="s">
        <v>48</v>
      </c>
      <c r="AC852" t="s">
        <v>46</v>
      </c>
      <c r="AD852" t="s">
        <v>47</v>
      </c>
      <c r="AE852" s="2">
        <v>2827</v>
      </c>
    </row>
    <row r="853" spans="1:31" x14ac:dyDescent="0.35">
      <c r="A853">
        <v>56</v>
      </c>
      <c r="B853" s="1" t="s">
        <v>39</v>
      </c>
      <c r="C853" s="1" t="s">
        <v>40</v>
      </c>
      <c r="D853">
        <v>4</v>
      </c>
      <c r="E853">
        <v>4</v>
      </c>
      <c r="F853" s="1" t="s">
        <v>61</v>
      </c>
      <c r="G853">
        <v>4</v>
      </c>
      <c r="H853" s="1" t="s">
        <v>33</v>
      </c>
      <c r="I853">
        <v>3</v>
      </c>
      <c r="J853">
        <v>5</v>
      </c>
      <c r="K853" s="1" t="s">
        <v>55</v>
      </c>
      <c r="L853">
        <v>1</v>
      </c>
      <c r="M853" s="1" t="s">
        <v>50</v>
      </c>
      <c r="N853">
        <v>19943</v>
      </c>
      <c r="O853">
        <v>4</v>
      </c>
      <c r="P853" s="1" t="s">
        <v>39</v>
      </c>
      <c r="Q853">
        <v>13</v>
      </c>
      <c r="R853">
        <v>4</v>
      </c>
      <c r="S853">
        <v>1</v>
      </c>
      <c r="T853">
        <v>28</v>
      </c>
      <c r="U853">
        <v>2</v>
      </c>
      <c r="V853">
        <v>3</v>
      </c>
      <c r="W853">
        <v>5</v>
      </c>
      <c r="X853">
        <v>2</v>
      </c>
      <c r="Y853">
        <v>4</v>
      </c>
      <c r="Z853">
        <v>2</v>
      </c>
      <c r="AA853">
        <v>0</v>
      </c>
      <c r="AB853" s="1" t="s">
        <v>82</v>
      </c>
      <c r="AC853" t="s">
        <v>56</v>
      </c>
      <c r="AD853" t="s">
        <v>53</v>
      </c>
      <c r="AE853" s="2">
        <v>3988.6</v>
      </c>
    </row>
    <row r="854" spans="1:31" x14ac:dyDescent="0.35">
      <c r="A854">
        <v>29</v>
      </c>
      <c r="B854" s="1" t="s">
        <v>39</v>
      </c>
      <c r="C854" s="1" t="s">
        <v>40</v>
      </c>
      <c r="D854">
        <v>6</v>
      </c>
      <c r="E854">
        <v>1</v>
      </c>
      <c r="F854" s="1" t="s">
        <v>49</v>
      </c>
      <c r="G854">
        <v>2</v>
      </c>
      <c r="H854" s="1" t="s">
        <v>33</v>
      </c>
      <c r="I854">
        <v>3</v>
      </c>
      <c r="J854">
        <v>1</v>
      </c>
      <c r="K854" s="1" t="s">
        <v>45</v>
      </c>
      <c r="L854">
        <v>4</v>
      </c>
      <c r="M854" s="1" t="s">
        <v>43</v>
      </c>
      <c r="N854">
        <v>3131</v>
      </c>
      <c r="O854">
        <v>1</v>
      </c>
      <c r="P854" s="1" t="s">
        <v>39</v>
      </c>
      <c r="Q854">
        <v>13</v>
      </c>
      <c r="R854">
        <v>1</v>
      </c>
      <c r="S854">
        <v>1</v>
      </c>
      <c r="T854">
        <v>10</v>
      </c>
      <c r="U854">
        <v>5</v>
      </c>
      <c r="V854">
        <v>3</v>
      </c>
      <c r="W854">
        <v>10</v>
      </c>
      <c r="X854">
        <v>8</v>
      </c>
      <c r="Y854">
        <v>0</v>
      </c>
      <c r="Z854">
        <v>8</v>
      </c>
      <c r="AA854">
        <v>0</v>
      </c>
      <c r="AB854" s="1" t="s">
        <v>48</v>
      </c>
      <c r="AC854" t="s">
        <v>46</v>
      </c>
      <c r="AD854" t="s">
        <v>38</v>
      </c>
      <c r="AE854" s="2">
        <v>313.10000000000002</v>
      </c>
    </row>
    <row r="855" spans="1:31" x14ac:dyDescent="0.35">
      <c r="A855">
        <v>19</v>
      </c>
      <c r="B855" s="1" t="s">
        <v>39</v>
      </c>
      <c r="C855" s="1" t="s">
        <v>40</v>
      </c>
      <c r="D855">
        <v>9</v>
      </c>
      <c r="E855">
        <v>2</v>
      </c>
      <c r="F855" s="1" t="s">
        <v>32</v>
      </c>
      <c r="G855">
        <v>3</v>
      </c>
      <c r="H855" s="1" t="s">
        <v>41</v>
      </c>
      <c r="I855">
        <v>3</v>
      </c>
      <c r="J855">
        <v>1</v>
      </c>
      <c r="K855" s="1" t="s">
        <v>42</v>
      </c>
      <c r="L855">
        <v>1</v>
      </c>
      <c r="M855" s="1" t="s">
        <v>35</v>
      </c>
      <c r="N855">
        <v>2552</v>
      </c>
      <c r="O855">
        <v>1</v>
      </c>
      <c r="P855" s="1" t="s">
        <v>39</v>
      </c>
      <c r="Q855">
        <v>25</v>
      </c>
      <c r="R855">
        <v>3</v>
      </c>
      <c r="S855">
        <v>0</v>
      </c>
      <c r="T855">
        <v>1</v>
      </c>
      <c r="U855">
        <v>4</v>
      </c>
      <c r="V855">
        <v>3</v>
      </c>
      <c r="W855">
        <v>1</v>
      </c>
      <c r="X855">
        <v>1</v>
      </c>
      <c r="Y855">
        <v>0</v>
      </c>
      <c r="Z855">
        <v>0</v>
      </c>
      <c r="AA855">
        <v>0</v>
      </c>
      <c r="AB855" s="1" t="s">
        <v>54</v>
      </c>
      <c r="AC855" t="s">
        <v>46</v>
      </c>
      <c r="AD855" t="s">
        <v>47</v>
      </c>
      <c r="AE855" s="2">
        <v>2552</v>
      </c>
    </row>
    <row r="856" spans="1:31" x14ac:dyDescent="0.35">
      <c r="A856">
        <v>45</v>
      </c>
      <c r="B856" s="1" t="s">
        <v>39</v>
      </c>
      <c r="C856" s="1" t="s">
        <v>40</v>
      </c>
      <c r="D856">
        <v>7</v>
      </c>
      <c r="E856">
        <v>3</v>
      </c>
      <c r="F856" s="1" t="s">
        <v>49</v>
      </c>
      <c r="G856">
        <v>1</v>
      </c>
      <c r="H856" s="1" t="s">
        <v>33</v>
      </c>
      <c r="I856">
        <v>3</v>
      </c>
      <c r="J856">
        <v>1</v>
      </c>
      <c r="K856" s="1" t="s">
        <v>42</v>
      </c>
      <c r="L856">
        <v>3</v>
      </c>
      <c r="M856" s="1" t="s">
        <v>43</v>
      </c>
      <c r="N856">
        <v>4477</v>
      </c>
      <c r="O856">
        <v>4</v>
      </c>
      <c r="P856" s="1" t="s">
        <v>30</v>
      </c>
      <c r="Q856">
        <v>19</v>
      </c>
      <c r="R856">
        <v>3</v>
      </c>
      <c r="S856">
        <v>1</v>
      </c>
      <c r="T856">
        <v>7</v>
      </c>
      <c r="U856">
        <v>2</v>
      </c>
      <c r="V856">
        <v>2</v>
      </c>
      <c r="W856">
        <v>3</v>
      </c>
      <c r="X856">
        <v>2</v>
      </c>
      <c r="Y856">
        <v>0</v>
      </c>
      <c r="Z856">
        <v>2</v>
      </c>
      <c r="AA856">
        <v>0</v>
      </c>
      <c r="AB856" s="1" t="s">
        <v>36</v>
      </c>
      <c r="AC856" t="s">
        <v>37</v>
      </c>
      <c r="AD856" t="s">
        <v>53</v>
      </c>
      <c r="AE856" s="2">
        <v>1492.3333333333333</v>
      </c>
    </row>
    <row r="857" spans="1:31" x14ac:dyDescent="0.35">
      <c r="A857">
        <v>37</v>
      </c>
      <c r="B857" s="1" t="s">
        <v>39</v>
      </c>
      <c r="C857" s="1" t="s">
        <v>40</v>
      </c>
      <c r="D857">
        <v>1</v>
      </c>
      <c r="E857">
        <v>3</v>
      </c>
      <c r="F857" s="1" t="s">
        <v>32</v>
      </c>
      <c r="G857">
        <v>4</v>
      </c>
      <c r="H857" s="1" t="s">
        <v>33</v>
      </c>
      <c r="I857">
        <v>2</v>
      </c>
      <c r="J857">
        <v>2</v>
      </c>
      <c r="K857" s="1" t="s">
        <v>51</v>
      </c>
      <c r="L857">
        <v>4</v>
      </c>
      <c r="M857" s="1" t="s">
        <v>43</v>
      </c>
      <c r="N857">
        <v>6474</v>
      </c>
      <c r="O857">
        <v>1</v>
      </c>
      <c r="P857" s="1" t="s">
        <v>39</v>
      </c>
      <c r="Q857">
        <v>13</v>
      </c>
      <c r="R857">
        <v>2</v>
      </c>
      <c r="S857">
        <v>1</v>
      </c>
      <c r="T857">
        <v>14</v>
      </c>
      <c r="U857">
        <v>2</v>
      </c>
      <c r="V857">
        <v>2</v>
      </c>
      <c r="W857">
        <v>14</v>
      </c>
      <c r="X857">
        <v>8</v>
      </c>
      <c r="Y857">
        <v>3</v>
      </c>
      <c r="Z857">
        <v>11</v>
      </c>
      <c r="AA857">
        <v>0</v>
      </c>
      <c r="AB857" s="1" t="s">
        <v>36</v>
      </c>
      <c r="AC857" t="s">
        <v>37</v>
      </c>
      <c r="AD857" t="s">
        <v>57</v>
      </c>
      <c r="AE857" s="2">
        <v>462.42857142857144</v>
      </c>
    </row>
    <row r="858" spans="1:31" x14ac:dyDescent="0.35">
      <c r="A858">
        <v>20</v>
      </c>
      <c r="B858" s="1" t="s">
        <v>39</v>
      </c>
      <c r="C858" s="1" t="s">
        <v>40</v>
      </c>
      <c r="D858">
        <v>3</v>
      </c>
      <c r="E858">
        <v>3</v>
      </c>
      <c r="F858" s="1" t="s">
        <v>32</v>
      </c>
      <c r="G858">
        <v>1</v>
      </c>
      <c r="H858" s="1" t="s">
        <v>41</v>
      </c>
      <c r="I858">
        <v>2</v>
      </c>
      <c r="J858">
        <v>1</v>
      </c>
      <c r="K858" s="1" t="s">
        <v>45</v>
      </c>
      <c r="L858">
        <v>3</v>
      </c>
      <c r="M858" s="1" t="s">
        <v>35</v>
      </c>
      <c r="N858">
        <v>3033</v>
      </c>
      <c r="O858">
        <v>1</v>
      </c>
      <c r="P858" s="1" t="s">
        <v>39</v>
      </c>
      <c r="Q858">
        <v>12</v>
      </c>
      <c r="R858">
        <v>1</v>
      </c>
      <c r="S858">
        <v>0</v>
      </c>
      <c r="T858">
        <v>2</v>
      </c>
      <c r="U858">
        <v>2</v>
      </c>
      <c r="V858">
        <v>2</v>
      </c>
      <c r="W858">
        <v>2</v>
      </c>
      <c r="X858">
        <v>2</v>
      </c>
      <c r="Y858">
        <v>1</v>
      </c>
      <c r="Z858">
        <v>2</v>
      </c>
      <c r="AA858">
        <v>0</v>
      </c>
      <c r="AB858" s="1" t="s">
        <v>54</v>
      </c>
      <c r="AC858" t="s">
        <v>46</v>
      </c>
      <c r="AD858" t="s">
        <v>47</v>
      </c>
      <c r="AE858" s="2">
        <v>1516.5</v>
      </c>
    </row>
    <row r="859" spans="1:31" x14ac:dyDescent="0.35">
      <c r="A859">
        <v>44</v>
      </c>
      <c r="B859" s="1" t="s">
        <v>30</v>
      </c>
      <c r="C859" s="1" t="s">
        <v>40</v>
      </c>
      <c r="D859">
        <v>10</v>
      </c>
      <c r="E859">
        <v>4</v>
      </c>
      <c r="F859" s="1" t="s">
        <v>32</v>
      </c>
      <c r="G859">
        <v>3</v>
      </c>
      <c r="H859" s="1" t="s">
        <v>41</v>
      </c>
      <c r="I859">
        <v>3</v>
      </c>
      <c r="J859">
        <v>1</v>
      </c>
      <c r="K859" s="1" t="s">
        <v>42</v>
      </c>
      <c r="L859">
        <v>3</v>
      </c>
      <c r="M859" s="1" t="s">
        <v>35</v>
      </c>
      <c r="N859">
        <v>2936</v>
      </c>
      <c r="O859">
        <v>1</v>
      </c>
      <c r="P859" s="1" t="s">
        <v>30</v>
      </c>
      <c r="Q859">
        <v>11</v>
      </c>
      <c r="R859">
        <v>3</v>
      </c>
      <c r="S859">
        <v>0</v>
      </c>
      <c r="T859">
        <v>6</v>
      </c>
      <c r="U859">
        <v>4</v>
      </c>
      <c r="V859">
        <v>3</v>
      </c>
      <c r="W859">
        <v>6</v>
      </c>
      <c r="X859">
        <v>4</v>
      </c>
      <c r="Y859">
        <v>0</v>
      </c>
      <c r="Z859">
        <v>2</v>
      </c>
      <c r="AA859">
        <v>1</v>
      </c>
      <c r="AB859" s="1" t="s">
        <v>36</v>
      </c>
      <c r="AC859" t="s">
        <v>46</v>
      </c>
      <c r="AD859" t="s">
        <v>38</v>
      </c>
      <c r="AE859" s="2">
        <v>489.33333333333331</v>
      </c>
    </row>
    <row r="860" spans="1:31" x14ac:dyDescent="0.35">
      <c r="A860">
        <v>53</v>
      </c>
      <c r="B860" s="1" t="s">
        <v>39</v>
      </c>
      <c r="C860" s="1" t="s">
        <v>40</v>
      </c>
      <c r="D860">
        <v>7</v>
      </c>
      <c r="E860">
        <v>2</v>
      </c>
      <c r="F860" s="1" t="s">
        <v>49</v>
      </c>
      <c r="G860">
        <v>4</v>
      </c>
      <c r="H860" s="1" t="s">
        <v>33</v>
      </c>
      <c r="I860">
        <v>3</v>
      </c>
      <c r="J860">
        <v>5</v>
      </c>
      <c r="K860" s="1" t="s">
        <v>55</v>
      </c>
      <c r="L860">
        <v>3</v>
      </c>
      <c r="M860" s="1" t="s">
        <v>50</v>
      </c>
      <c r="N860">
        <v>18606</v>
      </c>
      <c r="O860">
        <v>3</v>
      </c>
      <c r="P860" s="1" t="s">
        <v>39</v>
      </c>
      <c r="Q860">
        <v>18</v>
      </c>
      <c r="R860">
        <v>2</v>
      </c>
      <c r="S860">
        <v>1</v>
      </c>
      <c r="T860">
        <v>26</v>
      </c>
      <c r="U860">
        <v>6</v>
      </c>
      <c r="V860">
        <v>3</v>
      </c>
      <c r="W860">
        <v>7</v>
      </c>
      <c r="X860">
        <v>7</v>
      </c>
      <c r="Y860">
        <v>4</v>
      </c>
      <c r="Z860">
        <v>7</v>
      </c>
      <c r="AA860">
        <v>0</v>
      </c>
      <c r="AB860" s="1" t="s">
        <v>82</v>
      </c>
      <c r="AC860" t="s">
        <v>56</v>
      </c>
      <c r="AD860" t="s">
        <v>38</v>
      </c>
      <c r="AE860" s="2">
        <v>2658</v>
      </c>
    </row>
    <row r="861" spans="1:31" x14ac:dyDescent="0.35">
      <c r="A861">
        <v>29</v>
      </c>
      <c r="B861" s="1" t="s">
        <v>39</v>
      </c>
      <c r="C861" s="1" t="s">
        <v>40</v>
      </c>
      <c r="D861">
        <v>15</v>
      </c>
      <c r="E861">
        <v>1</v>
      </c>
      <c r="F861" s="1" t="s">
        <v>32</v>
      </c>
      <c r="G861">
        <v>2</v>
      </c>
      <c r="H861" s="1" t="s">
        <v>33</v>
      </c>
      <c r="I861">
        <v>1</v>
      </c>
      <c r="J861">
        <v>1</v>
      </c>
      <c r="K861" s="1" t="s">
        <v>42</v>
      </c>
      <c r="L861">
        <v>4</v>
      </c>
      <c r="M861" s="1" t="s">
        <v>43</v>
      </c>
      <c r="N861">
        <v>2168</v>
      </c>
      <c r="O861">
        <v>0</v>
      </c>
      <c r="P861" s="1" t="s">
        <v>30</v>
      </c>
      <c r="Q861">
        <v>18</v>
      </c>
      <c r="R861">
        <v>1</v>
      </c>
      <c r="S861">
        <v>1</v>
      </c>
      <c r="T861">
        <v>6</v>
      </c>
      <c r="U861">
        <v>2</v>
      </c>
      <c r="V861">
        <v>2</v>
      </c>
      <c r="W861">
        <v>5</v>
      </c>
      <c r="X861">
        <v>4</v>
      </c>
      <c r="Y861">
        <v>1</v>
      </c>
      <c r="Z861">
        <v>3</v>
      </c>
      <c r="AA861">
        <v>0</v>
      </c>
      <c r="AB861" s="1" t="s">
        <v>48</v>
      </c>
      <c r="AC861" t="s">
        <v>46</v>
      </c>
      <c r="AD861" t="s">
        <v>53</v>
      </c>
      <c r="AE861" s="2">
        <v>433.6</v>
      </c>
    </row>
    <row r="862" spans="1:31" x14ac:dyDescent="0.35">
      <c r="A862">
        <v>22</v>
      </c>
      <c r="B862" s="1" t="s">
        <v>30</v>
      </c>
      <c r="C862" s="1" t="s">
        <v>40</v>
      </c>
      <c r="D862">
        <v>3</v>
      </c>
      <c r="E862">
        <v>4</v>
      </c>
      <c r="F862" s="1" t="s">
        <v>32</v>
      </c>
      <c r="G862">
        <v>3</v>
      </c>
      <c r="H862" s="1" t="s">
        <v>41</v>
      </c>
      <c r="I862">
        <v>2</v>
      </c>
      <c r="J862">
        <v>1</v>
      </c>
      <c r="K862" s="1" t="s">
        <v>42</v>
      </c>
      <c r="L862">
        <v>4</v>
      </c>
      <c r="M862" s="1" t="s">
        <v>43</v>
      </c>
      <c r="N862">
        <v>2853</v>
      </c>
      <c r="O862">
        <v>0</v>
      </c>
      <c r="P862" s="1" t="s">
        <v>30</v>
      </c>
      <c r="Q862">
        <v>11</v>
      </c>
      <c r="R862">
        <v>2</v>
      </c>
      <c r="S862">
        <v>1</v>
      </c>
      <c r="T862">
        <v>1</v>
      </c>
      <c r="U862">
        <v>5</v>
      </c>
      <c r="V862">
        <v>3</v>
      </c>
      <c r="W862">
        <v>0</v>
      </c>
      <c r="X862">
        <v>0</v>
      </c>
      <c r="Y862">
        <v>0</v>
      </c>
      <c r="Z862">
        <v>0</v>
      </c>
      <c r="AA862">
        <v>1</v>
      </c>
      <c r="AB862" s="1" t="s">
        <v>54</v>
      </c>
      <c r="AC862" t="s">
        <v>46</v>
      </c>
      <c r="AD862" t="s">
        <v>47</v>
      </c>
      <c r="AE862" s="2">
        <v>2853</v>
      </c>
    </row>
    <row r="863" spans="1:31" x14ac:dyDescent="0.35">
      <c r="A863">
        <v>46</v>
      </c>
      <c r="B863" s="1" t="s">
        <v>39</v>
      </c>
      <c r="C863" s="1" t="s">
        <v>31</v>
      </c>
      <c r="D863">
        <v>2</v>
      </c>
      <c r="E863">
        <v>3</v>
      </c>
      <c r="F863" s="1" t="s">
        <v>60</v>
      </c>
      <c r="G863">
        <v>3</v>
      </c>
      <c r="H863" s="1" t="s">
        <v>33</v>
      </c>
      <c r="I863">
        <v>3</v>
      </c>
      <c r="J863">
        <v>4</v>
      </c>
      <c r="K863" s="1" t="s">
        <v>55</v>
      </c>
      <c r="L863">
        <v>1</v>
      </c>
      <c r="M863" s="1" t="s">
        <v>43</v>
      </c>
      <c r="N863">
        <v>17048</v>
      </c>
      <c r="O863">
        <v>8</v>
      </c>
      <c r="P863" s="1" t="s">
        <v>39</v>
      </c>
      <c r="Q863">
        <v>23</v>
      </c>
      <c r="R863">
        <v>1</v>
      </c>
      <c r="S863">
        <v>0</v>
      </c>
      <c r="T863">
        <v>28</v>
      </c>
      <c r="U863">
        <v>2</v>
      </c>
      <c r="V863">
        <v>3</v>
      </c>
      <c r="W863">
        <v>26</v>
      </c>
      <c r="X863">
        <v>15</v>
      </c>
      <c r="Y863">
        <v>15</v>
      </c>
      <c r="Z863">
        <v>9</v>
      </c>
      <c r="AA863">
        <v>0</v>
      </c>
      <c r="AB863" s="1" t="s">
        <v>82</v>
      </c>
      <c r="AC863" t="s">
        <v>56</v>
      </c>
      <c r="AD863" t="s">
        <v>57</v>
      </c>
      <c r="AE863" s="2">
        <v>655.69230769230774</v>
      </c>
    </row>
    <row r="864" spans="1:31" x14ac:dyDescent="0.35">
      <c r="A864">
        <v>44</v>
      </c>
      <c r="B864" s="1" t="s">
        <v>39</v>
      </c>
      <c r="C864" s="1" t="s">
        <v>40</v>
      </c>
      <c r="D864">
        <v>17</v>
      </c>
      <c r="E864">
        <v>3</v>
      </c>
      <c r="F864" s="1" t="s">
        <v>32</v>
      </c>
      <c r="G864">
        <v>4</v>
      </c>
      <c r="H864" s="1" t="s">
        <v>41</v>
      </c>
      <c r="I864">
        <v>1</v>
      </c>
      <c r="J864">
        <v>1</v>
      </c>
      <c r="K864" s="1" t="s">
        <v>42</v>
      </c>
      <c r="L864">
        <v>3</v>
      </c>
      <c r="M864" s="1" t="s">
        <v>35</v>
      </c>
      <c r="N864">
        <v>2290</v>
      </c>
      <c r="O864">
        <v>2</v>
      </c>
      <c r="P864" s="1" t="s">
        <v>39</v>
      </c>
      <c r="Q864">
        <v>13</v>
      </c>
      <c r="R864">
        <v>4</v>
      </c>
      <c r="S864">
        <v>0</v>
      </c>
      <c r="T864">
        <v>6</v>
      </c>
      <c r="U864">
        <v>3</v>
      </c>
      <c r="V864">
        <v>3</v>
      </c>
      <c r="W864">
        <v>0</v>
      </c>
      <c r="X864">
        <v>0</v>
      </c>
      <c r="Y864">
        <v>0</v>
      </c>
      <c r="Z864">
        <v>0</v>
      </c>
      <c r="AA864">
        <v>0</v>
      </c>
      <c r="AB864" s="1" t="s">
        <v>36</v>
      </c>
      <c r="AC864" t="s">
        <v>46</v>
      </c>
      <c r="AD864" t="s">
        <v>47</v>
      </c>
      <c r="AE864" s="2">
        <v>2290</v>
      </c>
    </row>
    <row r="865" spans="1:31" x14ac:dyDescent="0.35">
      <c r="A865">
        <v>33</v>
      </c>
      <c r="B865" s="1" t="s">
        <v>39</v>
      </c>
      <c r="C865" s="1" t="s">
        <v>62</v>
      </c>
      <c r="D865">
        <v>2</v>
      </c>
      <c r="E865">
        <v>3</v>
      </c>
      <c r="F865" s="1" t="s">
        <v>62</v>
      </c>
      <c r="G865">
        <v>2</v>
      </c>
      <c r="H865" s="1" t="s">
        <v>41</v>
      </c>
      <c r="I865">
        <v>3</v>
      </c>
      <c r="J865">
        <v>1</v>
      </c>
      <c r="K865" s="1" t="s">
        <v>62</v>
      </c>
      <c r="L865">
        <v>3</v>
      </c>
      <c r="M865" s="1" t="s">
        <v>43</v>
      </c>
      <c r="N865">
        <v>3600</v>
      </c>
      <c r="O865">
        <v>1</v>
      </c>
      <c r="P865" s="1" t="s">
        <v>39</v>
      </c>
      <c r="Q865">
        <v>13</v>
      </c>
      <c r="R865">
        <v>4</v>
      </c>
      <c r="S865">
        <v>1</v>
      </c>
      <c r="T865">
        <v>5</v>
      </c>
      <c r="U865">
        <v>2</v>
      </c>
      <c r="V865">
        <v>3</v>
      </c>
      <c r="W865">
        <v>5</v>
      </c>
      <c r="X865">
        <v>4</v>
      </c>
      <c r="Y865">
        <v>1</v>
      </c>
      <c r="Z865">
        <v>4</v>
      </c>
      <c r="AA865">
        <v>0</v>
      </c>
      <c r="AB865" s="1" t="s">
        <v>48</v>
      </c>
      <c r="AC865" t="s">
        <v>46</v>
      </c>
      <c r="AD865" t="s">
        <v>53</v>
      </c>
      <c r="AE865" s="2">
        <v>720</v>
      </c>
    </row>
    <row r="866" spans="1:31" x14ac:dyDescent="0.35">
      <c r="A866">
        <v>41</v>
      </c>
      <c r="B866" s="1" t="s">
        <v>30</v>
      </c>
      <c r="C866" s="1" t="s">
        <v>40</v>
      </c>
      <c r="D866">
        <v>5</v>
      </c>
      <c r="E866">
        <v>2</v>
      </c>
      <c r="F866" s="1" t="s">
        <v>32</v>
      </c>
      <c r="G866">
        <v>1</v>
      </c>
      <c r="H866" s="1" t="s">
        <v>41</v>
      </c>
      <c r="I866">
        <v>2</v>
      </c>
      <c r="J866">
        <v>1</v>
      </c>
      <c r="K866" s="1" t="s">
        <v>42</v>
      </c>
      <c r="L866">
        <v>1</v>
      </c>
      <c r="M866" s="1" t="s">
        <v>50</v>
      </c>
      <c r="N866">
        <v>2107</v>
      </c>
      <c r="O866">
        <v>6</v>
      </c>
      <c r="P866" s="1" t="s">
        <v>39</v>
      </c>
      <c r="Q866">
        <v>17</v>
      </c>
      <c r="R866">
        <v>1</v>
      </c>
      <c r="S866">
        <v>1</v>
      </c>
      <c r="T866">
        <v>5</v>
      </c>
      <c r="U866">
        <v>2</v>
      </c>
      <c r="V866">
        <v>1</v>
      </c>
      <c r="W866">
        <v>1</v>
      </c>
      <c r="X866">
        <v>0</v>
      </c>
      <c r="Y866">
        <v>0</v>
      </c>
      <c r="Z866">
        <v>0</v>
      </c>
      <c r="AA866">
        <v>1</v>
      </c>
      <c r="AB866" s="1" t="s">
        <v>36</v>
      </c>
      <c r="AC866" t="s">
        <v>46</v>
      </c>
      <c r="AD866" t="s">
        <v>47</v>
      </c>
      <c r="AE866" s="2">
        <v>2107</v>
      </c>
    </row>
    <row r="867" spans="1:31" x14ac:dyDescent="0.35">
      <c r="A867">
        <v>30</v>
      </c>
      <c r="B867" s="1" t="s">
        <v>39</v>
      </c>
      <c r="C867" s="1" t="s">
        <v>31</v>
      </c>
      <c r="D867">
        <v>29</v>
      </c>
      <c r="E867">
        <v>4</v>
      </c>
      <c r="F867" s="1" t="s">
        <v>32</v>
      </c>
      <c r="G867">
        <v>3</v>
      </c>
      <c r="H867" s="1" t="s">
        <v>41</v>
      </c>
      <c r="I867">
        <v>3</v>
      </c>
      <c r="J867">
        <v>2</v>
      </c>
      <c r="K867" s="1" t="s">
        <v>34</v>
      </c>
      <c r="L867">
        <v>1</v>
      </c>
      <c r="M867" s="1" t="s">
        <v>50</v>
      </c>
      <c r="N867">
        <v>4115</v>
      </c>
      <c r="O867">
        <v>8</v>
      </c>
      <c r="P867" s="1" t="s">
        <v>39</v>
      </c>
      <c r="Q867">
        <v>19</v>
      </c>
      <c r="R867">
        <v>3</v>
      </c>
      <c r="S867">
        <v>3</v>
      </c>
      <c r="T867">
        <v>8</v>
      </c>
      <c r="U867">
        <v>3</v>
      </c>
      <c r="V867">
        <v>3</v>
      </c>
      <c r="W867">
        <v>4</v>
      </c>
      <c r="X867">
        <v>3</v>
      </c>
      <c r="Y867">
        <v>0</v>
      </c>
      <c r="Z867">
        <v>3</v>
      </c>
      <c r="AA867">
        <v>0</v>
      </c>
      <c r="AB867" s="1" t="s">
        <v>48</v>
      </c>
      <c r="AC867" t="s">
        <v>37</v>
      </c>
      <c r="AD867" t="s">
        <v>53</v>
      </c>
      <c r="AE867" s="2">
        <v>1028.75</v>
      </c>
    </row>
    <row r="868" spans="1:31" x14ac:dyDescent="0.35">
      <c r="A868">
        <v>40</v>
      </c>
      <c r="B868" s="1" t="s">
        <v>39</v>
      </c>
      <c r="C868" s="1" t="s">
        <v>31</v>
      </c>
      <c r="D868">
        <v>2</v>
      </c>
      <c r="E868">
        <v>4</v>
      </c>
      <c r="F868" s="1" t="s">
        <v>49</v>
      </c>
      <c r="G868">
        <v>2</v>
      </c>
      <c r="H868" s="1" t="s">
        <v>41</v>
      </c>
      <c r="I868">
        <v>3</v>
      </c>
      <c r="J868">
        <v>2</v>
      </c>
      <c r="K868" s="1" t="s">
        <v>34</v>
      </c>
      <c r="L868">
        <v>2</v>
      </c>
      <c r="M868" s="1" t="s">
        <v>43</v>
      </c>
      <c r="N868">
        <v>4327</v>
      </c>
      <c r="O868">
        <v>5</v>
      </c>
      <c r="P868" s="1" t="s">
        <v>39</v>
      </c>
      <c r="Q868">
        <v>12</v>
      </c>
      <c r="R868">
        <v>4</v>
      </c>
      <c r="S868">
        <v>3</v>
      </c>
      <c r="T868">
        <v>5</v>
      </c>
      <c r="U868">
        <v>2</v>
      </c>
      <c r="V868">
        <v>3</v>
      </c>
      <c r="W868">
        <v>0</v>
      </c>
      <c r="X868">
        <v>0</v>
      </c>
      <c r="Y868">
        <v>0</v>
      </c>
      <c r="Z868">
        <v>0</v>
      </c>
      <c r="AA868">
        <v>0</v>
      </c>
      <c r="AB868" s="1" t="s">
        <v>36</v>
      </c>
      <c r="AC868" t="s">
        <v>37</v>
      </c>
      <c r="AD868" t="s">
        <v>47</v>
      </c>
      <c r="AE868" s="2">
        <v>4327</v>
      </c>
    </row>
    <row r="869" spans="1:31" x14ac:dyDescent="0.35">
      <c r="A869">
        <v>50</v>
      </c>
      <c r="B869" s="1" t="s">
        <v>39</v>
      </c>
      <c r="C869" s="1" t="s">
        <v>40</v>
      </c>
      <c r="D869">
        <v>2</v>
      </c>
      <c r="E869">
        <v>3</v>
      </c>
      <c r="F869" s="1" t="s">
        <v>49</v>
      </c>
      <c r="G869">
        <v>4</v>
      </c>
      <c r="H869" s="1" t="s">
        <v>33</v>
      </c>
      <c r="I869">
        <v>3</v>
      </c>
      <c r="J869">
        <v>4</v>
      </c>
      <c r="K869" s="1" t="s">
        <v>55</v>
      </c>
      <c r="L869">
        <v>1</v>
      </c>
      <c r="M869" s="1" t="s">
        <v>43</v>
      </c>
      <c r="N869">
        <v>17856</v>
      </c>
      <c r="O869">
        <v>2</v>
      </c>
      <c r="P869" s="1" t="s">
        <v>39</v>
      </c>
      <c r="Q869">
        <v>22</v>
      </c>
      <c r="R869">
        <v>3</v>
      </c>
      <c r="S869">
        <v>1</v>
      </c>
      <c r="T869">
        <v>32</v>
      </c>
      <c r="U869">
        <v>3</v>
      </c>
      <c r="V869">
        <v>3</v>
      </c>
      <c r="W869">
        <v>2</v>
      </c>
      <c r="X869">
        <v>2</v>
      </c>
      <c r="Y869">
        <v>2</v>
      </c>
      <c r="Z869">
        <v>2</v>
      </c>
      <c r="AA869">
        <v>0</v>
      </c>
      <c r="AB869" s="1" t="s">
        <v>82</v>
      </c>
      <c r="AC869" t="s">
        <v>56</v>
      </c>
      <c r="AD869" t="s">
        <v>47</v>
      </c>
      <c r="AE869" s="2">
        <v>8928</v>
      </c>
    </row>
    <row r="870" spans="1:31" x14ac:dyDescent="0.35">
      <c r="A870">
        <v>28</v>
      </c>
      <c r="B870" s="1" t="s">
        <v>39</v>
      </c>
      <c r="C870" s="1" t="s">
        <v>40</v>
      </c>
      <c r="D870">
        <v>19</v>
      </c>
      <c r="E870">
        <v>4</v>
      </c>
      <c r="F870" s="1" t="s">
        <v>49</v>
      </c>
      <c r="G870">
        <v>4</v>
      </c>
      <c r="H870" s="1" t="s">
        <v>41</v>
      </c>
      <c r="I870">
        <v>2</v>
      </c>
      <c r="J870">
        <v>1</v>
      </c>
      <c r="K870" s="1" t="s">
        <v>45</v>
      </c>
      <c r="L870">
        <v>1</v>
      </c>
      <c r="M870" s="1" t="s">
        <v>43</v>
      </c>
      <c r="N870">
        <v>3196</v>
      </c>
      <c r="O870">
        <v>1</v>
      </c>
      <c r="P870" s="1" t="s">
        <v>39</v>
      </c>
      <c r="Q870">
        <v>12</v>
      </c>
      <c r="R870">
        <v>3</v>
      </c>
      <c r="S870">
        <v>3</v>
      </c>
      <c r="T870">
        <v>6</v>
      </c>
      <c r="U870">
        <v>2</v>
      </c>
      <c r="V870">
        <v>3</v>
      </c>
      <c r="W870">
        <v>6</v>
      </c>
      <c r="X870">
        <v>5</v>
      </c>
      <c r="Y870">
        <v>3</v>
      </c>
      <c r="Z870">
        <v>3</v>
      </c>
      <c r="AA870">
        <v>0</v>
      </c>
      <c r="AB870" s="1" t="s">
        <v>48</v>
      </c>
      <c r="AC870" t="s">
        <v>46</v>
      </c>
      <c r="AD870" t="s">
        <v>38</v>
      </c>
      <c r="AE870" s="2">
        <v>532.66666666666663</v>
      </c>
    </row>
    <row r="871" spans="1:31" x14ac:dyDescent="0.35">
      <c r="A871">
        <v>46</v>
      </c>
      <c r="B871" s="1" t="s">
        <v>39</v>
      </c>
      <c r="C871" s="1" t="s">
        <v>40</v>
      </c>
      <c r="D871">
        <v>15</v>
      </c>
      <c r="E871">
        <v>2</v>
      </c>
      <c r="F871" s="1" t="s">
        <v>32</v>
      </c>
      <c r="G871">
        <v>4</v>
      </c>
      <c r="H871" s="1" t="s">
        <v>41</v>
      </c>
      <c r="I871">
        <v>3</v>
      </c>
      <c r="J871">
        <v>5</v>
      </c>
      <c r="K871" s="1" t="s">
        <v>59</v>
      </c>
      <c r="L871">
        <v>2</v>
      </c>
      <c r="M871" s="1" t="s">
        <v>43</v>
      </c>
      <c r="N871">
        <v>19081</v>
      </c>
      <c r="O871">
        <v>5</v>
      </c>
      <c r="P871" s="1" t="s">
        <v>39</v>
      </c>
      <c r="Q871">
        <v>11</v>
      </c>
      <c r="R871">
        <v>1</v>
      </c>
      <c r="S871">
        <v>1</v>
      </c>
      <c r="T871">
        <v>25</v>
      </c>
      <c r="U871">
        <v>2</v>
      </c>
      <c r="V871">
        <v>3</v>
      </c>
      <c r="W871">
        <v>4</v>
      </c>
      <c r="X871">
        <v>2</v>
      </c>
      <c r="Y871">
        <v>0</v>
      </c>
      <c r="Z871">
        <v>3</v>
      </c>
      <c r="AA871">
        <v>0</v>
      </c>
      <c r="AB871" s="1" t="s">
        <v>82</v>
      </c>
      <c r="AC871" t="s">
        <v>56</v>
      </c>
      <c r="AD871" t="s">
        <v>53</v>
      </c>
      <c r="AE871" s="2">
        <v>4770.25</v>
      </c>
    </row>
    <row r="872" spans="1:31" x14ac:dyDescent="0.35">
      <c r="A872">
        <v>35</v>
      </c>
      <c r="B872" s="1" t="s">
        <v>39</v>
      </c>
      <c r="C872" s="1" t="s">
        <v>31</v>
      </c>
      <c r="D872">
        <v>17</v>
      </c>
      <c r="E872">
        <v>4</v>
      </c>
      <c r="F872" s="1" t="s">
        <v>32</v>
      </c>
      <c r="G872">
        <v>3</v>
      </c>
      <c r="H872" s="1" t="s">
        <v>41</v>
      </c>
      <c r="I872">
        <v>3</v>
      </c>
      <c r="J872">
        <v>2</v>
      </c>
      <c r="K872" s="1" t="s">
        <v>34</v>
      </c>
      <c r="L872">
        <v>1</v>
      </c>
      <c r="M872" s="1" t="s">
        <v>43</v>
      </c>
      <c r="N872">
        <v>8966</v>
      </c>
      <c r="O872">
        <v>3</v>
      </c>
      <c r="P872" s="1" t="s">
        <v>30</v>
      </c>
      <c r="Q872">
        <v>15</v>
      </c>
      <c r="R872">
        <v>4</v>
      </c>
      <c r="S872">
        <v>3</v>
      </c>
      <c r="T872">
        <v>15</v>
      </c>
      <c r="U872">
        <v>2</v>
      </c>
      <c r="V872">
        <v>3</v>
      </c>
      <c r="W872">
        <v>7</v>
      </c>
      <c r="X872">
        <v>7</v>
      </c>
      <c r="Y872">
        <v>1</v>
      </c>
      <c r="Z872">
        <v>7</v>
      </c>
      <c r="AA872">
        <v>0</v>
      </c>
      <c r="AB872" s="1" t="s">
        <v>48</v>
      </c>
      <c r="AC872" t="s">
        <v>37</v>
      </c>
      <c r="AD872" t="s">
        <v>38</v>
      </c>
      <c r="AE872" s="2">
        <v>1280.8571428571429</v>
      </c>
    </row>
    <row r="873" spans="1:31" x14ac:dyDescent="0.35">
      <c r="A873">
        <v>24</v>
      </c>
      <c r="B873" s="1" t="s">
        <v>30</v>
      </c>
      <c r="C873" s="1" t="s">
        <v>40</v>
      </c>
      <c r="D873">
        <v>17</v>
      </c>
      <c r="E873">
        <v>2</v>
      </c>
      <c r="F873" s="1" t="s">
        <v>32</v>
      </c>
      <c r="G873">
        <v>4</v>
      </c>
      <c r="H873" s="1" t="s">
        <v>33</v>
      </c>
      <c r="I873">
        <v>3</v>
      </c>
      <c r="J873">
        <v>1</v>
      </c>
      <c r="K873" s="1" t="s">
        <v>45</v>
      </c>
      <c r="L873">
        <v>2</v>
      </c>
      <c r="M873" s="1" t="s">
        <v>43</v>
      </c>
      <c r="N873">
        <v>2210</v>
      </c>
      <c r="O873">
        <v>1</v>
      </c>
      <c r="P873" s="1" t="s">
        <v>39</v>
      </c>
      <c r="Q873">
        <v>13</v>
      </c>
      <c r="R873">
        <v>1</v>
      </c>
      <c r="S873">
        <v>1</v>
      </c>
      <c r="T873">
        <v>1</v>
      </c>
      <c r="U873">
        <v>3</v>
      </c>
      <c r="V873">
        <v>1</v>
      </c>
      <c r="W873">
        <v>1</v>
      </c>
      <c r="X873">
        <v>0</v>
      </c>
      <c r="Y873">
        <v>0</v>
      </c>
      <c r="Z873">
        <v>0</v>
      </c>
      <c r="AA873">
        <v>1</v>
      </c>
      <c r="AB873" s="1" t="s">
        <v>54</v>
      </c>
      <c r="AC873" t="s">
        <v>46</v>
      </c>
      <c r="AD873" t="s">
        <v>47</v>
      </c>
      <c r="AE873" s="2">
        <v>2210</v>
      </c>
    </row>
    <row r="874" spans="1:31" x14ac:dyDescent="0.35">
      <c r="A874">
        <v>33</v>
      </c>
      <c r="B874" s="1" t="s">
        <v>39</v>
      </c>
      <c r="C874" s="1" t="s">
        <v>31</v>
      </c>
      <c r="D874">
        <v>25</v>
      </c>
      <c r="E874">
        <v>3</v>
      </c>
      <c r="F874" s="1" t="s">
        <v>49</v>
      </c>
      <c r="G874">
        <v>2</v>
      </c>
      <c r="H874" s="1" t="s">
        <v>33</v>
      </c>
      <c r="I874">
        <v>3</v>
      </c>
      <c r="J874">
        <v>2</v>
      </c>
      <c r="K874" s="1" t="s">
        <v>34</v>
      </c>
      <c r="L874">
        <v>3</v>
      </c>
      <c r="M874" s="1" t="s">
        <v>43</v>
      </c>
      <c r="N874">
        <v>4539</v>
      </c>
      <c r="O874">
        <v>1</v>
      </c>
      <c r="P874" s="1" t="s">
        <v>39</v>
      </c>
      <c r="Q874">
        <v>12</v>
      </c>
      <c r="R874">
        <v>1</v>
      </c>
      <c r="S874">
        <v>1</v>
      </c>
      <c r="T874">
        <v>10</v>
      </c>
      <c r="U874">
        <v>3</v>
      </c>
      <c r="V874">
        <v>2</v>
      </c>
      <c r="W874">
        <v>10</v>
      </c>
      <c r="X874">
        <v>7</v>
      </c>
      <c r="Y874">
        <v>0</v>
      </c>
      <c r="Z874">
        <v>1</v>
      </c>
      <c r="AA874">
        <v>0</v>
      </c>
      <c r="AB874" s="1" t="s">
        <v>48</v>
      </c>
      <c r="AC874" t="s">
        <v>37</v>
      </c>
      <c r="AD874" t="s">
        <v>38</v>
      </c>
      <c r="AE874" s="2">
        <v>453.9</v>
      </c>
    </row>
    <row r="875" spans="1:31" x14ac:dyDescent="0.35">
      <c r="A875">
        <v>36</v>
      </c>
      <c r="B875" s="1" t="s">
        <v>39</v>
      </c>
      <c r="C875" s="1" t="s">
        <v>40</v>
      </c>
      <c r="D875">
        <v>6</v>
      </c>
      <c r="E875">
        <v>4</v>
      </c>
      <c r="F875" s="1" t="s">
        <v>32</v>
      </c>
      <c r="G875">
        <v>3</v>
      </c>
      <c r="H875" s="1" t="s">
        <v>41</v>
      </c>
      <c r="I875">
        <v>1</v>
      </c>
      <c r="J875">
        <v>1</v>
      </c>
      <c r="K875" s="1" t="s">
        <v>45</v>
      </c>
      <c r="L875">
        <v>3</v>
      </c>
      <c r="M875" s="1" t="s">
        <v>50</v>
      </c>
      <c r="N875">
        <v>2741</v>
      </c>
      <c r="O875">
        <v>1</v>
      </c>
      <c r="P875" s="1" t="s">
        <v>39</v>
      </c>
      <c r="Q875">
        <v>14</v>
      </c>
      <c r="R875">
        <v>3</v>
      </c>
      <c r="S875">
        <v>1</v>
      </c>
      <c r="T875">
        <v>7</v>
      </c>
      <c r="U875">
        <v>4</v>
      </c>
      <c r="V875">
        <v>3</v>
      </c>
      <c r="W875">
        <v>7</v>
      </c>
      <c r="X875">
        <v>7</v>
      </c>
      <c r="Y875">
        <v>1</v>
      </c>
      <c r="Z875">
        <v>7</v>
      </c>
      <c r="AA875">
        <v>0</v>
      </c>
      <c r="AB875" s="1" t="s">
        <v>36</v>
      </c>
      <c r="AC875" t="s">
        <v>46</v>
      </c>
      <c r="AD875" t="s">
        <v>38</v>
      </c>
      <c r="AE875" s="2">
        <v>391.57142857142856</v>
      </c>
    </row>
    <row r="876" spans="1:31" x14ac:dyDescent="0.35">
      <c r="A876">
        <v>30</v>
      </c>
      <c r="B876" s="1" t="s">
        <v>39</v>
      </c>
      <c r="C876" s="1" t="s">
        <v>40</v>
      </c>
      <c r="D876">
        <v>7</v>
      </c>
      <c r="E876">
        <v>4</v>
      </c>
      <c r="F876" s="1" t="s">
        <v>32</v>
      </c>
      <c r="G876">
        <v>3</v>
      </c>
      <c r="H876" s="1" t="s">
        <v>41</v>
      </c>
      <c r="I876">
        <v>3</v>
      </c>
      <c r="J876">
        <v>2</v>
      </c>
      <c r="K876" s="1" t="s">
        <v>45</v>
      </c>
      <c r="L876">
        <v>3</v>
      </c>
      <c r="M876" s="1" t="s">
        <v>50</v>
      </c>
      <c r="N876">
        <v>3491</v>
      </c>
      <c r="O876">
        <v>1</v>
      </c>
      <c r="P876" s="1" t="s">
        <v>39</v>
      </c>
      <c r="Q876">
        <v>13</v>
      </c>
      <c r="R876">
        <v>1</v>
      </c>
      <c r="S876">
        <v>3</v>
      </c>
      <c r="T876">
        <v>10</v>
      </c>
      <c r="U876">
        <v>4</v>
      </c>
      <c r="V876">
        <v>2</v>
      </c>
      <c r="W876">
        <v>10</v>
      </c>
      <c r="X876">
        <v>7</v>
      </c>
      <c r="Y876">
        <v>8</v>
      </c>
      <c r="Z876">
        <v>9</v>
      </c>
      <c r="AA876">
        <v>0</v>
      </c>
      <c r="AB876" s="1" t="s">
        <v>48</v>
      </c>
      <c r="AC876" t="s">
        <v>46</v>
      </c>
      <c r="AD876" t="s">
        <v>38</v>
      </c>
      <c r="AE876" s="2">
        <v>349.1</v>
      </c>
    </row>
    <row r="877" spans="1:31" x14ac:dyDescent="0.35">
      <c r="A877">
        <v>44</v>
      </c>
      <c r="B877" s="1" t="s">
        <v>39</v>
      </c>
      <c r="C877" s="1" t="s">
        <v>40</v>
      </c>
      <c r="D877">
        <v>29</v>
      </c>
      <c r="E877">
        <v>4</v>
      </c>
      <c r="F877" s="1" t="s">
        <v>44</v>
      </c>
      <c r="G877">
        <v>4</v>
      </c>
      <c r="H877" s="1" t="s">
        <v>41</v>
      </c>
      <c r="I877">
        <v>3</v>
      </c>
      <c r="J877">
        <v>2</v>
      </c>
      <c r="K877" s="1" t="s">
        <v>42</v>
      </c>
      <c r="L877">
        <v>4</v>
      </c>
      <c r="M877" s="1" t="s">
        <v>35</v>
      </c>
      <c r="N877">
        <v>4541</v>
      </c>
      <c r="O877">
        <v>1</v>
      </c>
      <c r="P877" s="1" t="s">
        <v>39</v>
      </c>
      <c r="Q877">
        <v>25</v>
      </c>
      <c r="R877">
        <v>2</v>
      </c>
      <c r="S877">
        <v>0</v>
      </c>
      <c r="T877">
        <v>20</v>
      </c>
      <c r="U877">
        <v>3</v>
      </c>
      <c r="V877">
        <v>3</v>
      </c>
      <c r="W877">
        <v>20</v>
      </c>
      <c r="X877">
        <v>11</v>
      </c>
      <c r="Y877">
        <v>13</v>
      </c>
      <c r="Z877">
        <v>17</v>
      </c>
      <c r="AA877">
        <v>0</v>
      </c>
      <c r="AB877" s="1" t="s">
        <v>36</v>
      </c>
      <c r="AC877" t="s">
        <v>37</v>
      </c>
      <c r="AD877" t="s">
        <v>57</v>
      </c>
      <c r="AE877" s="2">
        <v>227.05</v>
      </c>
    </row>
    <row r="878" spans="1:31" x14ac:dyDescent="0.35">
      <c r="A878">
        <v>20</v>
      </c>
      <c r="B878" s="1" t="s">
        <v>39</v>
      </c>
      <c r="C878" s="1" t="s">
        <v>31</v>
      </c>
      <c r="D878">
        <v>21</v>
      </c>
      <c r="E878">
        <v>3</v>
      </c>
      <c r="F878" s="1" t="s">
        <v>60</v>
      </c>
      <c r="G878">
        <v>3</v>
      </c>
      <c r="H878" s="1" t="s">
        <v>41</v>
      </c>
      <c r="I878">
        <v>4</v>
      </c>
      <c r="J878">
        <v>1</v>
      </c>
      <c r="K878" s="1" t="s">
        <v>58</v>
      </c>
      <c r="L878">
        <v>4</v>
      </c>
      <c r="M878" s="1" t="s">
        <v>35</v>
      </c>
      <c r="N878">
        <v>2678</v>
      </c>
      <c r="O878">
        <v>1</v>
      </c>
      <c r="P878" s="1" t="s">
        <v>39</v>
      </c>
      <c r="Q878">
        <v>17</v>
      </c>
      <c r="R878">
        <v>4</v>
      </c>
      <c r="S878">
        <v>0</v>
      </c>
      <c r="T878">
        <v>2</v>
      </c>
      <c r="U878">
        <v>2</v>
      </c>
      <c r="V878">
        <v>3</v>
      </c>
      <c r="W878">
        <v>2</v>
      </c>
      <c r="X878">
        <v>1</v>
      </c>
      <c r="Y878">
        <v>2</v>
      </c>
      <c r="Z878">
        <v>2</v>
      </c>
      <c r="AA878">
        <v>0</v>
      </c>
      <c r="AB878" s="1" t="s">
        <v>54</v>
      </c>
      <c r="AC878" t="s">
        <v>46</v>
      </c>
      <c r="AD878" t="s">
        <v>47</v>
      </c>
      <c r="AE878" s="2">
        <v>1339</v>
      </c>
    </row>
    <row r="879" spans="1:31" x14ac:dyDescent="0.35">
      <c r="A879">
        <v>46</v>
      </c>
      <c r="B879" s="1" t="s">
        <v>39</v>
      </c>
      <c r="C879" s="1" t="s">
        <v>40</v>
      </c>
      <c r="D879">
        <v>2</v>
      </c>
      <c r="E879">
        <v>4</v>
      </c>
      <c r="F879" s="1" t="s">
        <v>61</v>
      </c>
      <c r="G879">
        <v>4</v>
      </c>
      <c r="H879" s="1" t="s">
        <v>41</v>
      </c>
      <c r="I879">
        <v>3</v>
      </c>
      <c r="J879">
        <v>2</v>
      </c>
      <c r="K879" s="1" t="s">
        <v>51</v>
      </c>
      <c r="L879">
        <v>4</v>
      </c>
      <c r="M879" s="1" t="s">
        <v>50</v>
      </c>
      <c r="N879">
        <v>7379</v>
      </c>
      <c r="O879">
        <v>2</v>
      </c>
      <c r="P879" s="1" t="s">
        <v>39</v>
      </c>
      <c r="Q879">
        <v>11</v>
      </c>
      <c r="R879">
        <v>3</v>
      </c>
      <c r="S879">
        <v>1</v>
      </c>
      <c r="T879">
        <v>12</v>
      </c>
      <c r="U879">
        <v>3</v>
      </c>
      <c r="V879">
        <v>2</v>
      </c>
      <c r="W879">
        <v>6</v>
      </c>
      <c r="X879">
        <v>3</v>
      </c>
      <c r="Y879">
        <v>1</v>
      </c>
      <c r="Z879">
        <v>4</v>
      </c>
      <c r="AA879">
        <v>0</v>
      </c>
      <c r="AB879" s="1" t="s">
        <v>82</v>
      </c>
      <c r="AC879" t="s">
        <v>37</v>
      </c>
      <c r="AD879" t="s">
        <v>38</v>
      </c>
      <c r="AE879" s="2">
        <v>1229.8333333333333</v>
      </c>
    </row>
    <row r="880" spans="1:31" x14ac:dyDescent="0.35">
      <c r="A880">
        <v>42</v>
      </c>
      <c r="B880" s="1" t="s">
        <v>39</v>
      </c>
      <c r="C880" s="1" t="s">
        <v>62</v>
      </c>
      <c r="D880">
        <v>2</v>
      </c>
      <c r="E880">
        <v>5</v>
      </c>
      <c r="F880" s="1" t="s">
        <v>49</v>
      </c>
      <c r="G880">
        <v>4</v>
      </c>
      <c r="H880" s="1" t="s">
        <v>41</v>
      </c>
      <c r="I880">
        <v>4</v>
      </c>
      <c r="J880">
        <v>2</v>
      </c>
      <c r="K880" s="1" t="s">
        <v>62</v>
      </c>
      <c r="L880">
        <v>1</v>
      </c>
      <c r="M880" s="1" t="s">
        <v>43</v>
      </c>
      <c r="N880">
        <v>6272</v>
      </c>
      <c r="O880">
        <v>7</v>
      </c>
      <c r="P880" s="1" t="s">
        <v>39</v>
      </c>
      <c r="Q880">
        <v>16</v>
      </c>
      <c r="R880">
        <v>1</v>
      </c>
      <c r="S880">
        <v>1</v>
      </c>
      <c r="T880">
        <v>10</v>
      </c>
      <c r="U880">
        <v>3</v>
      </c>
      <c r="V880">
        <v>4</v>
      </c>
      <c r="W880">
        <v>4</v>
      </c>
      <c r="X880">
        <v>3</v>
      </c>
      <c r="Y880">
        <v>0</v>
      </c>
      <c r="Z880">
        <v>3</v>
      </c>
      <c r="AA880">
        <v>0</v>
      </c>
      <c r="AB880" s="1" t="s">
        <v>36</v>
      </c>
      <c r="AC880" t="s">
        <v>37</v>
      </c>
      <c r="AD880" t="s">
        <v>53</v>
      </c>
      <c r="AE880" s="2">
        <v>1568</v>
      </c>
    </row>
    <row r="881" spans="1:31" x14ac:dyDescent="0.35">
      <c r="A881">
        <v>60</v>
      </c>
      <c r="B881" s="1" t="s">
        <v>39</v>
      </c>
      <c r="C881" s="1" t="s">
        <v>31</v>
      </c>
      <c r="D881">
        <v>7</v>
      </c>
      <c r="E881">
        <v>4</v>
      </c>
      <c r="F881" s="1" t="s">
        <v>60</v>
      </c>
      <c r="G881">
        <v>2</v>
      </c>
      <c r="H881" s="1" t="s">
        <v>41</v>
      </c>
      <c r="I881">
        <v>4</v>
      </c>
      <c r="J881">
        <v>2</v>
      </c>
      <c r="K881" s="1" t="s">
        <v>34</v>
      </c>
      <c r="L881">
        <v>4</v>
      </c>
      <c r="M881" s="1" t="s">
        <v>50</v>
      </c>
      <c r="N881">
        <v>5220</v>
      </c>
      <c r="O881">
        <v>0</v>
      </c>
      <c r="P881" s="1" t="s">
        <v>30</v>
      </c>
      <c r="Q881">
        <v>18</v>
      </c>
      <c r="R881">
        <v>2</v>
      </c>
      <c r="S881">
        <v>1</v>
      </c>
      <c r="T881">
        <v>12</v>
      </c>
      <c r="U881">
        <v>3</v>
      </c>
      <c r="V881">
        <v>3</v>
      </c>
      <c r="W881">
        <v>11</v>
      </c>
      <c r="X881">
        <v>7</v>
      </c>
      <c r="Y881">
        <v>1</v>
      </c>
      <c r="Z881">
        <v>9</v>
      </c>
      <c r="AA881">
        <v>0</v>
      </c>
      <c r="AB881" s="1" t="s">
        <v>82</v>
      </c>
      <c r="AC881" t="s">
        <v>37</v>
      </c>
      <c r="AD881" t="s">
        <v>57</v>
      </c>
      <c r="AE881" s="2">
        <v>474.54545454545456</v>
      </c>
    </row>
    <row r="882" spans="1:31" x14ac:dyDescent="0.35">
      <c r="A882">
        <v>32</v>
      </c>
      <c r="B882" s="1" t="s">
        <v>39</v>
      </c>
      <c r="C882" s="1" t="s">
        <v>40</v>
      </c>
      <c r="D882">
        <v>13</v>
      </c>
      <c r="E882">
        <v>3</v>
      </c>
      <c r="F882" s="1" t="s">
        <v>44</v>
      </c>
      <c r="G882">
        <v>3</v>
      </c>
      <c r="H882" s="1" t="s">
        <v>33</v>
      </c>
      <c r="I882">
        <v>2</v>
      </c>
      <c r="J882">
        <v>1</v>
      </c>
      <c r="K882" s="1" t="s">
        <v>45</v>
      </c>
      <c r="L882">
        <v>2</v>
      </c>
      <c r="M882" s="1" t="s">
        <v>43</v>
      </c>
      <c r="N882">
        <v>2743</v>
      </c>
      <c r="O882">
        <v>1</v>
      </c>
      <c r="P882" s="1" t="s">
        <v>39</v>
      </c>
      <c r="Q882">
        <v>20</v>
      </c>
      <c r="R882">
        <v>3</v>
      </c>
      <c r="S882">
        <v>1</v>
      </c>
      <c r="T882">
        <v>2</v>
      </c>
      <c r="U882">
        <v>2</v>
      </c>
      <c r="V882">
        <v>3</v>
      </c>
      <c r="W882">
        <v>2</v>
      </c>
      <c r="X882">
        <v>2</v>
      </c>
      <c r="Y882">
        <v>2</v>
      </c>
      <c r="Z882">
        <v>2</v>
      </c>
      <c r="AA882">
        <v>0</v>
      </c>
      <c r="AB882" s="1" t="s">
        <v>48</v>
      </c>
      <c r="AC882" t="s">
        <v>46</v>
      </c>
      <c r="AD882" t="s">
        <v>47</v>
      </c>
      <c r="AE882" s="2">
        <v>1371.5</v>
      </c>
    </row>
    <row r="883" spans="1:31" x14ac:dyDescent="0.35">
      <c r="A883">
        <v>32</v>
      </c>
      <c r="B883" s="1" t="s">
        <v>39</v>
      </c>
      <c r="C883" s="1" t="s">
        <v>40</v>
      </c>
      <c r="D883">
        <v>2</v>
      </c>
      <c r="E883">
        <v>2</v>
      </c>
      <c r="F883" s="1" t="s">
        <v>32</v>
      </c>
      <c r="G883">
        <v>4</v>
      </c>
      <c r="H883" s="1" t="s">
        <v>33</v>
      </c>
      <c r="I883">
        <v>3</v>
      </c>
      <c r="J883">
        <v>2</v>
      </c>
      <c r="K883" s="1" t="s">
        <v>42</v>
      </c>
      <c r="L883">
        <v>3</v>
      </c>
      <c r="M883" s="1" t="s">
        <v>35</v>
      </c>
      <c r="N883">
        <v>4998</v>
      </c>
      <c r="O883">
        <v>4</v>
      </c>
      <c r="P883" s="1" t="s">
        <v>30</v>
      </c>
      <c r="Q883">
        <v>14</v>
      </c>
      <c r="R883">
        <v>4</v>
      </c>
      <c r="S883">
        <v>0</v>
      </c>
      <c r="T883">
        <v>10</v>
      </c>
      <c r="U883">
        <v>2</v>
      </c>
      <c r="V883">
        <v>3</v>
      </c>
      <c r="W883">
        <v>8</v>
      </c>
      <c r="X883">
        <v>7</v>
      </c>
      <c r="Y883">
        <v>0</v>
      </c>
      <c r="Z883">
        <v>7</v>
      </c>
      <c r="AA883">
        <v>0</v>
      </c>
      <c r="AB883" s="1" t="s">
        <v>48</v>
      </c>
      <c r="AC883" t="s">
        <v>37</v>
      </c>
      <c r="AD883" t="s">
        <v>38</v>
      </c>
      <c r="AE883" s="2">
        <v>624.75</v>
      </c>
    </row>
    <row r="884" spans="1:31" x14ac:dyDescent="0.35">
      <c r="A884">
        <v>36</v>
      </c>
      <c r="B884" s="1" t="s">
        <v>39</v>
      </c>
      <c r="C884" s="1" t="s">
        <v>40</v>
      </c>
      <c r="D884">
        <v>1</v>
      </c>
      <c r="E884">
        <v>3</v>
      </c>
      <c r="F884" s="1" t="s">
        <v>61</v>
      </c>
      <c r="G884">
        <v>3</v>
      </c>
      <c r="H884" s="1" t="s">
        <v>33</v>
      </c>
      <c r="I884">
        <v>1</v>
      </c>
      <c r="J884">
        <v>3</v>
      </c>
      <c r="K884" s="1" t="s">
        <v>51</v>
      </c>
      <c r="L884">
        <v>1</v>
      </c>
      <c r="M884" s="1" t="s">
        <v>50</v>
      </c>
      <c r="N884">
        <v>10252</v>
      </c>
      <c r="O884">
        <v>2</v>
      </c>
      <c r="P884" s="1" t="s">
        <v>30</v>
      </c>
      <c r="Q884">
        <v>21</v>
      </c>
      <c r="R884">
        <v>3</v>
      </c>
      <c r="S884">
        <v>1</v>
      </c>
      <c r="T884">
        <v>17</v>
      </c>
      <c r="U884">
        <v>2</v>
      </c>
      <c r="V884">
        <v>3</v>
      </c>
      <c r="W884">
        <v>7</v>
      </c>
      <c r="X884">
        <v>7</v>
      </c>
      <c r="Y884">
        <v>7</v>
      </c>
      <c r="Z884">
        <v>7</v>
      </c>
      <c r="AA884">
        <v>0</v>
      </c>
      <c r="AB884" s="1" t="s">
        <v>36</v>
      </c>
      <c r="AC884" t="s">
        <v>56</v>
      </c>
      <c r="AD884" t="s">
        <v>38</v>
      </c>
      <c r="AE884" s="2">
        <v>1464.5714285714287</v>
      </c>
    </row>
    <row r="885" spans="1:31" x14ac:dyDescent="0.35">
      <c r="A885">
        <v>33</v>
      </c>
      <c r="B885" s="1" t="s">
        <v>39</v>
      </c>
      <c r="C885" s="1" t="s">
        <v>40</v>
      </c>
      <c r="D885">
        <v>9</v>
      </c>
      <c r="E885">
        <v>3</v>
      </c>
      <c r="F885" s="1" t="s">
        <v>49</v>
      </c>
      <c r="G885">
        <v>1</v>
      </c>
      <c r="H885" s="1" t="s">
        <v>41</v>
      </c>
      <c r="I885">
        <v>3</v>
      </c>
      <c r="J885">
        <v>1</v>
      </c>
      <c r="K885" s="1" t="s">
        <v>42</v>
      </c>
      <c r="L885">
        <v>4</v>
      </c>
      <c r="M885" s="1" t="s">
        <v>43</v>
      </c>
      <c r="N885">
        <v>2781</v>
      </c>
      <c r="O885">
        <v>0</v>
      </c>
      <c r="P885" s="1" t="s">
        <v>39</v>
      </c>
      <c r="Q885">
        <v>13</v>
      </c>
      <c r="R885">
        <v>2</v>
      </c>
      <c r="S885">
        <v>1</v>
      </c>
      <c r="T885">
        <v>15</v>
      </c>
      <c r="U885">
        <v>5</v>
      </c>
      <c r="V885">
        <v>3</v>
      </c>
      <c r="W885">
        <v>14</v>
      </c>
      <c r="X885">
        <v>10</v>
      </c>
      <c r="Y885">
        <v>4</v>
      </c>
      <c r="Z885">
        <v>10</v>
      </c>
      <c r="AA885">
        <v>0</v>
      </c>
      <c r="AB885" s="1" t="s">
        <v>48</v>
      </c>
      <c r="AC885" t="s">
        <v>46</v>
      </c>
      <c r="AD885" t="s">
        <v>57</v>
      </c>
      <c r="AE885" s="2">
        <v>198.64285714285714</v>
      </c>
    </row>
    <row r="886" spans="1:31" x14ac:dyDescent="0.35">
      <c r="A886">
        <v>40</v>
      </c>
      <c r="B886" s="1" t="s">
        <v>39</v>
      </c>
      <c r="C886" s="1" t="s">
        <v>31</v>
      </c>
      <c r="D886">
        <v>10</v>
      </c>
      <c r="E886">
        <v>3</v>
      </c>
      <c r="F886" s="1" t="s">
        <v>61</v>
      </c>
      <c r="G886">
        <v>2</v>
      </c>
      <c r="H886" s="1" t="s">
        <v>33</v>
      </c>
      <c r="I886">
        <v>2</v>
      </c>
      <c r="J886">
        <v>2</v>
      </c>
      <c r="K886" s="1" t="s">
        <v>34</v>
      </c>
      <c r="L886">
        <v>2</v>
      </c>
      <c r="M886" s="1" t="s">
        <v>50</v>
      </c>
      <c r="N886">
        <v>6852</v>
      </c>
      <c r="O886">
        <v>7</v>
      </c>
      <c r="P886" s="1" t="s">
        <v>39</v>
      </c>
      <c r="Q886">
        <v>12</v>
      </c>
      <c r="R886">
        <v>2</v>
      </c>
      <c r="S886">
        <v>1</v>
      </c>
      <c r="T886">
        <v>7</v>
      </c>
      <c r="U886">
        <v>2</v>
      </c>
      <c r="V886">
        <v>4</v>
      </c>
      <c r="W886">
        <v>5</v>
      </c>
      <c r="X886">
        <v>1</v>
      </c>
      <c r="Y886">
        <v>1</v>
      </c>
      <c r="Z886">
        <v>3</v>
      </c>
      <c r="AA886">
        <v>0</v>
      </c>
      <c r="AB886" s="1" t="s">
        <v>36</v>
      </c>
      <c r="AC886" t="s">
        <v>37</v>
      </c>
      <c r="AD886" t="s">
        <v>53</v>
      </c>
      <c r="AE886" s="2">
        <v>1370.4</v>
      </c>
    </row>
    <row r="887" spans="1:31" x14ac:dyDescent="0.35">
      <c r="A887">
        <v>25</v>
      </c>
      <c r="B887" s="1" t="s">
        <v>39</v>
      </c>
      <c r="C887" s="1" t="s">
        <v>31</v>
      </c>
      <c r="D887">
        <v>10</v>
      </c>
      <c r="E887">
        <v>4</v>
      </c>
      <c r="F887" s="1" t="s">
        <v>32</v>
      </c>
      <c r="G887">
        <v>3</v>
      </c>
      <c r="H887" s="1" t="s">
        <v>41</v>
      </c>
      <c r="I887">
        <v>3</v>
      </c>
      <c r="J887">
        <v>2</v>
      </c>
      <c r="K887" s="1" t="s">
        <v>34</v>
      </c>
      <c r="L887">
        <v>4</v>
      </c>
      <c r="M887" s="1" t="s">
        <v>35</v>
      </c>
      <c r="N887">
        <v>4950</v>
      </c>
      <c r="O887">
        <v>0</v>
      </c>
      <c r="P887" s="1" t="s">
        <v>39</v>
      </c>
      <c r="Q887">
        <v>14</v>
      </c>
      <c r="R887">
        <v>2</v>
      </c>
      <c r="S887">
        <v>0</v>
      </c>
      <c r="T887">
        <v>5</v>
      </c>
      <c r="U887">
        <v>4</v>
      </c>
      <c r="V887">
        <v>3</v>
      </c>
      <c r="W887">
        <v>4</v>
      </c>
      <c r="X887">
        <v>3</v>
      </c>
      <c r="Y887">
        <v>1</v>
      </c>
      <c r="Z887">
        <v>1</v>
      </c>
      <c r="AA887">
        <v>0</v>
      </c>
      <c r="AB887" s="1" t="s">
        <v>54</v>
      </c>
      <c r="AC887" t="s">
        <v>37</v>
      </c>
      <c r="AD887" t="s">
        <v>53</v>
      </c>
      <c r="AE887" s="2">
        <v>1237.5</v>
      </c>
    </row>
    <row r="888" spans="1:31" x14ac:dyDescent="0.35">
      <c r="A888">
        <v>30</v>
      </c>
      <c r="B888" s="1" t="s">
        <v>39</v>
      </c>
      <c r="C888" s="1" t="s">
        <v>40</v>
      </c>
      <c r="D888">
        <v>1</v>
      </c>
      <c r="E888">
        <v>3</v>
      </c>
      <c r="F888" s="1" t="s">
        <v>49</v>
      </c>
      <c r="G888">
        <v>4</v>
      </c>
      <c r="H888" s="1" t="s">
        <v>41</v>
      </c>
      <c r="I888">
        <v>3</v>
      </c>
      <c r="J888">
        <v>1</v>
      </c>
      <c r="K888" s="1" t="s">
        <v>42</v>
      </c>
      <c r="L888">
        <v>2</v>
      </c>
      <c r="M888" s="1" t="s">
        <v>43</v>
      </c>
      <c r="N888">
        <v>3579</v>
      </c>
      <c r="O888">
        <v>0</v>
      </c>
      <c r="P888" s="1" t="s">
        <v>30</v>
      </c>
      <c r="Q888">
        <v>21</v>
      </c>
      <c r="R888">
        <v>1</v>
      </c>
      <c r="S888">
        <v>1</v>
      </c>
      <c r="T888">
        <v>12</v>
      </c>
      <c r="U888">
        <v>2</v>
      </c>
      <c r="V888">
        <v>3</v>
      </c>
      <c r="W888">
        <v>11</v>
      </c>
      <c r="X888">
        <v>9</v>
      </c>
      <c r="Y888">
        <v>5</v>
      </c>
      <c r="Z888">
        <v>7</v>
      </c>
      <c r="AA888">
        <v>0</v>
      </c>
      <c r="AB888" s="1" t="s">
        <v>48</v>
      </c>
      <c r="AC888" t="s">
        <v>46</v>
      </c>
      <c r="AD888" t="s">
        <v>57</v>
      </c>
      <c r="AE888" s="2">
        <v>325.36363636363637</v>
      </c>
    </row>
    <row r="889" spans="1:31" x14ac:dyDescent="0.35">
      <c r="A889">
        <v>42</v>
      </c>
      <c r="B889" s="1" t="s">
        <v>39</v>
      </c>
      <c r="C889" s="1" t="s">
        <v>40</v>
      </c>
      <c r="D889">
        <v>26</v>
      </c>
      <c r="E889">
        <v>5</v>
      </c>
      <c r="F889" s="1" t="s">
        <v>49</v>
      </c>
      <c r="G889">
        <v>1</v>
      </c>
      <c r="H889" s="1" t="s">
        <v>33</v>
      </c>
      <c r="I889">
        <v>3</v>
      </c>
      <c r="J889">
        <v>3</v>
      </c>
      <c r="K889" s="1" t="s">
        <v>59</v>
      </c>
      <c r="L889">
        <v>1</v>
      </c>
      <c r="M889" s="1" t="s">
        <v>43</v>
      </c>
      <c r="N889">
        <v>13191</v>
      </c>
      <c r="O889">
        <v>3</v>
      </c>
      <c r="P889" s="1" t="s">
        <v>30</v>
      </c>
      <c r="Q889">
        <v>17</v>
      </c>
      <c r="R889">
        <v>3</v>
      </c>
      <c r="S889">
        <v>0</v>
      </c>
      <c r="T889">
        <v>20</v>
      </c>
      <c r="U889">
        <v>6</v>
      </c>
      <c r="V889">
        <v>3</v>
      </c>
      <c r="W889">
        <v>1</v>
      </c>
      <c r="X889">
        <v>0</v>
      </c>
      <c r="Y889">
        <v>0</v>
      </c>
      <c r="Z889">
        <v>0</v>
      </c>
      <c r="AA889">
        <v>0</v>
      </c>
      <c r="AB889" s="1" t="s">
        <v>36</v>
      </c>
      <c r="AC889" t="s">
        <v>56</v>
      </c>
      <c r="AD889" t="s">
        <v>47</v>
      </c>
      <c r="AE889" s="2">
        <v>13191</v>
      </c>
    </row>
    <row r="890" spans="1:31" x14ac:dyDescent="0.35">
      <c r="A890">
        <v>35</v>
      </c>
      <c r="B890" s="1" t="s">
        <v>39</v>
      </c>
      <c r="C890" s="1" t="s">
        <v>31</v>
      </c>
      <c r="D890">
        <v>8</v>
      </c>
      <c r="E890">
        <v>2</v>
      </c>
      <c r="F890" s="1" t="s">
        <v>60</v>
      </c>
      <c r="G890">
        <v>3</v>
      </c>
      <c r="H890" s="1" t="s">
        <v>33</v>
      </c>
      <c r="I890">
        <v>2</v>
      </c>
      <c r="J890">
        <v>3</v>
      </c>
      <c r="K890" s="1" t="s">
        <v>34</v>
      </c>
      <c r="L890">
        <v>4</v>
      </c>
      <c r="M890" s="1" t="s">
        <v>43</v>
      </c>
      <c r="N890">
        <v>10377</v>
      </c>
      <c r="O890">
        <v>4</v>
      </c>
      <c r="P890" s="1" t="s">
        <v>30</v>
      </c>
      <c r="Q890">
        <v>11</v>
      </c>
      <c r="R890">
        <v>2</v>
      </c>
      <c r="S890">
        <v>1</v>
      </c>
      <c r="T890">
        <v>16</v>
      </c>
      <c r="U890">
        <v>6</v>
      </c>
      <c r="V890">
        <v>2</v>
      </c>
      <c r="W890">
        <v>13</v>
      </c>
      <c r="X890">
        <v>2</v>
      </c>
      <c r="Y890">
        <v>4</v>
      </c>
      <c r="Z890">
        <v>12</v>
      </c>
      <c r="AA890">
        <v>0</v>
      </c>
      <c r="AB890" s="1" t="s">
        <v>48</v>
      </c>
      <c r="AC890" t="s">
        <v>56</v>
      </c>
      <c r="AD890" t="s">
        <v>57</v>
      </c>
      <c r="AE890" s="2">
        <v>798.23076923076928</v>
      </c>
    </row>
    <row r="891" spans="1:31" x14ac:dyDescent="0.35">
      <c r="A891">
        <v>27</v>
      </c>
      <c r="B891" s="1" t="s">
        <v>39</v>
      </c>
      <c r="C891" s="1" t="s">
        <v>40</v>
      </c>
      <c r="D891">
        <v>14</v>
      </c>
      <c r="E891">
        <v>3</v>
      </c>
      <c r="F891" s="1" t="s">
        <v>32</v>
      </c>
      <c r="G891">
        <v>1</v>
      </c>
      <c r="H891" s="1" t="s">
        <v>41</v>
      </c>
      <c r="I891">
        <v>3</v>
      </c>
      <c r="J891">
        <v>1</v>
      </c>
      <c r="K891" s="1" t="s">
        <v>42</v>
      </c>
      <c r="L891">
        <v>1</v>
      </c>
      <c r="M891" s="1" t="s">
        <v>43</v>
      </c>
      <c r="N891">
        <v>2235</v>
      </c>
      <c r="O891">
        <v>1</v>
      </c>
      <c r="P891" s="1" t="s">
        <v>30</v>
      </c>
      <c r="Q891">
        <v>14</v>
      </c>
      <c r="R891">
        <v>4</v>
      </c>
      <c r="S891">
        <v>2</v>
      </c>
      <c r="T891">
        <v>9</v>
      </c>
      <c r="U891">
        <v>3</v>
      </c>
      <c r="V891">
        <v>2</v>
      </c>
      <c r="W891">
        <v>9</v>
      </c>
      <c r="X891">
        <v>7</v>
      </c>
      <c r="Y891">
        <v>6</v>
      </c>
      <c r="Z891">
        <v>8</v>
      </c>
      <c r="AA891">
        <v>0</v>
      </c>
      <c r="AB891" s="1" t="s">
        <v>48</v>
      </c>
      <c r="AC891" t="s">
        <v>46</v>
      </c>
      <c r="AD891" t="s">
        <v>38</v>
      </c>
      <c r="AE891" s="2">
        <v>248.33333333333334</v>
      </c>
    </row>
    <row r="892" spans="1:31" x14ac:dyDescent="0.35">
      <c r="A892">
        <v>54</v>
      </c>
      <c r="B892" s="1" t="s">
        <v>39</v>
      </c>
      <c r="C892" s="1" t="s">
        <v>40</v>
      </c>
      <c r="D892">
        <v>1</v>
      </c>
      <c r="E892">
        <v>4</v>
      </c>
      <c r="F892" s="1" t="s">
        <v>32</v>
      </c>
      <c r="G892">
        <v>4</v>
      </c>
      <c r="H892" s="1" t="s">
        <v>33</v>
      </c>
      <c r="I892">
        <v>3</v>
      </c>
      <c r="J892">
        <v>3</v>
      </c>
      <c r="K892" s="1" t="s">
        <v>51</v>
      </c>
      <c r="L892">
        <v>3</v>
      </c>
      <c r="M892" s="1" t="s">
        <v>50</v>
      </c>
      <c r="N892">
        <v>10502</v>
      </c>
      <c r="O892">
        <v>7</v>
      </c>
      <c r="P892" s="1" t="s">
        <v>39</v>
      </c>
      <c r="Q892">
        <v>17</v>
      </c>
      <c r="R892">
        <v>1</v>
      </c>
      <c r="S892">
        <v>1</v>
      </c>
      <c r="T892">
        <v>33</v>
      </c>
      <c r="U892">
        <v>2</v>
      </c>
      <c r="V892">
        <v>1</v>
      </c>
      <c r="W892">
        <v>5</v>
      </c>
      <c r="X892">
        <v>4</v>
      </c>
      <c r="Y892">
        <v>1</v>
      </c>
      <c r="Z892">
        <v>4</v>
      </c>
      <c r="AA892">
        <v>0</v>
      </c>
      <c r="AB892" s="1" t="s">
        <v>82</v>
      </c>
      <c r="AC892" t="s">
        <v>56</v>
      </c>
      <c r="AD892" t="s">
        <v>53</v>
      </c>
      <c r="AE892" s="2">
        <v>2100.4</v>
      </c>
    </row>
    <row r="893" spans="1:31" x14ac:dyDescent="0.35">
      <c r="A893">
        <v>44</v>
      </c>
      <c r="B893" s="1" t="s">
        <v>39</v>
      </c>
      <c r="C893" s="1" t="s">
        <v>40</v>
      </c>
      <c r="D893">
        <v>2</v>
      </c>
      <c r="E893">
        <v>1</v>
      </c>
      <c r="F893" s="1" t="s">
        <v>32</v>
      </c>
      <c r="G893">
        <v>1</v>
      </c>
      <c r="H893" s="1" t="s">
        <v>33</v>
      </c>
      <c r="I893">
        <v>4</v>
      </c>
      <c r="J893">
        <v>1</v>
      </c>
      <c r="K893" s="1" t="s">
        <v>42</v>
      </c>
      <c r="L893">
        <v>4</v>
      </c>
      <c r="M893" s="1" t="s">
        <v>43</v>
      </c>
      <c r="N893">
        <v>2011</v>
      </c>
      <c r="O893">
        <v>1</v>
      </c>
      <c r="P893" s="1" t="s">
        <v>39</v>
      </c>
      <c r="Q893">
        <v>13</v>
      </c>
      <c r="R893">
        <v>4</v>
      </c>
      <c r="S893">
        <v>1</v>
      </c>
      <c r="T893">
        <v>10</v>
      </c>
      <c r="U893">
        <v>5</v>
      </c>
      <c r="V893">
        <v>3</v>
      </c>
      <c r="W893">
        <v>10</v>
      </c>
      <c r="X893">
        <v>5</v>
      </c>
      <c r="Y893">
        <v>7</v>
      </c>
      <c r="Z893">
        <v>7</v>
      </c>
      <c r="AA893">
        <v>0</v>
      </c>
      <c r="AB893" s="1" t="s">
        <v>36</v>
      </c>
      <c r="AC893" t="s">
        <v>46</v>
      </c>
      <c r="AD893" t="s">
        <v>38</v>
      </c>
      <c r="AE893" s="2">
        <v>201.1</v>
      </c>
    </row>
    <row r="894" spans="1:31" x14ac:dyDescent="0.35">
      <c r="A894">
        <v>19</v>
      </c>
      <c r="B894" s="1" t="s">
        <v>30</v>
      </c>
      <c r="C894" s="1" t="s">
        <v>40</v>
      </c>
      <c r="D894">
        <v>10</v>
      </c>
      <c r="E894">
        <v>3</v>
      </c>
      <c r="F894" s="1" t="s">
        <v>49</v>
      </c>
      <c r="G894">
        <v>1</v>
      </c>
      <c r="H894" s="1" t="s">
        <v>33</v>
      </c>
      <c r="I894">
        <v>2</v>
      </c>
      <c r="J894">
        <v>1</v>
      </c>
      <c r="K894" s="1" t="s">
        <v>42</v>
      </c>
      <c r="L894">
        <v>2</v>
      </c>
      <c r="M894" s="1" t="s">
        <v>35</v>
      </c>
      <c r="N894">
        <v>1859</v>
      </c>
      <c r="O894">
        <v>1</v>
      </c>
      <c r="P894" s="1" t="s">
        <v>30</v>
      </c>
      <c r="Q894">
        <v>25</v>
      </c>
      <c r="R894">
        <v>2</v>
      </c>
      <c r="S894">
        <v>0</v>
      </c>
      <c r="T894">
        <v>1</v>
      </c>
      <c r="U894">
        <v>2</v>
      </c>
      <c r="V894">
        <v>4</v>
      </c>
      <c r="W894">
        <v>1</v>
      </c>
      <c r="X894">
        <v>1</v>
      </c>
      <c r="Y894">
        <v>0</v>
      </c>
      <c r="Z894">
        <v>0</v>
      </c>
      <c r="AA894">
        <v>1</v>
      </c>
      <c r="AB894" s="1" t="s">
        <v>54</v>
      </c>
      <c r="AC894" t="s">
        <v>46</v>
      </c>
      <c r="AD894" t="s">
        <v>47</v>
      </c>
      <c r="AE894" s="2">
        <v>1859</v>
      </c>
    </row>
    <row r="895" spans="1:31" x14ac:dyDescent="0.35">
      <c r="A895">
        <v>29</v>
      </c>
      <c r="B895" s="1" t="s">
        <v>39</v>
      </c>
      <c r="C895" s="1" t="s">
        <v>40</v>
      </c>
      <c r="D895">
        <v>1</v>
      </c>
      <c r="E895">
        <v>3</v>
      </c>
      <c r="F895" s="1" t="s">
        <v>32</v>
      </c>
      <c r="G895">
        <v>1</v>
      </c>
      <c r="H895" s="1" t="s">
        <v>33</v>
      </c>
      <c r="I895">
        <v>3</v>
      </c>
      <c r="J895">
        <v>1</v>
      </c>
      <c r="K895" s="1" t="s">
        <v>42</v>
      </c>
      <c r="L895">
        <v>4</v>
      </c>
      <c r="M895" s="1" t="s">
        <v>50</v>
      </c>
      <c r="N895">
        <v>3760</v>
      </c>
      <c r="O895">
        <v>1</v>
      </c>
      <c r="P895" s="1" t="s">
        <v>39</v>
      </c>
      <c r="Q895">
        <v>15</v>
      </c>
      <c r="R895">
        <v>1</v>
      </c>
      <c r="S895">
        <v>3</v>
      </c>
      <c r="T895">
        <v>3</v>
      </c>
      <c r="U895">
        <v>5</v>
      </c>
      <c r="V895">
        <v>3</v>
      </c>
      <c r="W895">
        <v>3</v>
      </c>
      <c r="X895">
        <v>2</v>
      </c>
      <c r="Y895">
        <v>1</v>
      </c>
      <c r="Z895">
        <v>2</v>
      </c>
      <c r="AA895">
        <v>0</v>
      </c>
      <c r="AB895" s="1" t="s">
        <v>48</v>
      </c>
      <c r="AC895" t="s">
        <v>46</v>
      </c>
      <c r="AD895" t="s">
        <v>53</v>
      </c>
      <c r="AE895" s="2">
        <v>1253.3333333333333</v>
      </c>
    </row>
    <row r="896" spans="1:31" x14ac:dyDescent="0.35">
      <c r="A896">
        <v>54</v>
      </c>
      <c r="B896" s="1" t="s">
        <v>39</v>
      </c>
      <c r="C896" s="1" t="s">
        <v>40</v>
      </c>
      <c r="D896">
        <v>3</v>
      </c>
      <c r="E896">
        <v>3</v>
      </c>
      <c r="F896" s="1" t="s">
        <v>32</v>
      </c>
      <c r="G896">
        <v>4</v>
      </c>
      <c r="H896" s="1" t="s">
        <v>41</v>
      </c>
      <c r="I896">
        <v>3</v>
      </c>
      <c r="J896">
        <v>4</v>
      </c>
      <c r="K896" s="1" t="s">
        <v>59</v>
      </c>
      <c r="L896">
        <v>4</v>
      </c>
      <c r="M896" s="1" t="s">
        <v>43</v>
      </c>
      <c r="N896">
        <v>17779</v>
      </c>
      <c r="O896">
        <v>3</v>
      </c>
      <c r="P896" s="1" t="s">
        <v>39</v>
      </c>
      <c r="Q896">
        <v>14</v>
      </c>
      <c r="R896">
        <v>1</v>
      </c>
      <c r="S896">
        <v>0</v>
      </c>
      <c r="T896">
        <v>36</v>
      </c>
      <c r="U896">
        <v>2</v>
      </c>
      <c r="V896">
        <v>3</v>
      </c>
      <c r="W896">
        <v>10</v>
      </c>
      <c r="X896">
        <v>9</v>
      </c>
      <c r="Y896">
        <v>0</v>
      </c>
      <c r="Z896">
        <v>9</v>
      </c>
      <c r="AA896">
        <v>0</v>
      </c>
      <c r="AB896" s="1" t="s">
        <v>82</v>
      </c>
      <c r="AC896" t="s">
        <v>56</v>
      </c>
      <c r="AD896" t="s">
        <v>38</v>
      </c>
      <c r="AE896" s="2">
        <v>1777.9</v>
      </c>
    </row>
    <row r="897" spans="1:31" x14ac:dyDescent="0.35">
      <c r="A897">
        <v>31</v>
      </c>
      <c r="B897" s="1" t="s">
        <v>39</v>
      </c>
      <c r="C897" s="1" t="s">
        <v>40</v>
      </c>
      <c r="D897">
        <v>11</v>
      </c>
      <c r="E897">
        <v>2</v>
      </c>
      <c r="F897" s="1" t="s">
        <v>49</v>
      </c>
      <c r="G897">
        <v>3</v>
      </c>
      <c r="H897" s="1" t="s">
        <v>41</v>
      </c>
      <c r="I897">
        <v>3</v>
      </c>
      <c r="J897">
        <v>2</v>
      </c>
      <c r="K897" s="1" t="s">
        <v>52</v>
      </c>
      <c r="L897">
        <v>1</v>
      </c>
      <c r="M897" s="1" t="s">
        <v>43</v>
      </c>
      <c r="N897">
        <v>6833</v>
      </c>
      <c r="O897">
        <v>1</v>
      </c>
      <c r="P897" s="1" t="s">
        <v>30</v>
      </c>
      <c r="Q897">
        <v>12</v>
      </c>
      <c r="R897">
        <v>4</v>
      </c>
      <c r="S897">
        <v>0</v>
      </c>
      <c r="T897">
        <v>6</v>
      </c>
      <c r="U897">
        <v>2</v>
      </c>
      <c r="V897">
        <v>2</v>
      </c>
      <c r="W897">
        <v>6</v>
      </c>
      <c r="X897">
        <v>5</v>
      </c>
      <c r="Y897">
        <v>0</v>
      </c>
      <c r="Z897">
        <v>1</v>
      </c>
      <c r="AA897">
        <v>0</v>
      </c>
      <c r="AB897" s="1" t="s">
        <v>48</v>
      </c>
      <c r="AC897" t="s">
        <v>37</v>
      </c>
      <c r="AD897" t="s">
        <v>38</v>
      </c>
      <c r="AE897" s="2">
        <v>1138.8333333333333</v>
      </c>
    </row>
    <row r="898" spans="1:31" x14ac:dyDescent="0.35">
      <c r="A898">
        <v>31</v>
      </c>
      <c r="B898" s="1" t="s">
        <v>39</v>
      </c>
      <c r="C898" s="1" t="s">
        <v>40</v>
      </c>
      <c r="D898">
        <v>24</v>
      </c>
      <c r="E898">
        <v>3</v>
      </c>
      <c r="F898" s="1" t="s">
        <v>49</v>
      </c>
      <c r="G898">
        <v>3</v>
      </c>
      <c r="H898" s="1" t="s">
        <v>33</v>
      </c>
      <c r="I898">
        <v>2</v>
      </c>
      <c r="J898">
        <v>2</v>
      </c>
      <c r="K898" s="1" t="s">
        <v>52</v>
      </c>
      <c r="L898">
        <v>1</v>
      </c>
      <c r="M898" s="1" t="s">
        <v>35</v>
      </c>
      <c r="N898">
        <v>6812</v>
      </c>
      <c r="O898">
        <v>1</v>
      </c>
      <c r="P898" s="1" t="s">
        <v>39</v>
      </c>
      <c r="Q898">
        <v>19</v>
      </c>
      <c r="R898">
        <v>2</v>
      </c>
      <c r="S898">
        <v>0</v>
      </c>
      <c r="T898">
        <v>10</v>
      </c>
      <c r="U898">
        <v>2</v>
      </c>
      <c r="V898">
        <v>3</v>
      </c>
      <c r="W898">
        <v>10</v>
      </c>
      <c r="X898">
        <v>9</v>
      </c>
      <c r="Y898">
        <v>1</v>
      </c>
      <c r="Z898">
        <v>8</v>
      </c>
      <c r="AA898">
        <v>0</v>
      </c>
      <c r="AB898" s="1" t="s">
        <v>48</v>
      </c>
      <c r="AC898" t="s">
        <v>37</v>
      </c>
      <c r="AD898" t="s">
        <v>38</v>
      </c>
      <c r="AE898" s="2">
        <v>681.2</v>
      </c>
    </row>
    <row r="899" spans="1:31" x14ac:dyDescent="0.35">
      <c r="A899">
        <v>59</v>
      </c>
      <c r="B899" s="1" t="s">
        <v>39</v>
      </c>
      <c r="C899" s="1" t="s">
        <v>31</v>
      </c>
      <c r="D899">
        <v>3</v>
      </c>
      <c r="E899">
        <v>3</v>
      </c>
      <c r="F899" s="1" t="s">
        <v>32</v>
      </c>
      <c r="G899">
        <v>3</v>
      </c>
      <c r="H899" s="1" t="s">
        <v>33</v>
      </c>
      <c r="I899">
        <v>2</v>
      </c>
      <c r="J899">
        <v>2</v>
      </c>
      <c r="K899" s="1" t="s">
        <v>34</v>
      </c>
      <c r="L899">
        <v>4</v>
      </c>
      <c r="M899" s="1" t="s">
        <v>35</v>
      </c>
      <c r="N899">
        <v>5171</v>
      </c>
      <c r="O899">
        <v>5</v>
      </c>
      <c r="P899" s="1" t="s">
        <v>39</v>
      </c>
      <c r="Q899">
        <v>17</v>
      </c>
      <c r="R899">
        <v>4</v>
      </c>
      <c r="S899">
        <v>0</v>
      </c>
      <c r="T899">
        <v>13</v>
      </c>
      <c r="U899">
        <v>2</v>
      </c>
      <c r="V899">
        <v>3</v>
      </c>
      <c r="W899">
        <v>6</v>
      </c>
      <c r="X899">
        <v>1</v>
      </c>
      <c r="Y899">
        <v>0</v>
      </c>
      <c r="Z899">
        <v>5</v>
      </c>
      <c r="AA899">
        <v>0</v>
      </c>
      <c r="AB899" s="1" t="s">
        <v>82</v>
      </c>
      <c r="AC899" t="s">
        <v>37</v>
      </c>
      <c r="AD899" t="s">
        <v>38</v>
      </c>
      <c r="AE899" s="2">
        <v>861.83333333333337</v>
      </c>
    </row>
    <row r="900" spans="1:31" x14ac:dyDescent="0.35">
      <c r="A900">
        <v>43</v>
      </c>
      <c r="B900" s="1" t="s">
        <v>39</v>
      </c>
      <c r="C900" s="1" t="s">
        <v>40</v>
      </c>
      <c r="D900">
        <v>3</v>
      </c>
      <c r="E900">
        <v>3</v>
      </c>
      <c r="F900" s="1" t="s">
        <v>32</v>
      </c>
      <c r="G900">
        <v>3</v>
      </c>
      <c r="H900" s="1" t="s">
        <v>41</v>
      </c>
      <c r="I900">
        <v>1</v>
      </c>
      <c r="J900">
        <v>5</v>
      </c>
      <c r="K900" s="1" t="s">
        <v>59</v>
      </c>
      <c r="L900">
        <v>4</v>
      </c>
      <c r="M900" s="1" t="s">
        <v>43</v>
      </c>
      <c r="N900">
        <v>19740</v>
      </c>
      <c r="O900">
        <v>3</v>
      </c>
      <c r="P900" s="1" t="s">
        <v>39</v>
      </c>
      <c r="Q900">
        <v>14</v>
      </c>
      <c r="R900">
        <v>2</v>
      </c>
      <c r="S900">
        <v>1</v>
      </c>
      <c r="T900">
        <v>25</v>
      </c>
      <c r="U900">
        <v>2</v>
      </c>
      <c r="V900">
        <v>3</v>
      </c>
      <c r="W900">
        <v>8</v>
      </c>
      <c r="X900">
        <v>7</v>
      </c>
      <c r="Y900">
        <v>0</v>
      </c>
      <c r="Z900">
        <v>7</v>
      </c>
      <c r="AA900">
        <v>0</v>
      </c>
      <c r="AB900" s="1" t="s">
        <v>36</v>
      </c>
      <c r="AC900" t="s">
        <v>56</v>
      </c>
      <c r="AD900" t="s">
        <v>38</v>
      </c>
      <c r="AE900" s="2">
        <v>2467.5</v>
      </c>
    </row>
    <row r="901" spans="1:31" x14ac:dyDescent="0.35">
      <c r="A901">
        <v>49</v>
      </c>
      <c r="B901" s="1" t="s">
        <v>39</v>
      </c>
      <c r="C901" s="1" t="s">
        <v>40</v>
      </c>
      <c r="D901">
        <v>4</v>
      </c>
      <c r="E901">
        <v>2</v>
      </c>
      <c r="F901" s="1" t="s">
        <v>49</v>
      </c>
      <c r="G901">
        <v>1</v>
      </c>
      <c r="H901" s="1" t="s">
        <v>41</v>
      </c>
      <c r="I901">
        <v>2</v>
      </c>
      <c r="J901">
        <v>5</v>
      </c>
      <c r="K901" s="1" t="s">
        <v>55</v>
      </c>
      <c r="L901">
        <v>3</v>
      </c>
      <c r="M901" s="1" t="s">
        <v>43</v>
      </c>
      <c r="N901">
        <v>18711</v>
      </c>
      <c r="O901">
        <v>2</v>
      </c>
      <c r="P901" s="1" t="s">
        <v>39</v>
      </c>
      <c r="Q901">
        <v>13</v>
      </c>
      <c r="R901">
        <v>3</v>
      </c>
      <c r="S901">
        <v>1</v>
      </c>
      <c r="T901">
        <v>23</v>
      </c>
      <c r="U901">
        <v>2</v>
      </c>
      <c r="V901">
        <v>4</v>
      </c>
      <c r="W901">
        <v>1</v>
      </c>
      <c r="X901">
        <v>0</v>
      </c>
      <c r="Y901">
        <v>0</v>
      </c>
      <c r="Z901">
        <v>0</v>
      </c>
      <c r="AA901">
        <v>0</v>
      </c>
      <c r="AB901" s="1" t="s">
        <v>82</v>
      </c>
      <c r="AC901" t="s">
        <v>56</v>
      </c>
      <c r="AD901" t="s">
        <v>47</v>
      </c>
      <c r="AE901" s="2">
        <v>18711</v>
      </c>
    </row>
    <row r="902" spans="1:31" x14ac:dyDescent="0.35">
      <c r="A902">
        <v>36</v>
      </c>
      <c r="B902" s="1" t="s">
        <v>39</v>
      </c>
      <c r="C902" s="1" t="s">
        <v>40</v>
      </c>
      <c r="D902">
        <v>3</v>
      </c>
      <c r="E902">
        <v>3</v>
      </c>
      <c r="F902" s="1" t="s">
        <v>61</v>
      </c>
      <c r="G902">
        <v>3</v>
      </c>
      <c r="H902" s="1" t="s">
        <v>41</v>
      </c>
      <c r="I902">
        <v>3</v>
      </c>
      <c r="J902">
        <v>1</v>
      </c>
      <c r="K902" s="1" t="s">
        <v>42</v>
      </c>
      <c r="L902">
        <v>2</v>
      </c>
      <c r="M902" s="1" t="s">
        <v>43</v>
      </c>
      <c r="N902">
        <v>3692</v>
      </c>
      <c r="O902">
        <v>1</v>
      </c>
      <c r="P902" s="1" t="s">
        <v>39</v>
      </c>
      <c r="Q902">
        <v>12</v>
      </c>
      <c r="R902">
        <v>3</v>
      </c>
      <c r="S902">
        <v>0</v>
      </c>
      <c r="T902">
        <v>12</v>
      </c>
      <c r="U902">
        <v>2</v>
      </c>
      <c r="V902">
        <v>2</v>
      </c>
      <c r="W902">
        <v>11</v>
      </c>
      <c r="X902">
        <v>10</v>
      </c>
      <c r="Y902">
        <v>0</v>
      </c>
      <c r="Z902">
        <v>7</v>
      </c>
      <c r="AA902">
        <v>0</v>
      </c>
      <c r="AB902" s="1" t="s">
        <v>36</v>
      </c>
      <c r="AC902" t="s">
        <v>46</v>
      </c>
      <c r="AD902" t="s">
        <v>57</v>
      </c>
      <c r="AE902" s="2">
        <v>335.63636363636363</v>
      </c>
    </row>
    <row r="903" spans="1:31" x14ac:dyDescent="0.35">
      <c r="A903">
        <v>48</v>
      </c>
      <c r="B903" s="1" t="s">
        <v>39</v>
      </c>
      <c r="C903" s="1" t="s">
        <v>40</v>
      </c>
      <c r="D903">
        <v>2</v>
      </c>
      <c r="E903">
        <v>2</v>
      </c>
      <c r="F903" s="1" t="s">
        <v>61</v>
      </c>
      <c r="G903">
        <v>4</v>
      </c>
      <c r="H903" s="1" t="s">
        <v>41</v>
      </c>
      <c r="I903">
        <v>4</v>
      </c>
      <c r="J903">
        <v>1</v>
      </c>
      <c r="K903" s="1" t="s">
        <v>45</v>
      </c>
      <c r="L903">
        <v>2</v>
      </c>
      <c r="M903" s="1" t="s">
        <v>35</v>
      </c>
      <c r="N903">
        <v>2559</v>
      </c>
      <c r="O903">
        <v>5</v>
      </c>
      <c r="P903" s="1" t="s">
        <v>39</v>
      </c>
      <c r="Q903">
        <v>11</v>
      </c>
      <c r="R903">
        <v>3</v>
      </c>
      <c r="S903">
        <v>0</v>
      </c>
      <c r="T903">
        <v>7</v>
      </c>
      <c r="U903">
        <v>4</v>
      </c>
      <c r="V903">
        <v>2</v>
      </c>
      <c r="W903">
        <v>1</v>
      </c>
      <c r="X903">
        <v>0</v>
      </c>
      <c r="Y903">
        <v>0</v>
      </c>
      <c r="Z903">
        <v>0</v>
      </c>
      <c r="AA903">
        <v>0</v>
      </c>
      <c r="AB903" s="1" t="s">
        <v>82</v>
      </c>
      <c r="AC903" t="s">
        <v>46</v>
      </c>
      <c r="AD903" t="s">
        <v>47</v>
      </c>
      <c r="AE903" s="2">
        <v>2559</v>
      </c>
    </row>
    <row r="904" spans="1:31" x14ac:dyDescent="0.35">
      <c r="A904">
        <v>27</v>
      </c>
      <c r="B904" s="1" t="s">
        <v>39</v>
      </c>
      <c r="C904" s="1" t="s">
        <v>40</v>
      </c>
      <c r="D904">
        <v>4</v>
      </c>
      <c r="E904">
        <v>2</v>
      </c>
      <c r="F904" s="1" t="s">
        <v>32</v>
      </c>
      <c r="G904">
        <v>1</v>
      </c>
      <c r="H904" s="1" t="s">
        <v>41</v>
      </c>
      <c r="I904">
        <v>3</v>
      </c>
      <c r="J904">
        <v>1</v>
      </c>
      <c r="K904" s="1" t="s">
        <v>42</v>
      </c>
      <c r="L904">
        <v>3</v>
      </c>
      <c r="M904" s="1" t="s">
        <v>50</v>
      </c>
      <c r="N904">
        <v>2517</v>
      </c>
      <c r="O904">
        <v>1</v>
      </c>
      <c r="P904" s="1" t="s">
        <v>39</v>
      </c>
      <c r="Q904">
        <v>11</v>
      </c>
      <c r="R904">
        <v>2</v>
      </c>
      <c r="S904">
        <v>3</v>
      </c>
      <c r="T904">
        <v>5</v>
      </c>
      <c r="U904">
        <v>2</v>
      </c>
      <c r="V904">
        <v>3</v>
      </c>
      <c r="W904">
        <v>5</v>
      </c>
      <c r="X904">
        <v>3</v>
      </c>
      <c r="Y904">
        <v>0</v>
      </c>
      <c r="Z904">
        <v>3</v>
      </c>
      <c r="AA904">
        <v>0</v>
      </c>
      <c r="AB904" s="1" t="s">
        <v>48</v>
      </c>
      <c r="AC904" t="s">
        <v>46</v>
      </c>
      <c r="AD904" t="s">
        <v>53</v>
      </c>
      <c r="AE904" s="2">
        <v>503.4</v>
      </c>
    </row>
    <row r="905" spans="1:31" x14ac:dyDescent="0.35">
      <c r="A905">
        <v>29</v>
      </c>
      <c r="B905" s="1" t="s">
        <v>39</v>
      </c>
      <c r="C905" s="1" t="s">
        <v>40</v>
      </c>
      <c r="D905">
        <v>7</v>
      </c>
      <c r="E905">
        <v>3</v>
      </c>
      <c r="F905" s="1" t="s">
        <v>32</v>
      </c>
      <c r="G905">
        <v>3</v>
      </c>
      <c r="H905" s="1" t="s">
        <v>41</v>
      </c>
      <c r="I905">
        <v>3</v>
      </c>
      <c r="J905">
        <v>2</v>
      </c>
      <c r="K905" s="1" t="s">
        <v>52</v>
      </c>
      <c r="L905">
        <v>4</v>
      </c>
      <c r="M905" s="1" t="s">
        <v>50</v>
      </c>
      <c r="N905">
        <v>6623</v>
      </c>
      <c r="O905">
        <v>1</v>
      </c>
      <c r="P905" s="1" t="s">
        <v>30</v>
      </c>
      <c r="Q905">
        <v>11</v>
      </c>
      <c r="R905">
        <v>2</v>
      </c>
      <c r="S905">
        <v>2</v>
      </c>
      <c r="T905">
        <v>6</v>
      </c>
      <c r="U905">
        <v>2</v>
      </c>
      <c r="V905">
        <v>3</v>
      </c>
      <c r="W905">
        <v>6</v>
      </c>
      <c r="X905">
        <v>0</v>
      </c>
      <c r="Y905">
        <v>1</v>
      </c>
      <c r="Z905">
        <v>0</v>
      </c>
      <c r="AA905">
        <v>0</v>
      </c>
      <c r="AB905" s="1" t="s">
        <v>48</v>
      </c>
      <c r="AC905" t="s">
        <v>37</v>
      </c>
      <c r="AD905" t="s">
        <v>38</v>
      </c>
      <c r="AE905" s="2">
        <v>1103.8333333333333</v>
      </c>
    </row>
    <row r="906" spans="1:31" x14ac:dyDescent="0.35">
      <c r="A906">
        <v>48</v>
      </c>
      <c r="B906" s="1" t="s">
        <v>39</v>
      </c>
      <c r="C906" s="1" t="s">
        <v>40</v>
      </c>
      <c r="D906">
        <v>1</v>
      </c>
      <c r="E906">
        <v>3</v>
      </c>
      <c r="F906" s="1" t="s">
        <v>32</v>
      </c>
      <c r="G906">
        <v>4</v>
      </c>
      <c r="H906" s="1" t="s">
        <v>41</v>
      </c>
      <c r="I906">
        <v>2</v>
      </c>
      <c r="J906">
        <v>5</v>
      </c>
      <c r="K906" s="1" t="s">
        <v>59</v>
      </c>
      <c r="L906">
        <v>4</v>
      </c>
      <c r="M906" s="1" t="s">
        <v>35</v>
      </c>
      <c r="N906">
        <v>18265</v>
      </c>
      <c r="O906">
        <v>6</v>
      </c>
      <c r="P906" s="1" t="s">
        <v>39</v>
      </c>
      <c r="Q906">
        <v>12</v>
      </c>
      <c r="R906">
        <v>3</v>
      </c>
      <c r="S906">
        <v>0</v>
      </c>
      <c r="T906">
        <v>25</v>
      </c>
      <c r="U906">
        <v>3</v>
      </c>
      <c r="V906">
        <v>4</v>
      </c>
      <c r="W906">
        <v>1</v>
      </c>
      <c r="X906">
        <v>0</v>
      </c>
      <c r="Y906">
        <v>0</v>
      </c>
      <c r="Z906">
        <v>0</v>
      </c>
      <c r="AA906">
        <v>0</v>
      </c>
      <c r="AB906" s="1" t="s">
        <v>82</v>
      </c>
      <c r="AC906" t="s">
        <v>56</v>
      </c>
      <c r="AD906" t="s">
        <v>47</v>
      </c>
      <c r="AE906" s="2">
        <v>18265</v>
      </c>
    </row>
    <row r="907" spans="1:31" x14ac:dyDescent="0.35">
      <c r="A907">
        <v>29</v>
      </c>
      <c r="B907" s="1" t="s">
        <v>39</v>
      </c>
      <c r="C907" s="1" t="s">
        <v>40</v>
      </c>
      <c r="D907">
        <v>1</v>
      </c>
      <c r="E907">
        <v>3</v>
      </c>
      <c r="F907" s="1" t="s">
        <v>32</v>
      </c>
      <c r="G907">
        <v>4</v>
      </c>
      <c r="H907" s="1" t="s">
        <v>33</v>
      </c>
      <c r="I907">
        <v>2</v>
      </c>
      <c r="J907">
        <v>4</v>
      </c>
      <c r="K907" s="1" t="s">
        <v>59</v>
      </c>
      <c r="L907">
        <v>4</v>
      </c>
      <c r="M907" s="1" t="s">
        <v>50</v>
      </c>
      <c r="N907">
        <v>16124</v>
      </c>
      <c r="O907">
        <v>3</v>
      </c>
      <c r="P907" s="1" t="s">
        <v>39</v>
      </c>
      <c r="Q907">
        <v>14</v>
      </c>
      <c r="R907">
        <v>2</v>
      </c>
      <c r="S907">
        <v>2</v>
      </c>
      <c r="T907">
        <v>9</v>
      </c>
      <c r="U907">
        <v>2</v>
      </c>
      <c r="V907">
        <v>2</v>
      </c>
      <c r="W907">
        <v>7</v>
      </c>
      <c r="X907">
        <v>7</v>
      </c>
      <c r="Y907">
        <v>1</v>
      </c>
      <c r="Z907">
        <v>7</v>
      </c>
      <c r="AA907">
        <v>0</v>
      </c>
      <c r="AB907" s="1" t="s">
        <v>48</v>
      </c>
      <c r="AC907" t="s">
        <v>56</v>
      </c>
      <c r="AD907" t="s">
        <v>38</v>
      </c>
      <c r="AE907" s="2">
        <v>2303.4285714285716</v>
      </c>
    </row>
    <row r="908" spans="1:31" x14ac:dyDescent="0.35">
      <c r="A908">
        <v>34</v>
      </c>
      <c r="B908" s="1" t="s">
        <v>39</v>
      </c>
      <c r="C908" s="1" t="s">
        <v>40</v>
      </c>
      <c r="D908">
        <v>20</v>
      </c>
      <c r="E908">
        <v>3</v>
      </c>
      <c r="F908" s="1" t="s">
        <v>61</v>
      </c>
      <c r="G908">
        <v>3</v>
      </c>
      <c r="H908" s="1" t="s">
        <v>33</v>
      </c>
      <c r="I908">
        <v>4</v>
      </c>
      <c r="J908">
        <v>1</v>
      </c>
      <c r="K908" s="1" t="s">
        <v>42</v>
      </c>
      <c r="L908">
        <v>3</v>
      </c>
      <c r="M908" s="1" t="s">
        <v>43</v>
      </c>
      <c r="N908">
        <v>2585</v>
      </c>
      <c r="O908">
        <v>0</v>
      </c>
      <c r="P908" s="1" t="s">
        <v>39</v>
      </c>
      <c r="Q908">
        <v>17</v>
      </c>
      <c r="R908">
        <v>4</v>
      </c>
      <c r="S908">
        <v>0</v>
      </c>
      <c r="T908">
        <v>2</v>
      </c>
      <c r="U908">
        <v>5</v>
      </c>
      <c r="V908">
        <v>2</v>
      </c>
      <c r="W908">
        <v>1</v>
      </c>
      <c r="X908">
        <v>0</v>
      </c>
      <c r="Y908">
        <v>0</v>
      </c>
      <c r="Z908">
        <v>0</v>
      </c>
      <c r="AA908">
        <v>0</v>
      </c>
      <c r="AB908" s="1" t="s">
        <v>48</v>
      </c>
      <c r="AC908" t="s">
        <v>46</v>
      </c>
      <c r="AD908" t="s">
        <v>47</v>
      </c>
      <c r="AE908" s="2">
        <v>2585</v>
      </c>
    </row>
    <row r="909" spans="1:31" x14ac:dyDescent="0.35">
      <c r="A909">
        <v>44</v>
      </c>
      <c r="B909" s="1" t="s">
        <v>39</v>
      </c>
      <c r="C909" s="1" t="s">
        <v>31</v>
      </c>
      <c r="D909">
        <v>5</v>
      </c>
      <c r="E909">
        <v>3</v>
      </c>
      <c r="F909" s="1" t="s">
        <v>60</v>
      </c>
      <c r="G909">
        <v>2</v>
      </c>
      <c r="H909" s="1" t="s">
        <v>41</v>
      </c>
      <c r="I909">
        <v>3</v>
      </c>
      <c r="J909">
        <v>5</v>
      </c>
      <c r="K909" s="1" t="s">
        <v>55</v>
      </c>
      <c r="L909">
        <v>2</v>
      </c>
      <c r="M909" s="1" t="s">
        <v>43</v>
      </c>
      <c r="N909">
        <v>18213</v>
      </c>
      <c r="O909">
        <v>7</v>
      </c>
      <c r="P909" s="1" t="s">
        <v>39</v>
      </c>
      <c r="Q909">
        <v>11</v>
      </c>
      <c r="R909">
        <v>3</v>
      </c>
      <c r="S909">
        <v>1</v>
      </c>
      <c r="T909">
        <v>26</v>
      </c>
      <c r="U909">
        <v>5</v>
      </c>
      <c r="V909">
        <v>3</v>
      </c>
      <c r="W909">
        <v>22</v>
      </c>
      <c r="X909">
        <v>9</v>
      </c>
      <c r="Y909">
        <v>3</v>
      </c>
      <c r="Z909">
        <v>10</v>
      </c>
      <c r="AA909">
        <v>0</v>
      </c>
      <c r="AB909" s="1" t="s">
        <v>36</v>
      </c>
      <c r="AC909" t="s">
        <v>56</v>
      </c>
      <c r="AD909" t="s">
        <v>57</v>
      </c>
      <c r="AE909" s="2">
        <v>827.86363636363637</v>
      </c>
    </row>
    <row r="910" spans="1:31" x14ac:dyDescent="0.35">
      <c r="A910">
        <v>33</v>
      </c>
      <c r="B910" s="1" t="s">
        <v>39</v>
      </c>
      <c r="C910" s="1" t="s">
        <v>31</v>
      </c>
      <c r="D910">
        <v>10</v>
      </c>
      <c r="E910">
        <v>5</v>
      </c>
      <c r="F910" s="1" t="s">
        <v>60</v>
      </c>
      <c r="G910">
        <v>4</v>
      </c>
      <c r="H910" s="1" t="s">
        <v>41</v>
      </c>
      <c r="I910">
        <v>4</v>
      </c>
      <c r="J910">
        <v>3</v>
      </c>
      <c r="K910" s="1" t="s">
        <v>34</v>
      </c>
      <c r="L910">
        <v>3</v>
      </c>
      <c r="M910" s="1" t="s">
        <v>50</v>
      </c>
      <c r="N910">
        <v>8380</v>
      </c>
      <c r="O910">
        <v>0</v>
      </c>
      <c r="P910" s="1" t="s">
        <v>30</v>
      </c>
      <c r="Q910">
        <v>14</v>
      </c>
      <c r="R910">
        <v>4</v>
      </c>
      <c r="S910">
        <v>2</v>
      </c>
      <c r="T910">
        <v>10</v>
      </c>
      <c r="U910">
        <v>3</v>
      </c>
      <c r="V910">
        <v>3</v>
      </c>
      <c r="W910">
        <v>9</v>
      </c>
      <c r="X910">
        <v>8</v>
      </c>
      <c r="Y910">
        <v>0</v>
      </c>
      <c r="Z910">
        <v>8</v>
      </c>
      <c r="AA910">
        <v>0</v>
      </c>
      <c r="AB910" s="1" t="s">
        <v>48</v>
      </c>
      <c r="AC910" t="s">
        <v>37</v>
      </c>
      <c r="AD910" t="s">
        <v>38</v>
      </c>
      <c r="AE910" s="2">
        <v>931.11111111111109</v>
      </c>
    </row>
    <row r="911" spans="1:31" x14ac:dyDescent="0.35">
      <c r="A911">
        <v>19</v>
      </c>
      <c r="B911" s="1" t="s">
        <v>39</v>
      </c>
      <c r="C911" s="1" t="s">
        <v>40</v>
      </c>
      <c r="D911">
        <v>25</v>
      </c>
      <c r="E911">
        <v>3</v>
      </c>
      <c r="F911" s="1" t="s">
        <v>32</v>
      </c>
      <c r="G911">
        <v>2</v>
      </c>
      <c r="H911" s="1" t="s">
        <v>33</v>
      </c>
      <c r="I911">
        <v>4</v>
      </c>
      <c r="J911">
        <v>1</v>
      </c>
      <c r="K911" s="1" t="s">
        <v>42</v>
      </c>
      <c r="L911">
        <v>4</v>
      </c>
      <c r="M911" s="1" t="s">
        <v>35</v>
      </c>
      <c r="N911">
        <v>2994</v>
      </c>
      <c r="O911">
        <v>1</v>
      </c>
      <c r="P911" s="1" t="s">
        <v>30</v>
      </c>
      <c r="Q911">
        <v>12</v>
      </c>
      <c r="R911">
        <v>4</v>
      </c>
      <c r="S911">
        <v>0</v>
      </c>
      <c r="T911">
        <v>1</v>
      </c>
      <c r="U911">
        <v>2</v>
      </c>
      <c r="V911">
        <v>3</v>
      </c>
      <c r="W911">
        <v>1</v>
      </c>
      <c r="X911">
        <v>0</v>
      </c>
      <c r="Y911">
        <v>0</v>
      </c>
      <c r="Z911">
        <v>1</v>
      </c>
      <c r="AA911">
        <v>0</v>
      </c>
      <c r="AB911" s="1" t="s">
        <v>54</v>
      </c>
      <c r="AC911" t="s">
        <v>46</v>
      </c>
      <c r="AD911" t="s">
        <v>47</v>
      </c>
      <c r="AE911" s="2">
        <v>2994</v>
      </c>
    </row>
    <row r="912" spans="1:31" x14ac:dyDescent="0.35">
      <c r="A912">
        <v>23</v>
      </c>
      <c r="B912" s="1" t="s">
        <v>39</v>
      </c>
      <c r="C912" s="1" t="s">
        <v>40</v>
      </c>
      <c r="D912">
        <v>1</v>
      </c>
      <c r="E912">
        <v>2</v>
      </c>
      <c r="F912" s="1" t="s">
        <v>32</v>
      </c>
      <c r="G912">
        <v>4</v>
      </c>
      <c r="H912" s="1" t="s">
        <v>41</v>
      </c>
      <c r="I912">
        <v>3</v>
      </c>
      <c r="J912">
        <v>1</v>
      </c>
      <c r="K912" s="1" t="s">
        <v>42</v>
      </c>
      <c r="L912">
        <v>3</v>
      </c>
      <c r="M912" s="1" t="s">
        <v>43</v>
      </c>
      <c r="N912">
        <v>1223</v>
      </c>
      <c r="O912">
        <v>1</v>
      </c>
      <c r="P912" s="1" t="s">
        <v>39</v>
      </c>
      <c r="Q912">
        <v>22</v>
      </c>
      <c r="R912">
        <v>4</v>
      </c>
      <c r="S912">
        <v>1</v>
      </c>
      <c r="T912">
        <v>1</v>
      </c>
      <c r="U912">
        <v>2</v>
      </c>
      <c r="V912">
        <v>3</v>
      </c>
      <c r="W912">
        <v>1</v>
      </c>
      <c r="X912">
        <v>0</v>
      </c>
      <c r="Y912">
        <v>0</v>
      </c>
      <c r="Z912">
        <v>1</v>
      </c>
      <c r="AA912">
        <v>0</v>
      </c>
      <c r="AB912" s="1" t="s">
        <v>54</v>
      </c>
      <c r="AC912" t="s">
        <v>46</v>
      </c>
      <c r="AD912" t="s">
        <v>47</v>
      </c>
      <c r="AE912" s="2">
        <v>1223</v>
      </c>
    </row>
    <row r="913" spans="1:31" x14ac:dyDescent="0.35">
      <c r="A913">
        <v>25</v>
      </c>
      <c r="B913" s="1" t="s">
        <v>30</v>
      </c>
      <c r="C913" s="1" t="s">
        <v>31</v>
      </c>
      <c r="D913">
        <v>24</v>
      </c>
      <c r="E913">
        <v>1</v>
      </c>
      <c r="F913" s="1" t="s">
        <v>32</v>
      </c>
      <c r="G913">
        <v>3</v>
      </c>
      <c r="H913" s="1" t="s">
        <v>41</v>
      </c>
      <c r="I913">
        <v>1</v>
      </c>
      <c r="J913">
        <v>1</v>
      </c>
      <c r="K913" s="1" t="s">
        <v>58</v>
      </c>
      <c r="L913">
        <v>4</v>
      </c>
      <c r="M913" s="1" t="s">
        <v>35</v>
      </c>
      <c r="N913">
        <v>1118</v>
      </c>
      <c r="O913">
        <v>1</v>
      </c>
      <c r="P913" s="1" t="s">
        <v>30</v>
      </c>
      <c r="Q913">
        <v>14</v>
      </c>
      <c r="R913">
        <v>4</v>
      </c>
      <c r="S913">
        <v>0</v>
      </c>
      <c r="T913">
        <v>1</v>
      </c>
      <c r="U913">
        <v>4</v>
      </c>
      <c r="V913">
        <v>3</v>
      </c>
      <c r="W913">
        <v>1</v>
      </c>
      <c r="X913">
        <v>0</v>
      </c>
      <c r="Y913">
        <v>1</v>
      </c>
      <c r="Z913">
        <v>0</v>
      </c>
      <c r="AA913">
        <v>1</v>
      </c>
      <c r="AB913" s="1" t="s">
        <v>54</v>
      </c>
      <c r="AC913" t="s">
        <v>46</v>
      </c>
      <c r="AD913" t="s">
        <v>47</v>
      </c>
      <c r="AE913" s="2">
        <v>1118</v>
      </c>
    </row>
    <row r="914" spans="1:31" x14ac:dyDescent="0.35">
      <c r="A914">
        <v>26</v>
      </c>
      <c r="B914" s="1" t="s">
        <v>39</v>
      </c>
      <c r="C914" s="1" t="s">
        <v>40</v>
      </c>
      <c r="D914">
        <v>4</v>
      </c>
      <c r="E914">
        <v>2</v>
      </c>
      <c r="F914" s="1" t="s">
        <v>32</v>
      </c>
      <c r="G914">
        <v>3</v>
      </c>
      <c r="H914" s="1" t="s">
        <v>41</v>
      </c>
      <c r="I914">
        <v>3</v>
      </c>
      <c r="J914">
        <v>1</v>
      </c>
      <c r="K914" s="1" t="s">
        <v>42</v>
      </c>
      <c r="L914">
        <v>4</v>
      </c>
      <c r="M914" s="1" t="s">
        <v>35</v>
      </c>
      <c r="N914">
        <v>2875</v>
      </c>
      <c r="O914">
        <v>1</v>
      </c>
      <c r="P914" s="1" t="s">
        <v>30</v>
      </c>
      <c r="Q914">
        <v>20</v>
      </c>
      <c r="R914">
        <v>2</v>
      </c>
      <c r="S914">
        <v>0</v>
      </c>
      <c r="T914">
        <v>8</v>
      </c>
      <c r="U914">
        <v>2</v>
      </c>
      <c r="V914">
        <v>2</v>
      </c>
      <c r="W914">
        <v>8</v>
      </c>
      <c r="X914">
        <v>5</v>
      </c>
      <c r="Y914">
        <v>2</v>
      </c>
      <c r="Z914">
        <v>2</v>
      </c>
      <c r="AA914">
        <v>0</v>
      </c>
      <c r="AB914" s="1" t="s">
        <v>48</v>
      </c>
      <c r="AC914" t="s">
        <v>46</v>
      </c>
      <c r="AD914" t="s">
        <v>38</v>
      </c>
      <c r="AE914" s="2">
        <v>359.375</v>
      </c>
    </row>
    <row r="915" spans="1:31" x14ac:dyDescent="0.35">
      <c r="A915">
        <v>45</v>
      </c>
      <c r="B915" s="1" t="s">
        <v>30</v>
      </c>
      <c r="C915" s="1" t="s">
        <v>31</v>
      </c>
      <c r="D915">
        <v>2</v>
      </c>
      <c r="E915">
        <v>3</v>
      </c>
      <c r="F915" s="1" t="s">
        <v>60</v>
      </c>
      <c r="G915">
        <v>1</v>
      </c>
      <c r="H915" s="1" t="s">
        <v>33</v>
      </c>
      <c r="I915">
        <v>1</v>
      </c>
      <c r="J915">
        <v>5</v>
      </c>
      <c r="K915" s="1" t="s">
        <v>55</v>
      </c>
      <c r="L915">
        <v>2</v>
      </c>
      <c r="M915" s="1" t="s">
        <v>35</v>
      </c>
      <c r="N915">
        <v>18824</v>
      </c>
      <c r="O915">
        <v>2</v>
      </c>
      <c r="P915" s="1" t="s">
        <v>30</v>
      </c>
      <c r="Q915">
        <v>16</v>
      </c>
      <c r="R915">
        <v>1</v>
      </c>
      <c r="S915">
        <v>0</v>
      </c>
      <c r="T915">
        <v>26</v>
      </c>
      <c r="U915">
        <v>2</v>
      </c>
      <c r="V915">
        <v>3</v>
      </c>
      <c r="W915">
        <v>24</v>
      </c>
      <c r="X915">
        <v>10</v>
      </c>
      <c r="Y915">
        <v>1</v>
      </c>
      <c r="Z915">
        <v>11</v>
      </c>
      <c r="AA915">
        <v>1</v>
      </c>
      <c r="AB915" s="1" t="s">
        <v>36</v>
      </c>
      <c r="AC915" t="s">
        <v>56</v>
      </c>
      <c r="AD915" t="s">
        <v>57</v>
      </c>
      <c r="AE915" s="2">
        <v>784.33333333333337</v>
      </c>
    </row>
    <row r="916" spans="1:31" x14ac:dyDescent="0.35">
      <c r="A916">
        <v>55</v>
      </c>
      <c r="B916" s="1" t="s">
        <v>39</v>
      </c>
      <c r="C916" s="1" t="s">
        <v>40</v>
      </c>
      <c r="D916">
        <v>8</v>
      </c>
      <c r="E916">
        <v>1</v>
      </c>
      <c r="F916" s="1" t="s">
        <v>49</v>
      </c>
      <c r="G916">
        <v>4</v>
      </c>
      <c r="H916" s="1" t="s">
        <v>41</v>
      </c>
      <c r="I916">
        <v>2</v>
      </c>
      <c r="J916">
        <v>4</v>
      </c>
      <c r="K916" s="1" t="s">
        <v>52</v>
      </c>
      <c r="L916">
        <v>2</v>
      </c>
      <c r="M916" s="1" t="s">
        <v>50</v>
      </c>
      <c r="N916">
        <v>13577</v>
      </c>
      <c r="O916">
        <v>1</v>
      </c>
      <c r="P916" s="1" t="s">
        <v>30</v>
      </c>
      <c r="Q916">
        <v>15</v>
      </c>
      <c r="R916">
        <v>4</v>
      </c>
      <c r="S916">
        <v>1</v>
      </c>
      <c r="T916">
        <v>34</v>
      </c>
      <c r="U916">
        <v>3</v>
      </c>
      <c r="V916">
        <v>3</v>
      </c>
      <c r="W916">
        <v>33</v>
      </c>
      <c r="X916">
        <v>9</v>
      </c>
      <c r="Y916">
        <v>15</v>
      </c>
      <c r="Z916">
        <v>0</v>
      </c>
      <c r="AA916">
        <v>0</v>
      </c>
      <c r="AB916" s="1" t="s">
        <v>82</v>
      </c>
      <c r="AC916" t="s">
        <v>56</v>
      </c>
      <c r="AD916" t="s">
        <v>57</v>
      </c>
      <c r="AE916" s="2">
        <v>411.42424242424244</v>
      </c>
    </row>
    <row r="917" spans="1:31" x14ac:dyDescent="0.35">
      <c r="A917">
        <v>21</v>
      </c>
      <c r="B917" s="1" t="s">
        <v>30</v>
      </c>
      <c r="C917" s="1" t="s">
        <v>40</v>
      </c>
      <c r="D917">
        <v>10</v>
      </c>
      <c r="E917">
        <v>2</v>
      </c>
      <c r="F917" s="1" t="s">
        <v>32</v>
      </c>
      <c r="G917">
        <v>1</v>
      </c>
      <c r="H917" s="1" t="s">
        <v>33</v>
      </c>
      <c r="I917">
        <v>2</v>
      </c>
      <c r="J917">
        <v>1</v>
      </c>
      <c r="K917" s="1" t="s">
        <v>45</v>
      </c>
      <c r="L917">
        <v>3</v>
      </c>
      <c r="M917" s="1" t="s">
        <v>35</v>
      </c>
      <c r="N917">
        <v>2625</v>
      </c>
      <c r="O917">
        <v>1</v>
      </c>
      <c r="P917" s="1" t="s">
        <v>39</v>
      </c>
      <c r="Q917">
        <v>20</v>
      </c>
      <c r="R917">
        <v>3</v>
      </c>
      <c r="S917">
        <v>0</v>
      </c>
      <c r="T917">
        <v>2</v>
      </c>
      <c r="U917">
        <v>2</v>
      </c>
      <c r="V917">
        <v>1</v>
      </c>
      <c r="W917">
        <v>2</v>
      </c>
      <c r="X917">
        <v>2</v>
      </c>
      <c r="Y917">
        <v>2</v>
      </c>
      <c r="Z917">
        <v>2</v>
      </c>
      <c r="AA917">
        <v>1</v>
      </c>
      <c r="AB917" s="1" t="s">
        <v>54</v>
      </c>
      <c r="AC917" t="s">
        <v>46</v>
      </c>
      <c r="AD917" t="s">
        <v>47</v>
      </c>
      <c r="AE917" s="2">
        <v>1312.5</v>
      </c>
    </row>
    <row r="918" spans="1:31" x14ac:dyDescent="0.35">
      <c r="A918">
        <v>46</v>
      </c>
      <c r="B918" s="1" t="s">
        <v>39</v>
      </c>
      <c r="C918" s="1" t="s">
        <v>31</v>
      </c>
      <c r="D918">
        <v>4</v>
      </c>
      <c r="E918">
        <v>2</v>
      </c>
      <c r="F918" s="1" t="s">
        <v>60</v>
      </c>
      <c r="G918">
        <v>4</v>
      </c>
      <c r="H918" s="1" t="s">
        <v>33</v>
      </c>
      <c r="I918">
        <v>2</v>
      </c>
      <c r="J918">
        <v>5</v>
      </c>
      <c r="K918" s="1" t="s">
        <v>55</v>
      </c>
      <c r="L918">
        <v>2</v>
      </c>
      <c r="M918" s="1" t="s">
        <v>43</v>
      </c>
      <c r="N918">
        <v>18789</v>
      </c>
      <c r="O918">
        <v>2</v>
      </c>
      <c r="P918" s="1" t="s">
        <v>39</v>
      </c>
      <c r="Q918">
        <v>14</v>
      </c>
      <c r="R918">
        <v>3</v>
      </c>
      <c r="S918">
        <v>1</v>
      </c>
      <c r="T918">
        <v>26</v>
      </c>
      <c r="U918">
        <v>2</v>
      </c>
      <c r="V918">
        <v>3</v>
      </c>
      <c r="W918">
        <v>11</v>
      </c>
      <c r="X918">
        <v>4</v>
      </c>
      <c r="Y918">
        <v>0</v>
      </c>
      <c r="Z918">
        <v>8</v>
      </c>
      <c r="AA918">
        <v>0</v>
      </c>
      <c r="AB918" s="1" t="s">
        <v>82</v>
      </c>
      <c r="AC918" t="s">
        <v>56</v>
      </c>
      <c r="AD918" t="s">
        <v>57</v>
      </c>
      <c r="AE918" s="2">
        <v>1708.090909090909</v>
      </c>
    </row>
    <row r="919" spans="1:31" x14ac:dyDescent="0.35">
      <c r="A919">
        <v>34</v>
      </c>
      <c r="B919" s="1" t="s">
        <v>39</v>
      </c>
      <c r="C919" s="1" t="s">
        <v>31</v>
      </c>
      <c r="D919">
        <v>2</v>
      </c>
      <c r="E919">
        <v>3</v>
      </c>
      <c r="F919" s="1" t="s">
        <v>60</v>
      </c>
      <c r="G919">
        <v>3</v>
      </c>
      <c r="H919" s="1" t="s">
        <v>33</v>
      </c>
      <c r="I919">
        <v>3</v>
      </c>
      <c r="J919">
        <v>2</v>
      </c>
      <c r="K919" s="1" t="s">
        <v>34</v>
      </c>
      <c r="L919">
        <v>1</v>
      </c>
      <c r="M919" s="1" t="s">
        <v>35</v>
      </c>
      <c r="N919">
        <v>4538</v>
      </c>
      <c r="O919">
        <v>0</v>
      </c>
      <c r="P919" s="1" t="s">
        <v>30</v>
      </c>
      <c r="Q919">
        <v>12</v>
      </c>
      <c r="R919">
        <v>4</v>
      </c>
      <c r="S919">
        <v>0</v>
      </c>
      <c r="T919">
        <v>4</v>
      </c>
      <c r="U919">
        <v>3</v>
      </c>
      <c r="V919">
        <v>3</v>
      </c>
      <c r="W919">
        <v>3</v>
      </c>
      <c r="X919">
        <v>2</v>
      </c>
      <c r="Y919">
        <v>0</v>
      </c>
      <c r="Z919">
        <v>2</v>
      </c>
      <c r="AA919">
        <v>0</v>
      </c>
      <c r="AB919" s="1" t="s">
        <v>48</v>
      </c>
      <c r="AC919" t="s">
        <v>37</v>
      </c>
      <c r="AD919" t="s">
        <v>53</v>
      </c>
      <c r="AE919" s="2">
        <v>1512.6666666666667</v>
      </c>
    </row>
    <row r="920" spans="1:31" x14ac:dyDescent="0.35">
      <c r="A920">
        <v>51</v>
      </c>
      <c r="B920" s="1" t="s">
        <v>39</v>
      </c>
      <c r="C920" s="1" t="s">
        <v>31</v>
      </c>
      <c r="D920">
        <v>9</v>
      </c>
      <c r="E920">
        <v>3</v>
      </c>
      <c r="F920" s="1" t="s">
        <v>32</v>
      </c>
      <c r="G920">
        <v>4</v>
      </c>
      <c r="H920" s="1" t="s">
        <v>41</v>
      </c>
      <c r="I920">
        <v>3</v>
      </c>
      <c r="J920">
        <v>5</v>
      </c>
      <c r="K920" s="1" t="s">
        <v>55</v>
      </c>
      <c r="L920">
        <v>2</v>
      </c>
      <c r="M920" s="1" t="s">
        <v>50</v>
      </c>
      <c r="N920">
        <v>19847</v>
      </c>
      <c r="O920">
        <v>4</v>
      </c>
      <c r="P920" s="1" t="s">
        <v>30</v>
      </c>
      <c r="Q920">
        <v>24</v>
      </c>
      <c r="R920">
        <v>1</v>
      </c>
      <c r="S920">
        <v>1</v>
      </c>
      <c r="T920">
        <v>31</v>
      </c>
      <c r="U920">
        <v>5</v>
      </c>
      <c r="V920">
        <v>2</v>
      </c>
      <c r="W920">
        <v>29</v>
      </c>
      <c r="X920">
        <v>10</v>
      </c>
      <c r="Y920">
        <v>11</v>
      </c>
      <c r="Z920">
        <v>10</v>
      </c>
      <c r="AA920">
        <v>0</v>
      </c>
      <c r="AB920" s="1" t="s">
        <v>82</v>
      </c>
      <c r="AC920" t="s">
        <v>56</v>
      </c>
      <c r="AD920" t="s">
        <v>57</v>
      </c>
      <c r="AE920" s="2">
        <v>684.37931034482756</v>
      </c>
    </row>
    <row r="921" spans="1:31" x14ac:dyDescent="0.35">
      <c r="A921">
        <v>59</v>
      </c>
      <c r="B921" s="1" t="s">
        <v>39</v>
      </c>
      <c r="C921" s="1" t="s">
        <v>40</v>
      </c>
      <c r="D921">
        <v>18</v>
      </c>
      <c r="E921">
        <v>4</v>
      </c>
      <c r="F921" s="1" t="s">
        <v>49</v>
      </c>
      <c r="G921">
        <v>4</v>
      </c>
      <c r="H921" s="1" t="s">
        <v>41</v>
      </c>
      <c r="I921">
        <v>3</v>
      </c>
      <c r="J921">
        <v>3</v>
      </c>
      <c r="K921" s="1" t="s">
        <v>51</v>
      </c>
      <c r="L921">
        <v>4</v>
      </c>
      <c r="M921" s="1" t="s">
        <v>35</v>
      </c>
      <c r="N921">
        <v>10512</v>
      </c>
      <c r="O921">
        <v>6</v>
      </c>
      <c r="P921" s="1" t="s">
        <v>39</v>
      </c>
      <c r="Q921">
        <v>12</v>
      </c>
      <c r="R921">
        <v>4</v>
      </c>
      <c r="S921">
        <v>0</v>
      </c>
      <c r="T921">
        <v>25</v>
      </c>
      <c r="U921">
        <v>6</v>
      </c>
      <c r="V921">
        <v>2</v>
      </c>
      <c r="W921">
        <v>9</v>
      </c>
      <c r="X921">
        <v>7</v>
      </c>
      <c r="Y921">
        <v>5</v>
      </c>
      <c r="Z921">
        <v>4</v>
      </c>
      <c r="AA921">
        <v>0</v>
      </c>
      <c r="AB921" s="1" t="s">
        <v>82</v>
      </c>
      <c r="AC921" t="s">
        <v>56</v>
      </c>
      <c r="AD921" t="s">
        <v>38</v>
      </c>
      <c r="AE921" s="2">
        <v>1168</v>
      </c>
    </row>
    <row r="922" spans="1:31" x14ac:dyDescent="0.35">
      <c r="A922">
        <v>34</v>
      </c>
      <c r="B922" s="1" t="s">
        <v>39</v>
      </c>
      <c r="C922" s="1" t="s">
        <v>40</v>
      </c>
      <c r="D922">
        <v>19</v>
      </c>
      <c r="E922">
        <v>3</v>
      </c>
      <c r="F922" s="1" t="s">
        <v>49</v>
      </c>
      <c r="G922">
        <v>3</v>
      </c>
      <c r="H922" s="1" t="s">
        <v>33</v>
      </c>
      <c r="I922">
        <v>3</v>
      </c>
      <c r="J922">
        <v>2</v>
      </c>
      <c r="K922" s="1" t="s">
        <v>45</v>
      </c>
      <c r="L922">
        <v>2</v>
      </c>
      <c r="M922" s="1" t="s">
        <v>50</v>
      </c>
      <c r="N922">
        <v>4444</v>
      </c>
      <c r="O922">
        <v>4</v>
      </c>
      <c r="P922" s="1" t="s">
        <v>39</v>
      </c>
      <c r="Q922">
        <v>13</v>
      </c>
      <c r="R922">
        <v>3</v>
      </c>
      <c r="S922">
        <v>2</v>
      </c>
      <c r="T922">
        <v>15</v>
      </c>
      <c r="U922">
        <v>2</v>
      </c>
      <c r="V922">
        <v>4</v>
      </c>
      <c r="W922">
        <v>11</v>
      </c>
      <c r="X922">
        <v>8</v>
      </c>
      <c r="Y922">
        <v>5</v>
      </c>
      <c r="Z922">
        <v>10</v>
      </c>
      <c r="AA922">
        <v>0</v>
      </c>
      <c r="AB922" s="1" t="s">
        <v>48</v>
      </c>
      <c r="AC922" t="s">
        <v>37</v>
      </c>
      <c r="AD922" t="s">
        <v>57</v>
      </c>
      <c r="AE922" s="2">
        <v>404</v>
      </c>
    </row>
    <row r="923" spans="1:31" x14ac:dyDescent="0.35">
      <c r="A923">
        <v>28</v>
      </c>
      <c r="B923" s="1" t="s">
        <v>39</v>
      </c>
      <c r="C923" s="1" t="s">
        <v>40</v>
      </c>
      <c r="D923">
        <v>1</v>
      </c>
      <c r="E923">
        <v>4</v>
      </c>
      <c r="F923" s="1" t="s">
        <v>49</v>
      </c>
      <c r="G923">
        <v>4</v>
      </c>
      <c r="H923" s="1" t="s">
        <v>41</v>
      </c>
      <c r="I923">
        <v>3</v>
      </c>
      <c r="J923">
        <v>1</v>
      </c>
      <c r="K923" s="1" t="s">
        <v>45</v>
      </c>
      <c r="L923">
        <v>3</v>
      </c>
      <c r="M923" s="1" t="s">
        <v>35</v>
      </c>
      <c r="N923">
        <v>2154</v>
      </c>
      <c r="O923">
        <v>0</v>
      </c>
      <c r="P923" s="1" t="s">
        <v>30</v>
      </c>
      <c r="Q923">
        <v>11</v>
      </c>
      <c r="R923">
        <v>3</v>
      </c>
      <c r="S923">
        <v>0</v>
      </c>
      <c r="T923">
        <v>5</v>
      </c>
      <c r="U923">
        <v>2</v>
      </c>
      <c r="V923">
        <v>2</v>
      </c>
      <c r="W923">
        <v>4</v>
      </c>
      <c r="X923">
        <v>2</v>
      </c>
      <c r="Y923">
        <v>0</v>
      </c>
      <c r="Z923">
        <v>2</v>
      </c>
      <c r="AA923">
        <v>0</v>
      </c>
      <c r="AB923" s="1" t="s">
        <v>48</v>
      </c>
      <c r="AC923" t="s">
        <v>46</v>
      </c>
      <c r="AD923" t="s">
        <v>53</v>
      </c>
      <c r="AE923" s="2">
        <v>538.5</v>
      </c>
    </row>
    <row r="924" spans="1:31" x14ac:dyDescent="0.35">
      <c r="A924">
        <v>44</v>
      </c>
      <c r="B924" s="1" t="s">
        <v>39</v>
      </c>
      <c r="C924" s="1" t="s">
        <v>40</v>
      </c>
      <c r="D924">
        <v>4</v>
      </c>
      <c r="E924">
        <v>2</v>
      </c>
      <c r="F924" s="1" t="s">
        <v>32</v>
      </c>
      <c r="G924">
        <v>3</v>
      </c>
      <c r="H924" s="1" t="s">
        <v>41</v>
      </c>
      <c r="I924">
        <v>4</v>
      </c>
      <c r="J924">
        <v>5</v>
      </c>
      <c r="K924" s="1" t="s">
        <v>55</v>
      </c>
      <c r="L924">
        <v>1</v>
      </c>
      <c r="M924" s="1" t="s">
        <v>50</v>
      </c>
      <c r="N924">
        <v>19190</v>
      </c>
      <c r="O924">
        <v>1</v>
      </c>
      <c r="P924" s="1" t="s">
        <v>39</v>
      </c>
      <c r="Q924">
        <v>14</v>
      </c>
      <c r="R924">
        <v>4</v>
      </c>
      <c r="S924">
        <v>2</v>
      </c>
      <c r="T924">
        <v>26</v>
      </c>
      <c r="U924">
        <v>4</v>
      </c>
      <c r="V924">
        <v>2</v>
      </c>
      <c r="W924">
        <v>25</v>
      </c>
      <c r="X924">
        <v>9</v>
      </c>
      <c r="Y924">
        <v>14</v>
      </c>
      <c r="Z924">
        <v>13</v>
      </c>
      <c r="AA924">
        <v>0</v>
      </c>
      <c r="AB924" s="1" t="s">
        <v>36</v>
      </c>
      <c r="AC924" t="s">
        <v>56</v>
      </c>
      <c r="AD924" t="s">
        <v>57</v>
      </c>
      <c r="AE924" s="2">
        <v>767.6</v>
      </c>
    </row>
    <row r="925" spans="1:31" x14ac:dyDescent="0.35">
      <c r="A925">
        <v>34</v>
      </c>
      <c r="B925" s="1" t="s">
        <v>39</v>
      </c>
      <c r="C925" s="1" t="s">
        <v>62</v>
      </c>
      <c r="D925">
        <v>11</v>
      </c>
      <c r="E925">
        <v>3</v>
      </c>
      <c r="F925" s="1" t="s">
        <v>32</v>
      </c>
      <c r="G925">
        <v>3</v>
      </c>
      <c r="H925" s="1" t="s">
        <v>41</v>
      </c>
      <c r="I925">
        <v>2</v>
      </c>
      <c r="J925">
        <v>2</v>
      </c>
      <c r="K925" s="1" t="s">
        <v>62</v>
      </c>
      <c r="L925">
        <v>2</v>
      </c>
      <c r="M925" s="1" t="s">
        <v>43</v>
      </c>
      <c r="N925">
        <v>4490</v>
      </c>
      <c r="O925">
        <v>4</v>
      </c>
      <c r="P925" s="1" t="s">
        <v>39</v>
      </c>
      <c r="Q925">
        <v>11</v>
      </c>
      <c r="R925">
        <v>4</v>
      </c>
      <c r="S925">
        <v>2</v>
      </c>
      <c r="T925">
        <v>14</v>
      </c>
      <c r="U925">
        <v>5</v>
      </c>
      <c r="V925">
        <v>4</v>
      </c>
      <c r="W925">
        <v>10</v>
      </c>
      <c r="X925">
        <v>9</v>
      </c>
      <c r="Y925">
        <v>1</v>
      </c>
      <c r="Z925">
        <v>8</v>
      </c>
      <c r="AA925">
        <v>0</v>
      </c>
      <c r="AB925" s="1" t="s">
        <v>48</v>
      </c>
      <c r="AC925" t="s">
        <v>37</v>
      </c>
      <c r="AD925" t="s">
        <v>38</v>
      </c>
      <c r="AE925" s="2">
        <v>449</v>
      </c>
    </row>
    <row r="926" spans="1:31" x14ac:dyDescent="0.35">
      <c r="A926">
        <v>35</v>
      </c>
      <c r="B926" s="1" t="s">
        <v>39</v>
      </c>
      <c r="C926" s="1" t="s">
        <v>40</v>
      </c>
      <c r="D926">
        <v>6</v>
      </c>
      <c r="E926">
        <v>1</v>
      </c>
      <c r="F926" s="1" t="s">
        <v>32</v>
      </c>
      <c r="G926">
        <v>3</v>
      </c>
      <c r="H926" s="1" t="s">
        <v>41</v>
      </c>
      <c r="I926">
        <v>3</v>
      </c>
      <c r="J926">
        <v>1</v>
      </c>
      <c r="K926" s="1" t="s">
        <v>42</v>
      </c>
      <c r="L926">
        <v>3</v>
      </c>
      <c r="M926" s="1" t="s">
        <v>43</v>
      </c>
      <c r="N926">
        <v>3506</v>
      </c>
      <c r="O926">
        <v>0</v>
      </c>
      <c r="P926" s="1" t="s">
        <v>30</v>
      </c>
      <c r="Q926">
        <v>14</v>
      </c>
      <c r="R926">
        <v>4</v>
      </c>
      <c r="S926">
        <v>0</v>
      </c>
      <c r="T926">
        <v>4</v>
      </c>
      <c r="U926">
        <v>3</v>
      </c>
      <c r="V926">
        <v>3</v>
      </c>
      <c r="W926">
        <v>3</v>
      </c>
      <c r="X926">
        <v>2</v>
      </c>
      <c r="Y926">
        <v>2</v>
      </c>
      <c r="Z926">
        <v>2</v>
      </c>
      <c r="AA926">
        <v>0</v>
      </c>
      <c r="AB926" s="1" t="s">
        <v>48</v>
      </c>
      <c r="AC926" t="s">
        <v>46</v>
      </c>
      <c r="AD926" t="s">
        <v>53</v>
      </c>
      <c r="AE926" s="2">
        <v>1168.6666666666667</v>
      </c>
    </row>
    <row r="927" spans="1:31" x14ac:dyDescent="0.35">
      <c r="A927">
        <v>42</v>
      </c>
      <c r="B927" s="1" t="s">
        <v>39</v>
      </c>
      <c r="C927" s="1" t="s">
        <v>40</v>
      </c>
      <c r="D927">
        <v>7</v>
      </c>
      <c r="E927">
        <v>4</v>
      </c>
      <c r="F927" s="1" t="s">
        <v>49</v>
      </c>
      <c r="G927">
        <v>2</v>
      </c>
      <c r="H927" s="1" t="s">
        <v>33</v>
      </c>
      <c r="I927">
        <v>4</v>
      </c>
      <c r="J927">
        <v>2</v>
      </c>
      <c r="K927" s="1" t="s">
        <v>42</v>
      </c>
      <c r="L927">
        <v>2</v>
      </c>
      <c r="M927" s="1" t="s">
        <v>43</v>
      </c>
      <c r="N927">
        <v>2372</v>
      </c>
      <c r="O927">
        <v>6</v>
      </c>
      <c r="P927" s="1" t="s">
        <v>30</v>
      </c>
      <c r="Q927">
        <v>16</v>
      </c>
      <c r="R927">
        <v>4</v>
      </c>
      <c r="S927">
        <v>0</v>
      </c>
      <c r="T927">
        <v>18</v>
      </c>
      <c r="U927">
        <v>2</v>
      </c>
      <c r="V927">
        <v>3</v>
      </c>
      <c r="W927">
        <v>1</v>
      </c>
      <c r="X927">
        <v>0</v>
      </c>
      <c r="Y927">
        <v>0</v>
      </c>
      <c r="Z927">
        <v>0</v>
      </c>
      <c r="AA927">
        <v>0</v>
      </c>
      <c r="AB927" s="1" t="s">
        <v>36</v>
      </c>
      <c r="AC927" t="s">
        <v>46</v>
      </c>
      <c r="AD927" t="s">
        <v>47</v>
      </c>
      <c r="AE927" s="2">
        <v>2372</v>
      </c>
    </row>
    <row r="928" spans="1:31" x14ac:dyDescent="0.35">
      <c r="A928">
        <v>43</v>
      </c>
      <c r="B928" s="1" t="s">
        <v>39</v>
      </c>
      <c r="C928" s="1" t="s">
        <v>31</v>
      </c>
      <c r="D928">
        <v>4</v>
      </c>
      <c r="E928">
        <v>4</v>
      </c>
      <c r="F928" s="1" t="s">
        <v>60</v>
      </c>
      <c r="G928">
        <v>4</v>
      </c>
      <c r="H928" s="1" t="s">
        <v>33</v>
      </c>
      <c r="I928">
        <v>2</v>
      </c>
      <c r="J928">
        <v>3</v>
      </c>
      <c r="K928" s="1" t="s">
        <v>34</v>
      </c>
      <c r="L928">
        <v>4</v>
      </c>
      <c r="M928" s="1" t="s">
        <v>35</v>
      </c>
      <c r="N928">
        <v>10231</v>
      </c>
      <c r="O928">
        <v>3</v>
      </c>
      <c r="P928" s="1" t="s">
        <v>39</v>
      </c>
      <c r="Q928">
        <v>14</v>
      </c>
      <c r="R928">
        <v>4</v>
      </c>
      <c r="S928">
        <v>0</v>
      </c>
      <c r="T928">
        <v>23</v>
      </c>
      <c r="U928">
        <v>3</v>
      </c>
      <c r="V928">
        <v>4</v>
      </c>
      <c r="W928">
        <v>21</v>
      </c>
      <c r="X928">
        <v>7</v>
      </c>
      <c r="Y928">
        <v>15</v>
      </c>
      <c r="Z928">
        <v>17</v>
      </c>
      <c r="AA928">
        <v>0</v>
      </c>
      <c r="AB928" s="1" t="s">
        <v>36</v>
      </c>
      <c r="AC928" t="s">
        <v>56</v>
      </c>
      <c r="AD928" t="s">
        <v>57</v>
      </c>
      <c r="AE928" s="2">
        <v>487.1904761904762</v>
      </c>
    </row>
    <row r="929" spans="1:31" x14ac:dyDescent="0.35">
      <c r="A929">
        <v>36</v>
      </c>
      <c r="B929" s="1" t="s">
        <v>39</v>
      </c>
      <c r="C929" s="1" t="s">
        <v>40</v>
      </c>
      <c r="D929">
        <v>2</v>
      </c>
      <c r="E929">
        <v>4</v>
      </c>
      <c r="F929" s="1" t="s">
        <v>32</v>
      </c>
      <c r="G929">
        <v>3</v>
      </c>
      <c r="H929" s="1" t="s">
        <v>33</v>
      </c>
      <c r="I929">
        <v>3</v>
      </c>
      <c r="J929">
        <v>2</v>
      </c>
      <c r="K929" s="1" t="s">
        <v>51</v>
      </c>
      <c r="L929">
        <v>2</v>
      </c>
      <c r="M929" s="1" t="s">
        <v>35</v>
      </c>
      <c r="N929">
        <v>5410</v>
      </c>
      <c r="O929">
        <v>9</v>
      </c>
      <c r="P929" s="1" t="s">
        <v>30</v>
      </c>
      <c r="Q929">
        <v>11</v>
      </c>
      <c r="R929">
        <v>4</v>
      </c>
      <c r="S929">
        <v>0</v>
      </c>
      <c r="T929">
        <v>18</v>
      </c>
      <c r="U929">
        <v>2</v>
      </c>
      <c r="V929">
        <v>3</v>
      </c>
      <c r="W929">
        <v>16</v>
      </c>
      <c r="X929">
        <v>14</v>
      </c>
      <c r="Y929">
        <v>5</v>
      </c>
      <c r="Z929">
        <v>12</v>
      </c>
      <c r="AA929">
        <v>0</v>
      </c>
      <c r="AB929" s="1" t="s">
        <v>36</v>
      </c>
      <c r="AC929" t="s">
        <v>37</v>
      </c>
      <c r="AD929" t="s">
        <v>57</v>
      </c>
      <c r="AE929" s="2">
        <v>338.125</v>
      </c>
    </row>
    <row r="930" spans="1:31" x14ac:dyDescent="0.35">
      <c r="A930">
        <v>44</v>
      </c>
      <c r="B930" s="1" t="s">
        <v>30</v>
      </c>
      <c r="C930" s="1" t="s">
        <v>40</v>
      </c>
      <c r="D930">
        <v>15</v>
      </c>
      <c r="E930">
        <v>3</v>
      </c>
      <c r="F930" s="1" t="s">
        <v>49</v>
      </c>
      <c r="G930">
        <v>1</v>
      </c>
      <c r="H930" s="1" t="s">
        <v>33</v>
      </c>
      <c r="I930">
        <v>3</v>
      </c>
      <c r="J930">
        <v>3</v>
      </c>
      <c r="K930" s="1" t="s">
        <v>52</v>
      </c>
      <c r="L930">
        <v>4</v>
      </c>
      <c r="M930" s="1" t="s">
        <v>43</v>
      </c>
      <c r="N930">
        <v>7978</v>
      </c>
      <c r="O930">
        <v>1</v>
      </c>
      <c r="P930" s="1" t="s">
        <v>39</v>
      </c>
      <c r="Q930">
        <v>11</v>
      </c>
      <c r="R930">
        <v>4</v>
      </c>
      <c r="S930">
        <v>1</v>
      </c>
      <c r="T930">
        <v>10</v>
      </c>
      <c r="U930">
        <v>2</v>
      </c>
      <c r="V930">
        <v>3</v>
      </c>
      <c r="W930">
        <v>10</v>
      </c>
      <c r="X930">
        <v>7</v>
      </c>
      <c r="Y930">
        <v>0</v>
      </c>
      <c r="Z930">
        <v>5</v>
      </c>
      <c r="AA930">
        <v>1</v>
      </c>
      <c r="AB930" s="1" t="s">
        <v>36</v>
      </c>
      <c r="AC930" t="s">
        <v>37</v>
      </c>
      <c r="AD930" t="s">
        <v>38</v>
      </c>
      <c r="AE930" s="2">
        <v>797.8</v>
      </c>
    </row>
    <row r="931" spans="1:31" x14ac:dyDescent="0.35">
      <c r="A931">
        <v>28</v>
      </c>
      <c r="B931" s="1" t="s">
        <v>39</v>
      </c>
      <c r="C931" s="1" t="s">
        <v>40</v>
      </c>
      <c r="D931">
        <v>2</v>
      </c>
      <c r="E931">
        <v>3</v>
      </c>
      <c r="F931" s="1" t="s">
        <v>32</v>
      </c>
      <c r="G931">
        <v>4</v>
      </c>
      <c r="H931" s="1" t="s">
        <v>41</v>
      </c>
      <c r="I931">
        <v>2</v>
      </c>
      <c r="J931">
        <v>1</v>
      </c>
      <c r="K931" s="1" t="s">
        <v>45</v>
      </c>
      <c r="L931">
        <v>4</v>
      </c>
      <c r="M931" s="1" t="s">
        <v>43</v>
      </c>
      <c r="N931">
        <v>3867</v>
      </c>
      <c r="O931">
        <v>1</v>
      </c>
      <c r="P931" s="1" t="s">
        <v>30</v>
      </c>
      <c r="Q931">
        <v>12</v>
      </c>
      <c r="R931">
        <v>2</v>
      </c>
      <c r="S931">
        <v>1</v>
      </c>
      <c r="T931">
        <v>2</v>
      </c>
      <c r="U931">
        <v>2</v>
      </c>
      <c r="V931">
        <v>3</v>
      </c>
      <c r="W931">
        <v>2</v>
      </c>
      <c r="X931">
        <v>2</v>
      </c>
      <c r="Y931">
        <v>2</v>
      </c>
      <c r="Z931">
        <v>2</v>
      </c>
      <c r="AA931">
        <v>0</v>
      </c>
      <c r="AB931" s="1" t="s">
        <v>48</v>
      </c>
      <c r="AC931" t="s">
        <v>46</v>
      </c>
      <c r="AD931" t="s">
        <v>47</v>
      </c>
      <c r="AE931" s="2">
        <v>1933.5</v>
      </c>
    </row>
    <row r="932" spans="1:31" x14ac:dyDescent="0.35">
      <c r="A932">
        <v>51</v>
      </c>
      <c r="B932" s="1" t="s">
        <v>39</v>
      </c>
      <c r="C932" s="1" t="s">
        <v>40</v>
      </c>
      <c r="D932">
        <v>6</v>
      </c>
      <c r="E932">
        <v>2</v>
      </c>
      <c r="F932" s="1" t="s">
        <v>49</v>
      </c>
      <c r="G932">
        <v>2</v>
      </c>
      <c r="H932" s="1" t="s">
        <v>33</v>
      </c>
      <c r="I932">
        <v>2</v>
      </c>
      <c r="J932">
        <v>1</v>
      </c>
      <c r="K932" s="1" t="s">
        <v>45</v>
      </c>
      <c r="L932">
        <v>3</v>
      </c>
      <c r="M932" s="1" t="s">
        <v>35</v>
      </c>
      <c r="N932">
        <v>2838</v>
      </c>
      <c r="O932">
        <v>0</v>
      </c>
      <c r="P932" s="1" t="s">
        <v>39</v>
      </c>
      <c r="Q932">
        <v>14</v>
      </c>
      <c r="R932">
        <v>2</v>
      </c>
      <c r="S932">
        <v>0</v>
      </c>
      <c r="T932">
        <v>8</v>
      </c>
      <c r="U932">
        <v>6</v>
      </c>
      <c r="V932">
        <v>2</v>
      </c>
      <c r="W932">
        <v>7</v>
      </c>
      <c r="X932">
        <v>0</v>
      </c>
      <c r="Y932">
        <v>7</v>
      </c>
      <c r="Z932">
        <v>7</v>
      </c>
      <c r="AA932">
        <v>0</v>
      </c>
      <c r="AB932" s="1" t="s">
        <v>82</v>
      </c>
      <c r="AC932" t="s">
        <v>46</v>
      </c>
      <c r="AD932" t="s">
        <v>38</v>
      </c>
      <c r="AE932" s="2">
        <v>405.42857142857144</v>
      </c>
    </row>
    <row r="933" spans="1:31" x14ac:dyDescent="0.35">
      <c r="A933">
        <v>30</v>
      </c>
      <c r="B933" s="1" t="s">
        <v>39</v>
      </c>
      <c r="C933" s="1" t="s">
        <v>40</v>
      </c>
      <c r="D933">
        <v>9</v>
      </c>
      <c r="E933">
        <v>2</v>
      </c>
      <c r="F933" s="1" t="s">
        <v>49</v>
      </c>
      <c r="G933">
        <v>3</v>
      </c>
      <c r="H933" s="1" t="s">
        <v>33</v>
      </c>
      <c r="I933">
        <v>3</v>
      </c>
      <c r="J933">
        <v>2</v>
      </c>
      <c r="K933" s="1" t="s">
        <v>51</v>
      </c>
      <c r="L933">
        <v>3</v>
      </c>
      <c r="M933" s="1" t="s">
        <v>35</v>
      </c>
      <c r="N933">
        <v>4695</v>
      </c>
      <c r="O933">
        <v>7</v>
      </c>
      <c r="P933" s="1" t="s">
        <v>30</v>
      </c>
      <c r="Q933">
        <v>18</v>
      </c>
      <c r="R933">
        <v>3</v>
      </c>
      <c r="S933">
        <v>0</v>
      </c>
      <c r="T933">
        <v>10</v>
      </c>
      <c r="U933">
        <v>3</v>
      </c>
      <c r="V933">
        <v>3</v>
      </c>
      <c r="W933">
        <v>8</v>
      </c>
      <c r="X933">
        <v>4</v>
      </c>
      <c r="Y933">
        <v>1</v>
      </c>
      <c r="Z933">
        <v>7</v>
      </c>
      <c r="AA933">
        <v>0</v>
      </c>
      <c r="AB933" s="1" t="s">
        <v>48</v>
      </c>
      <c r="AC933" t="s">
        <v>37</v>
      </c>
      <c r="AD933" t="s">
        <v>38</v>
      </c>
      <c r="AE933" s="2">
        <v>586.875</v>
      </c>
    </row>
    <row r="934" spans="1:31" x14ac:dyDescent="0.35">
      <c r="A934">
        <v>29</v>
      </c>
      <c r="B934" s="1" t="s">
        <v>30</v>
      </c>
      <c r="C934" s="1" t="s">
        <v>40</v>
      </c>
      <c r="D934">
        <v>7</v>
      </c>
      <c r="E934">
        <v>3</v>
      </c>
      <c r="F934" s="1" t="s">
        <v>61</v>
      </c>
      <c r="G934">
        <v>2</v>
      </c>
      <c r="H934" s="1" t="s">
        <v>33</v>
      </c>
      <c r="I934">
        <v>3</v>
      </c>
      <c r="J934">
        <v>1</v>
      </c>
      <c r="K934" s="1" t="s">
        <v>45</v>
      </c>
      <c r="L934">
        <v>3</v>
      </c>
      <c r="M934" s="1" t="s">
        <v>50</v>
      </c>
      <c r="N934">
        <v>3339</v>
      </c>
      <c r="O934">
        <v>3</v>
      </c>
      <c r="P934" s="1" t="s">
        <v>30</v>
      </c>
      <c r="Q934">
        <v>13</v>
      </c>
      <c r="R934">
        <v>1</v>
      </c>
      <c r="S934">
        <v>2</v>
      </c>
      <c r="T934">
        <v>10</v>
      </c>
      <c r="U934">
        <v>2</v>
      </c>
      <c r="V934">
        <v>3</v>
      </c>
      <c r="W934">
        <v>7</v>
      </c>
      <c r="X934">
        <v>7</v>
      </c>
      <c r="Y934">
        <v>7</v>
      </c>
      <c r="Z934">
        <v>7</v>
      </c>
      <c r="AA934">
        <v>1</v>
      </c>
      <c r="AB934" s="1" t="s">
        <v>48</v>
      </c>
      <c r="AC934" t="s">
        <v>46</v>
      </c>
      <c r="AD934" t="s">
        <v>38</v>
      </c>
      <c r="AE934" s="2">
        <v>477</v>
      </c>
    </row>
    <row r="935" spans="1:31" x14ac:dyDescent="0.35">
      <c r="A935">
        <v>28</v>
      </c>
      <c r="B935" s="1" t="s">
        <v>39</v>
      </c>
      <c r="C935" s="1" t="s">
        <v>40</v>
      </c>
      <c r="D935">
        <v>1</v>
      </c>
      <c r="E935">
        <v>3</v>
      </c>
      <c r="F935" s="1" t="s">
        <v>61</v>
      </c>
      <c r="G935">
        <v>4</v>
      </c>
      <c r="H935" s="1" t="s">
        <v>41</v>
      </c>
      <c r="I935">
        <v>3</v>
      </c>
      <c r="J935">
        <v>1</v>
      </c>
      <c r="K935" s="1" t="s">
        <v>42</v>
      </c>
      <c r="L935">
        <v>1</v>
      </c>
      <c r="M935" s="1" t="s">
        <v>35</v>
      </c>
      <c r="N935">
        <v>2080</v>
      </c>
      <c r="O935">
        <v>2</v>
      </c>
      <c r="P935" s="1" t="s">
        <v>39</v>
      </c>
      <c r="Q935">
        <v>11</v>
      </c>
      <c r="R935">
        <v>2</v>
      </c>
      <c r="S935">
        <v>0</v>
      </c>
      <c r="T935">
        <v>5</v>
      </c>
      <c r="U935">
        <v>2</v>
      </c>
      <c r="V935">
        <v>2</v>
      </c>
      <c r="W935">
        <v>3</v>
      </c>
      <c r="X935">
        <v>2</v>
      </c>
      <c r="Y935">
        <v>1</v>
      </c>
      <c r="Z935">
        <v>2</v>
      </c>
      <c r="AA935">
        <v>0</v>
      </c>
      <c r="AB935" s="1" t="s">
        <v>48</v>
      </c>
      <c r="AC935" t="s">
        <v>46</v>
      </c>
      <c r="AD935" t="s">
        <v>53</v>
      </c>
      <c r="AE935" s="2">
        <v>693.33333333333337</v>
      </c>
    </row>
    <row r="936" spans="1:31" x14ac:dyDescent="0.35">
      <c r="A936">
        <v>25</v>
      </c>
      <c r="B936" s="1" t="s">
        <v>39</v>
      </c>
      <c r="C936" s="1" t="s">
        <v>40</v>
      </c>
      <c r="D936">
        <v>1</v>
      </c>
      <c r="E936">
        <v>3</v>
      </c>
      <c r="F936" s="1" t="s">
        <v>49</v>
      </c>
      <c r="G936">
        <v>4</v>
      </c>
      <c r="H936" s="1" t="s">
        <v>33</v>
      </c>
      <c r="I936">
        <v>3</v>
      </c>
      <c r="J936">
        <v>1</v>
      </c>
      <c r="K936" s="1" t="s">
        <v>42</v>
      </c>
      <c r="L936">
        <v>2</v>
      </c>
      <c r="M936" s="1" t="s">
        <v>35</v>
      </c>
      <c r="N936">
        <v>2096</v>
      </c>
      <c r="O936">
        <v>1</v>
      </c>
      <c r="P936" s="1" t="s">
        <v>39</v>
      </c>
      <c r="Q936">
        <v>18</v>
      </c>
      <c r="R936">
        <v>4</v>
      </c>
      <c r="S936">
        <v>0</v>
      </c>
      <c r="T936">
        <v>2</v>
      </c>
      <c r="U936">
        <v>3</v>
      </c>
      <c r="V936">
        <v>2</v>
      </c>
      <c r="W936">
        <v>2</v>
      </c>
      <c r="X936">
        <v>2</v>
      </c>
      <c r="Y936">
        <v>2</v>
      </c>
      <c r="Z936">
        <v>1</v>
      </c>
      <c r="AA936">
        <v>0</v>
      </c>
      <c r="AB936" s="1" t="s">
        <v>54</v>
      </c>
      <c r="AC936" t="s">
        <v>46</v>
      </c>
      <c r="AD936" t="s">
        <v>47</v>
      </c>
      <c r="AE936" s="2">
        <v>1048</v>
      </c>
    </row>
    <row r="937" spans="1:31" x14ac:dyDescent="0.35">
      <c r="A937">
        <v>32</v>
      </c>
      <c r="B937" s="1" t="s">
        <v>39</v>
      </c>
      <c r="C937" s="1" t="s">
        <v>31</v>
      </c>
      <c r="D937">
        <v>8</v>
      </c>
      <c r="E937">
        <v>3</v>
      </c>
      <c r="F937" s="1" t="s">
        <v>49</v>
      </c>
      <c r="G937">
        <v>3</v>
      </c>
      <c r="H937" s="1" t="s">
        <v>41</v>
      </c>
      <c r="I937">
        <v>4</v>
      </c>
      <c r="J937">
        <v>2</v>
      </c>
      <c r="K937" s="1" t="s">
        <v>34</v>
      </c>
      <c r="L937">
        <v>4</v>
      </c>
      <c r="M937" s="1" t="s">
        <v>43</v>
      </c>
      <c r="N937">
        <v>6209</v>
      </c>
      <c r="O937">
        <v>1</v>
      </c>
      <c r="P937" s="1" t="s">
        <v>39</v>
      </c>
      <c r="Q937">
        <v>15</v>
      </c>
      <c r="R937">
        <v>3</v>
      </c>
      <c r="S937">
        <v>2</v>
      </c>
      <c r="T937">
        <v>10</v>
      </c>
      <c r="U937">
        <v>4</v>
      </c>
      <c r="V937">
        <v>4</v>
      </c>
      <c r="W937">
        <v>10</v>
      </c>
      <c r="X937">
        <v>7</v>
      </c>
      <c r="Y937">
        <v>0</v>
      </c>
      <c r="Z937">
        <v>8</v>
      </c>
      <c r="AA937">
        <v>0</v>
      </c>
      <c r="AB937" s="1" t="s">
        <v>48</v>
      </c>
      <c r="AC937" t="s">
        <v>37</v>
      </c>
      <c r="AD937" t="s">
        <v>38</v>
      </c>
      <c r="AE937" s="2">
        <v>620.9</v>
      </c>
    </row>
    <row r="938" spans="1:31" x14ac:dyDescent="0.35">
      <c r="A938">
        <v>45</v>
      </c>
      <c r="B938" s="1" t="s">
        <v>39</v>
      </c>
      <c r="C938" s="1" t="s">
        <v>40</v>
      </c>
      <c r="D938">
        <v>25</v>
      </c>
      <c r="E938">
        <v>3</v>
      </c>
      <c r="F938" s="1" t="s">
        <v>49</v>
      </c>
      <c r="G938">
        <v>2</v>
      </c>
      <c r="H938" s="1" t="s">
        <v>33</v>
      </c>
      <c r="I938">
        <v>3</v>
      </c>
      <c r="J938">
        <v>5</v>
      </c>
      <c r="K938" s="1" t="s">
        <v>55</v>
      </c>
      <c r="L938">
        <v>2</v>
      </c>
      <c r="M938" s="1" t="s">
        <v>35</v>
      </c>
      <c r="N938">
        <v>18061</v>
      </c>
      <c r="O938">
        <v>3</v>
      </c>
      <c r="P938" s="1" t="s">
        <v>39</v>
      </c>
      <c r="Q938">
        <v>22</v>
      </c>
      <c r="R938">
        <v>3</v>
      </c>
      <c r="S938">
        <v>0</v>
      </c>
      <c r="T938">
        <v>22</v>
      </c>
      <c r="U938">
        <v>4</v>
      </c>
      <c r="V938">
        <v>3</v>
      </c>
      <c r="W938">
        <v>0</v>
      </c>
      <c r="X938">
        <v>0</v>
      </c>
      <c r="Y938">
        <v>0</v>
      </c>
      <c r="Z938">
        <v>0</v>
      </c>
      <c r="AA938">
        <v>0</v>
      </c>
      <c r="AB938" s="1" t="s">
        <v>36</v>
      </c>
      <c r="AC938" t="s">
        <v>56</v>
      </c>
      <c r="AD938" t="s">
        <v>47</v>
      </c>
      <c r="AE938" s="2">
        <v>18061</v>
      </c>
    </row>
    <row r="939" spans="1:31" x14ac:dyDescent="0.35">
      <c r="A939">
        <v>39</v>
      </c>
      <c r="B939" s="1" t="s">
        <v>39</v>
      </c>
      <c r="C939" s="1" t="s">
        <v>40</v>
      </c>
      <c r="D939">
        <v>13</v>
      </c>
      <c r="E939">
        <v>4</v>
      </c>
      <c r="F939" s="1" t="s">
        <v>49</v>
      </c>
      <c r="G939">
        <v>3</v>
      </c>
      <c r="H939" s="1" t="s">
        <v>33</v>
      </c>
      <c r="I939">
        <v>2</v>
      </c>
      <c r="J939">
        <v>4</v>
      </c>
      <c r="K939" s="1" t="s">
        <v>55</v>
      </c>
      <c r="L939">
        <v>2</v>
      </c>
      <c r="M939" s="1" t="s">
        <v>50</v>
      </c>
      <c r="N939">
        <v>17123</v>
      </c>
      <c r="O939">
        <v>6</v>
      </c>
      <c r="P939" s="1" t="s">
        <v>30</v>
      </c>
      <c r="Q939">
        <v>13</v>
      </c>
      <c r="R939">
        <v>4</v>
      </c>
      <c r="S939">
        <v>2</v>
      </c>
      <c r="T939">
        <v>21</v>
      </c>
      <c r="U939">
        <v>4</v>
      </c>
      <c r="V939">
        <v>3</v>
      </c>
      <c r="W939">
        <v>19</v>
      </c>
      <c r="X939">
        <v>9</v>
      </c>
      <c r="Y939">
        <v>15</v>
      </c>
      <c r="Z939">
        <v>2</v>
      </c>
      <c r="AA939">
        <v>0</v>
      </c>
      <c r="AB939" s="1" t="s">
        <v>36</v>
      </c>
      <c r="AC939" t="s">
        <v>56</v>
      </c>
      <c r="AD939" t="s">
        <v>57</v>
      </c>
      <c r="AE939" s="2">
        <v>901.21052631578948</v>
      </c>
    </row>
    <row r="940" spans="1:31" x14ac:dyDescent="0.35">
      <c r="A940">
        <v>58</v>
      </c>
      <c r="B940" s="1" t="s">
        <v>39</v>
      </c>
      <c r="C940" s="1" t="s">
        <v>40</v>
      </c>
      <c r="D940">
        <v>23</v>
      </c>
      <c r="E940">
        <v>4</v>
      </c>
      <c r="F940" s="1" t="s">
        <v>32</v>
      </c>
      <c r="G940">
        <v>1</v>
      </c>
      <c r="H940" s="1" t="s">
        <v>41</v>
      </c>
      <c r="I940">
        <v>3</v>
      </c>
      <c r="J940">
        <v>1</v>
      </c>
      <c r="K940" s="1" t="s">
        <v>42</v>
      </c>
      <c r="L940">
        <v>3</v>
      </c>
      <c r="M940" s="1" t="s">
        <v>50</v>
      </c>
      <c r="N940">
        <v>2372</v>
      </c>
      <c r="O940">
        <v>1</v>
      </c>
      <c r="P940" s="1" t="s">
        <v>39</v>
      </c>
      <c r="Q940">
        <v>12</v>
      </c>
      <c r="R940">
        <v>4</v>
      </c>
      <c r="S940">
        <v>2</v>
      </c>
      <c r="T940">
        <v>2</v>
      </c>
      <c r="U940">
        <v>3</v>
      </c>
      <c r="V940">
        <v>3</v>
      </c>
      <c r="W940">
        <v>2</v>
      </c>
      <c r="X940">
        <v>2</v>
      </c>
      <c r="Y940">
        <v>2</v>
      </c>
      <c r="Z940">
        <v>2</v>
      </c>
      <c r="AA940">
        <v>0</v>
      </c>
      <c r="AB940" s="1" t="s">
        <v>82</v>
      </c>
      <c r="AC940" t="s">
        <v>46</v>
      </c>
      <c r="AD940" t="s">
        <v>47</v>
      </c>
      <c r="AE940" s="2">
        <v>1186</v>
      </c>
    </row>
    <row r="941" spans="1:31" x14ac:dyDescent="0.35">
      <c r="A941">
        <v>32</v>
      </c>
      <c r="B941" s="1" t="s">
        <v>30</v>
      </c>
      <c r="C941" s="1" t="s">
        <v>40</v>
      </c>
      <c r="D941">
        <v>7</v>
      </c>
      <c r="E941">
        <v>2</v>
      </c>
      <c r="F941" s="1" t="s">
        <v>32</v>
      </c>
      <c r="G941">
        <v>4</v>
      </c>
      <c r="H941" s="1" t="s">
        <v>41</v>
      </c>
      <c r="I941">
        <v>3</v>
      </c>
      <c r="J941">
        <v>2</v>
      </c>
      <c r="K941" s="1" t="s">
        <v>45</v>
      </c>
      <c r="L941">
        <v>3</v>
      </c>
      <c r="M941" s="1" t="s">
        <v>43</v>
      </c>
      <c r="N941">
        <v>4883</v>
      </c>
      <c r="O941">
        <v>1</v>
      </c>
      <c r="P941" s="1" t="s">
        <v>39</v>
      </c>
      <c r="Q941">
        <v>18</v>
      </c>
      <c r="R941">
        <v>1</v>
      </c>
      <c r="S941">
        <v>1</v>
      </c>
      <c r="T941">
        <v>10</v>
      </c>
      <c r="U941">
        <v>3</v>
      </c>
      <c r="V941">
        <v>3</v>
      </c>
      <c r="W941">
        <v>10</v>
      </c>
      <c r="X941">
        <v>4</v>
      </c>
      <c r="Y941">
        <v>1</v>
      </c>
      <c r="Z941">
        <v>1</v>
      </c>
      <c r="AA941">
        <v>1</v>
      </c>
      <c r="AB941" s="1" t="s">
        <v>48</v>
      </c>
      <c r="AC941" t="s">
        <v>37</v>
      </c>
      <c r="AD941" t="s">
        <v>38</v>
      </c>
      <c r="AE941" s="2">
        <v>488.3</v>
      </c>
    </row>
    <row r="942" spans="1:31" x14ac:dyDescent="0.35">
      <c r="A942">
        <v>39</v>
      </c>
      <c r="B942" s="1" t="s">
        <v>30</v>
      </c>
      <c r="C942" s="1" t="s">
        <v>40</v>
      </c>
      <c r="D942">
        <v>23</v>
      </c>
      <c r="E942">
        <v>3</v>
      </c>
      <c r="F942" s="1" t="s">
        <v>49</v>
      </c>
      <c r="G942">
        <v>3</v>
      </c>
      <c r="H942" s="1" t="s">
        <v>41</v>
      </c>
      <c r="I942">
        <v>3</v>
      </c>
      <c r="J942">
        <v>1</v>
      </c>
      <c r="K942" s="1" t="s">
        <v>42</v>
      </c>
      <c r="L942">
        <v>1</v>
      </c>
      <c r="M942" s="1" t="s">
        <v>35</v>
      </c>
      <c r="N942">
        <v>3904</v>
      </c>
      <c r="O942">
        <v>0</v>
      </c>
      <c r="P942" s="1" t="s">
        <v>39</v>
      </c>
      <c r="Q942">
        <v>13</v>
      </c>
      <c r="R942">
        <v>1</v>
      </c>
      <c r="S942">
        <v>0</v>
      </c>
      <c r="T942">
        <v>6</v>
      </c>
      <c r="U942">
        <v>2</v>
      </c>
      <c r="V942">
        <v>3</v>
      </c>
      <c r="W942">
        <v>5</v>
      </c>
      <c r="X942">
        <v>2</v>
      </c>
      <c r="Y942">
        <v>0</v>
      </c>
      <c r="Z942">
        <v>3</v>
      </c>
      <c r="AA942">
        <v>1</v>
      </c>
      <c r="AB942" s="1" t="s">
        <v>36</v>
      </c>
      <c r="AC942" t="s">
        <v>46</v>
      </c>
      <c r="AD942" t="s">
        <v>53</v>
      </c>
      <c r="AE942" s="2">
        <v>780.8</v>
      </c>
    </row>
    <row r="943" spans="1:31" x14ac:dyDescent="0.35">
      <c r="A943">
        <v>30</v>
      </c>
      <c r="B943" s="1" t="s">
        <v>39</v>
      </c>
      <c r="C943" s="1" t="s">
        <v>40</v>
      </c>
      <c r="D943">
        <v>6</v>
      </c>
      <c r="E943">
        <v>3</v>
      </c>
      <c r="F943" s="1" t="s">
        <v>61</v>
      </c>
      <c r="G943">
        <v>1</v>
      </c>
      <c r="H943" s="1" t="s">
        <v>33</v>
      </c>
      <c r="I943">
        <v>2</v>
      </c>
      <c r="J943">
        <v>2</v>
      </c>
      <c r="K943" s="1" t="s">
        <v>45</v>
      </c>
      <c r="L943">
        <v>4</v>
      </c>
      <c r="M943" s="1" t="s">
        <v>43</v>
      </c>
      <c r="N943">
        <v>4627</v>
      </c>
      <c r="O943">
        <v>0</v>
      </c>
      <c r="P943" s="1" t="s">
        <v>39</v>
      </c>
      <c r="Q943">
        <v>12</v>
      </c>
      <c r="R943">
        <v>1</v>
      </c>
      <c r="S943">
        <v>1</v>
      </c>
      <c r="T943">
        <v>10</v>
      </c>
      <c r="U943">
        <v>6</v>
      </c>
      <c r="V943">
        <v>3</v>
      </c>
      <c r="W943">
        <v>9</v>
      </c>
      <c r="X943">
        <v>2</v>
      </c>
      <c r="Y943">
        <v>6</v>
      </c>
      <c r="Z943">
        <v>7</v>
      </c>
      <c r="AA943">
        <v>0</v>
      </c>
      <c r="AB943" s="1" t="s">
        <v>48</v>
      </c>
      <c r="AC943" t="s">
        <v>37</v>
      </c>
      <c r="AD943" t="s">
        <v>38</v>
      </c>
      <c r="AE943" s="2">
        <v>514.11111111111109</v>
      </c>
    </row>
    <row r="944" spans="1:31" x14ac:dyDescent="0.35">
      <c r="A944">
        <v>36</v>
      </c>
      <c r="B944" s="1" t="s">
        <v>39</v>
      </c>
      <c r="C944" s="1" t="s">
        <v>40</v>
      </c>
      <c r="D944">
        <v>10</v>
      </c>
      <c r="E944">
        <v>4</v>
      </c>
      <c r="F944" s="1" t="s">
        <v>61</v>
      </c>
      <c r="G944">
        <v>4</v>
      </c>
      <c r="H944" s="1" t="s">
        <v>33</v>
      </c>
      <c r="I944">
        <v>3</v>
      </c>
      <c r="J944">
        <v>3</v>
      </c>
      <c r="K944" s="1" t="s">
        <v>52</v>
      </c>
      <c r="L944">
        <v>3</v>
      </c>
      <c r="M944" s="1" t="s">
        <v>43</v>
      </c>
      <c r="N944">
        <v>7094</v>
      </c>
      <c r="O944">
        <v>3</v>
      </c>
      <c r="P944" s="1" t="s">
        <v>39</v>
      </c>
      <c r="Q944">
        <v>12</v>
      </c>
      <c r="R944">
        <v>1</v>
      </c>
      <c r="S944">
        <v>0</v>
      </c>
      <c r="T944">
        <v>10</v>
      </c>
      <c r="U944">
        <v>0</v>
      </c>
      <c r="V944">
        <v>3</v>
      </c>
      <c r="W944">
        <v>7</v>
      </c>
      <c r="X944">
        <v>7</v>
      </c>
      <c r="Y944">
        <v>1</v>
      </c>
      <c r="Z944">
        <v>7</v>
      </c>
      <c r="AA944">
        <v>0</v>
      </c>
      <c r="AB944" s="1" t="s">
        <v>36</v>
      </c>
      <c r="AC944" t="s">
        <v>37</v>
      </c>
      <c r="AD944" t="s">
        <v>38</v>
      </c>
      <c r="AE944" s="2">
        <v>1013.4285714285714</v>
      </c>
    </row>
    <row r="945" spans="1:31" x14ac:dyDescent="0.35">
      <c r="A945">
        <v>46</v>
      </c>
      <c r="B945" s="1" t="s">
        <v>39</v>
      </c>
      <c r="C945" s="1" t="s">
        <v>62</v>
      </c>
      <c r="D945">
        <v>1</v>
      </c>
      <c r="E945">
        <v>2</v>
      </c>
      <c r="F945" s="1" t="s">
        <v>32</v>
      </c>
      <c r="G945">
        <v>4</v>
      </c>
      <c r="H945" s="1" t="s">
        <v>33</v>
      </c>
      <c r="I945">
        <v>3</v>
      </c>
      <c r="J945">
        <v>1</v>
      </c>
      <c r="K945" s="1" t="s">
        <v>62</v>
      </c>
      <c r="L945">
        <v>1</v>
      </c>
      <c r="M945" s="1" t="s">
        <v>35</v>
      </c>
      <c r="N945">
        <v>3423</v>
      </c>
      <c r="O945">
        <v>6</v>
      </c>
      <c r="P945" s="1" t="s">
        <v>39</v>
      </c>
      <c r="Q945">
        <v>12</v>
      </c>
      <c r="R945">
        <v>3</v>
      </c>
      <c r="S945">
        <v>0</v>
      </c>
      <c r="T945">
        <v>10</v>
      </c>
      <c r="U945">
        <v>3</v>
      </c>
      <c r="V945">
        <v>4</v>
      </c>
      <c r="W945">
        <v>7</v>
      </c>
      <c r="X945">
        <v>6</v>
      </c>
      <c r="Y945">
        <v>5</v>
      </c>
      <c r="Z945">
        <v>7</v>
      </c>
      <c r="AA945">
        <v>0</v>
      </c>
      <c r="AB945" s="1" t="s">
        <v>82</v>
      </c>
      <c r="AC945" t="s">
        <v>46</v>
      </c>
      <c r="AD945" t="s">
        <v>38</v>
      </c>
      <c r="AE945" s="2">
        <v>489</v>
      </c>
    </row>
    <row r="946" spans="1:31" x14ac:dyDescent="0.35">
      <c r="A946">
        <v>28</v>
      </c>
      <c r="B946" s="1" t="s">
        <v>39</v>
      </c>
      <c r="C946" s="1" t="s">
        <v>40</v>
      </c>
      <c r="D946">
        <v>1</v>
      </c>
      <c r="E946">
        <v>3</v>
      </c>
      <c r="F946" s="1" t="s">
        <v>32</v>
      </c>
      <c r="G946">
        <v>3</v>
      </c>
      <c r="H946" s="1" t="s">
        <v>33</v>
      </c>
      <c r="I946">
        <v>1</v>
      </c>
      <c r="J946">
        <v>2</v>
      </c>
      <c r="K946" s="1" t="s">
        <v>45</v>
      </c>
      <c r="L946">
        <v>4</v>
      </c>
      <c r="M946" s="1" t="s">
        <v>43</v>
      </c>
      <c r="N946">
        <v>6674</v>
      </c>
      <c r="O946">
        <v>0</v>
      </c>
      <c r="P946" s="1" t="s">
        <v>39</v>
      </c>
      <c r="Q946">
        <v>11</v>
      </c>
      <c r="R946">
        <v>1</v>
      </c>
      <c r="S946">
        <v>3</v>
      </c>
      <c r="T946">
        <v>10</v>
      </c>
      <c r="U946">
        <v>6</v>
      </c>
      <c r="V946">
        <v>3</v>
      </c>
      <c r="W946">
        <v>9</v>
      </c>
      <c r="X946">
        <v>8</v>
      </c>
      <c r="Y946">
        <v>7</v>
      </c>
      <c r="Z946">
        <v>5</v>
      </c>
      <c r="AA946">
        <v>0</v>
      </c>
      <c r="AB946" s="1" t="s">
        <v>48</v>
      </c>
      <c r="AC946" t="s">
        <v>37</v>
      </c>
      <c r="AD946" t="s">
        <v>38</v>
      </c>
      <c r="AE946" s="2">
        <v>741.55555555555554</v>
      </c>
    </row>
    <row r="947" spans="1:31" x14ac:dyDescent="0.35">
      <c r="A947">
        <v>50</v>
      </c>
      <c r="B947" s="1" t="s">
        <v>39</v>
      </c>
      <c r="C947" s="1" t="s">
        <v>40</v>
      </c>
      <c r="D947">
        <v>28</v>
      </c>
      <c r="E947">
        <v>3</v>
      </c>
      <c r="F947" s="1" t="s">
        <v>32</v>
      </c>
      <c r="G947">
        <v>4</v>
      </c>
      <c r="H947" s="1" t="s">
        <v>33</v>
      </c>
      <c r="I947">
        <v>3</v>
      </c>
      <c r="J947">
        <v>4</v>
      </c>
      <c r="K947" s="1" t="s">
        <v>59</v>
      </c>
      <c r="L947">
        <v>1</v>
      </c>
      <c r="M947" s="1" t="s">
        <v>43</v>
      </c>
      <c r="N947">
        <v>16880</v>
      </c>
      <c r="O947">
        <v>4</v>
      </c>
      <c r="P947" s="1" t="s">
        <v>30</v>
      </c>
      <c r="Q947">
        <v>11</v>
      </c>
      <c r="R947">
        <v>2</v>
      </c>
      <c r="S947">
        <v>0</v>
      </c>
      <c r="T947">
        <v>25</v>
      </c>
      <c r="U947">
        <v>2</v>
      </c>
      <c r="V947">
        <v>3</v>
      </c>
      <c r="W947">
        <v>3</v>
      </c>
      <c r="X947">
        <v>2</v>
      </c>
      <c r="Y947">
        <v>1</v>
      </c>
      <c r="Z947">
        <v>2</v>
      </c>
      <c r="AA947">
        <v>0</v>
      </c>
      <c r="AB947" s="1" t="s">
        <v>82</v>
      </c>
      <c r="AC947" t="s">
        <v>56</v>
      </c>
      <c r="AD947" t="s">
        <v>53</v>
      </c>
      <c r="AE947" s="2">
        <v>5626.666666666667</v>
      </c>
    </row>
    <row r="948" spans="1:31" x14ac:dyDescent="0.35">
      <c r="A948">
        <v>40</v>
      </c>
      <c r="B948" s="1" t="s">
        <v>30</v>
      </c>
      <c r="C948" s="1" t="s">
        <v>31</v>
      </c>
      <c r="D948">
        <v>25</v>
      </c>
      <c r="E948">
        <v>4</v>
      </c>
      <c r="F948" s="1" t="s">
        <v>60</v>
      </c>
      <c r="G948">
        <v>4</v>
      </c>
      <c r="H948" s="1" t="s">
        <v>41</v>
      </c>
      <c r="I948">
        <v>2</v>
      </c>
      <c r="J948">
        <v>3</v>
      </c>
      <c r="K948" s="1" t="s">
        <v>34</v>
      </c>
      <c r="L948">
        <v>2</v>
      </c>
      <c r="M948" s="1" t="s">
        <v>35</v>
      </c>
      <c r="N948">
        <v>9094</v>
      </c>
      <c r="O948">
        <v>2</v>
      </c>
      <c r="P948" s="1" t="s">
        <v>30</v>
      </c>
      <c r="Q948">
        <v>12</v>
      </c>
      <c r="R948">
        <v>3</v>
      </c>
      <c r="S948">
        <v>0</v>
      </c>
      <c r="T948">
        <v>9</v>
      </c>
      <c r="U948">
        <v>2</v>
      </c>
      <c r="V948">
        <v>3</v>
      </c>
      <c r="W948">
        <v>5</v>
      </c>
      <c r="X948">
        <v>4</v>
      </c>
      <c r="Y948">
        <v>1</v>
      </c>
      <c r="Z948">
        <v>0</v>
      </c>
      <c r="AA948">
        <v>1</v>
      </c>
      <c r="AB948" s="1" t="s">
        <v>36</v>
      </c>
      <c r="AC948" t="s">
        <v>37</v>
      </c>
      <c r="AD948" t="s">
        <v>53</v>
      </c>
      <c r="AE948" s="2">
        <v>1818.8</v>
      </c>
    </row>
    <row r="949" spans="1:31" x14ac:dyDescent="0.35">
      <c r="A949">
        <v>52</v>
      </c>
      <c r="B949" s="1" t="s">
        <v>30</v>
      </c>
      <c r="C949" s="1" t="s">
        <v>31</v>
      </c>
      <c r="D949">
        <v>5</v>
      </c>
      <c r="E949">
        <v>3</v>
      </c>
      <c r="F949" s="1" t="s">
        <v>32</v>
      </c>
      <c r="G949">
        <v>2</v>
      </c>
      <c r="H949" s="1" t="s">
        <v>41</v>
      </c>
      <c r="I949">
        <v>3</v>
      </c>
      <c r="J949">
        <v>3</v>
      </c>
      <c r="K949" s="1" t="s">
        <v>34</v>
      </c>
      <c r="L949">
        <v>2</v>
      </c>
      <c r="M949" s="1" t="s">
        <v>35</v>
      </c>
      <c r="N949">
        <v>8446</v>
      </c>
      <c r="O949">
        <v>9</v>
      </c>
      <c r="P949" s="1" t="s">
        <v>30</v>
      </c>
      <c r="Q949">
        <v>19</v>
      </c>
      <c r="R949">
        <v>3</v>
      </c>
      <c r="S949">
        <v>0</v>
      </c>
      <c r="T949">
        <v>10</v>
      </c>
      <c r="U949">
        <v>2</v>
      </c>
      <c r="V949">
        <v>2</v>
      </c>
      <c r="W949">
        <v>8</v>
      </c>
      <c r="X949">
        <v>7</v>
      </c>
      <c r="Y949">
        <v>7</v>
      </c>
      <c r="Z949">
        <v>7</v>
      </c>
      <c r="AA949">
        <v>1</v>
      </c>
      <c r="AB949" s="1" t="s">
        <v>82</v>
      </c>
      <c r="AC949" t="s">
        <v>37</v>
      </c>
      <c r="AD949" t="s">
        <v>38</v>
      </c>
      <c r="AE949" s="2">
        <v>1055.75</v>
      </c>
    </row>
    <row r="950" spans="1:31" x14ac:dyDescent="0.35">
      <c r="A950">
        <v>30</v>
      </c>
      <c r="B950" s="1" t="s">
        <v>39</v>
      </c>
      <c r="C950" s="1" t="s">
        <v>40</v>
      </c>
      <c r="D950">
        <v>17</v>
      </c>
      <c r="E950">
        <v>4</v>
      </c>
      <c r="F950" s="1" t="s">
        <v>49</v>
      </c>
      <c r="G950">
        <v>2</v>
      </c>
      <c r="H950" s="1" t="s">
        <v>33</v>
      </c>
      <c r="I950">
        <v>3</v>
      </c>
      <c r="J950">
        <v>3</v>
      </c>
      <c r="K950" s="1" t="s">
        <v>55</v>
      </c>
      <c r="L950">
        <v>1</v>
      </c>
      <c r="M950" s="1" t="s">
        <v>43</v>
      </c>
      <c r="N950">
        <v>11916</v>
      </c>
      <c r="O950">
        <v>1</v>
      </c>
      <c r="P950" s="1" t="s">
        <v>30</v>
      </c>
      <c r="Q950">
        <v>23</v>
      </c>
      <c r="R950">
        <v>4</v>
      </c>
      <c r="S950">
        <v>2</v>
      </c>
      <c r="T950">
        <v>9</v>
      </c>
      <c r="U950">
        <v>2</v>
      </c>
      <c r="V950">
        <v>3</v>
      </c>
      <c r="W950">
        <v>9</v>
      </c>
      <c r="X950">
        <v>1</v>
      </c>
      <c r="Y950">
        <v>0</v>
      </c>
      <c r="Z950">
        <v>8</v>
      </c>
      <c r="AA950">
        <v>0</v>
      </c>
      <c r="AB950" s="1" t="s">
        <v>48</v>
      </c>
      <c r="AC950" t="s">
        <v>56</v>
      </c>
      <c r="AD950" t="s">
        <v>38</v>
      </c>
      <c r="AE950" s="2">
        <v>1324</v>
      </c>
    </row>
    <row r="951" spans="1:31" x14ac:dyDescent="0.35">
      <c r="A951">
        <v>39</v>
      </c>
      <c r="B951" s="1" t="s">
        <v>39</v>
      </c>
      <c r="C951" s="1" t="s">
        <v>40</v>
      </c>
      <c r="D951">
        <v>18</v>
      </c>
      <c r="E951">
        <v>2</v>
      </c>
      <c r="F951" s="1" t="s">
        <v>32</v>
      </c>
      <c r="G951">
        <v>1</v>
      </c>
      <c r="H951" s="1" t="s">
        <v>41</v>
      </c>
      <c r="I951">
        <v>3</v>
      </c>
      <c r="J951">
        <v>2</v>
      </c>
      <c r="K951" s="1" t="s">
        <v>51</v>
      </c>
      <c r="L951">
        <v>3</v>
      </c>
      <c r="M951" s="1" t="s">
        <v>35</v>
      </c>
      <c r="N951">
        <v>4534</v>
      </c>
      <c r="O951">
        <v>0</v>
      </c>
      <c r="P951" s="1" t="s">
        <v>39</v>
      </c>
      <c r="Q951">
        <v>11</v>
      </c>
      <c r="R951">
        <v>1</v>
      </c>
      <c r="S951">
        <v>0</v>
      </c>
      <c r="T951">
        <v>9</v>
      </c>
      <c r="U951">
        <v>6</v>
      </c>
      <c r="V951">
        <v>3</v>
      </c>
      <c r="W951">
        <v>8</v>
      </c>
      <c r="X951">
        <v>7</v>
      </c>
      <c r="Y951">
        <v>1</v>
      </c>
      <c r="Z951">
        <v>7</v>
      </c>
      <c r="AA951">
        <v>0</v>
      </c>
      <c r="AB951" s="1" t="s">
        <v>36</v>
      </c>
      <c r="AC951" t="s">
        <v>37</v>
      </c>
      <c r="AD951" t="s">
        <v>38</v>
      </c>
      <c r="AE951" s="2">
        <v>566.75</v>
      </c>
    </row>
    <row r="952" spans="1:31" x14ac:dyDescent="0.35">
      <c r="A952">
        <v>31</v>
      </c>
      <c r="B952" s="1" t="s">
        <v>39</v>
      </c>
      <c r="C952" s="1" t="s">
        <v>31</v>
      </c>
      <c r="D952">
        <v>2</v>
      </c>
      <c r="E952">
        <v>4</v>
      </c>
      <c r="F952" s="1" t="s">
        <v>32</v>
      </c>
      <c r="G952">
        <v>4</v>
      </c>
      <c r="H952" s="1" t="s">
        <v>33</v>
      </c>
      <c r="I952">
        <v>3</v>
      </c>
      <c r="J952">
        <v>3</v>
      </c>
      <c r="K952" s="1" t="s">
        <v>34</v>
      </c>
      <c r="L952">
        <v>3</v>
      </c>
      <c r="M952" s="1" t="s">
        <v>50</v>
      </c>
      <c r="N952">
        <v>9852</v>
      </c>
      <c r="O952">
        <v>1</v>
      </c>
      <c r="P952" s="1" t="s">
        <v>30</v>
      </c>
      <c r="Q952">
        <v>19</v>
      </c>
      <c r="R952">
        <v>1</v>
      </c>
      <c r="S952">
        <v>1</v>
      </c>
      <c r="T952">
        <v>10</v>
      </c>
      <c r="U952">
        <v>5</v>
      </c>
      <c r="V952">
        <v>2</v>
      </c>
      <c r="W952">
        <v>10</v>
      </c>
      <c r="X952">
        <v>8</v>
      </c>
      <c r="Y952">
        <v>9</v>
      </c>
      <c r="Z952">
        <v>6</v>
      </c>
      <c r="AA952">
        <v>0</v>
      </c>
      <c r="AB952" s="1" t="s">
        <v>48</v>
      </c>
      <c r="AC952" t="s">
        <v>37</v>
      </c>
      <c r="AD952" t="s">
        <v>38</v>
      </c>
      <c r="AE952" s="2">
        <v>985.2</v>
      </c>
    </row>
    <row r="953" spans="1:31" x14ac:dyDescent="0.35">
      <c r="A953">
        <v>41</v>
      </c>
      <c r="B953" s="1" t="s">
        <v>39</v>
      </c>
      <c r="C953" s="1" t="s">
        <v>31</v>
      </c>
      <c r="D953">
        <v>10</v>
      </c>
      <c r="E953">
        <v>2</v>
      </c>
      <c r="F953" s="1" t="s">
        <v>49</v>
      </c>
      <c r="G953">
        <v>3</v>
      </c>
      <c r="H953" s="1" t="s">
        <v>41</v>
      </c>
      <c r="I953">
        <v>1</v>
      </c>
      <c r="J953">
        <v>2</v>
      </c>
      <c r="K953" s="1" t="s">
        <v>34</v>
      </c>
      <c r="L953">
        <v>2</v>
      </c>
      <c r="M953" s="1" t="s">
        <v>35</v>
      </c>
      <c r="N953">
        <v>6151</v>
      </c>
      <c r="O953">
        <v>1</v>
      </c>
      <c r="P953" s="1" t="s">
        <v>39</v>
      </c>
      <c r="Q953">
        <v>13</v>
      </c>
      <c r="R953">
        <v>1</v>
      </c>
      <c r="S953">
        <v>0</v>
      </c>
      <c r="T953">
        <v>19</v>
      </c>
      <c r="U953">
        <v>4</v>
      </c>
      <c r="V953">
        <v>3</v>
      </c>
      <c r="W953">
        <v>19</v>
      </c>
      <c r="X953">
        <v>2</v>
      </c>
      <c r="Y953">
        <v>11</v>
      </c>
      <c r="Z953">
        <v>9</v>
      </c>
      <c r="AA953">
        <v>0</v>
      </c>
      <c r="AB953" s="1" t="s">
        <v>36</v>
      </c>
      <c r="AC953" t="s">
        <v>37</v>
      </c>
      <c r="AD953" t="s">
        <v>57</v>
      </c>
      <c r="AE953" s="2">
        <v>323.73684210526318</v>
      </c>
    </row>
    <row r="954" spans="1:31" x14ac:dyDescent="0.35">
      <c r="A954">
        <v>31</v>
      </c>
      <c r="B954" s="1" t="s">
        <v>30</v>
      </c>
      <c r="C954" s="1" t="s">
        <v>31</v>
      </c>
      <c r="D954">
        <v>1</v>
      </c>
      <c r="E954">
        <v>3</v>
      </c>
      <c r="F954" s="1" t="s">
        <v>32</v>
      </c>
      <c r="G954">
        <v>4</v>
      </c>
      <c r="H954" s="1" t="s">
        <v>33</v>
      </c>
      <c r="I954">
        <v>3</v>
      </c>
      <c r="J954">
        <v>1</v>
      </c>
      <c r="K954" s="1" t="s">
        <v>58</v>
      </c>
      <c r="L954">
        <v>2</v>
      </c>
      <c r="M954" s="1" t="s">
        <v>35</v>
      </c>
      <c r="N954">
        <v>2302</v>
      </c>
      <c r="O954">
        <v>1</v>
      </c>
      <c r="P954" s="1" t="s">
        <v>30</v>
      </c>
      <c r="Q954">
        <v>11</v>
      </c>
      <c r="R954">
        <v>1</v>
      </c>
      <c r="S954">
        <v>0</v>
      </c>
      <c r="T954">
        <v>3</v>
      </c>
      <c r="U954">
        <v>2</v>
      </c>
      <c r="V954">
        <v>4</v>
      </c>
      <c r="W954">
        <v>3</v>
      </c>
      <c r="X954">
        <v>2</v>
      </c>
      <c r="Y954">
        <v>2</v>
      </c>
      <c r="Z954">
        <v>2</v>
      </c>
      <c r="AA954">
        <v>1</v>
      </c>
      <c r="AB954" s="1" t="s">
        <v>48</v>
      </c>
      <c r="AC954" t="s">
        <v>46</v>
      </c>
      <c r="AD954" t="s">
        <v>53</v>
      </c>
      <c r="AE954" s="2">
        <v>767.33333333333337</v>
      </c>
    </row>
    <row r="955" spans="1:31" x14ac:dyDescent="0.35">
      <c r="A955">
        <v>44</v>
      </c>
      <c r="B955" s="1" t="s">
        <v>30</v>
      </c>
      <c r="C955" s="1" t="s">
        <v>40</v>
      </c>
      <c r="D955">
        <v>3</v>
      </c>
      <c r="E955">
        <v>3</v>
      </c>
      <c r="F955" s="1" t="s">
        <v>32</v>
      </c>
      <c r="G955">
        <v>1</v>
      </c>
      <c r="H955" s="1" t="s">
        <v>41</v>
      </c>
      <c r="I955">
        <v>3</v>
      </c>
      <c r="J955">
        <v>1</v>
      </c>
      <c r="K955" s="1" t="s">
        <v>45</v>
      </c>
      <c r="L955">
        <v>1</v>
      </c>
      <c r="M955" s="1" t="s">
        <v>43</v>
      </c>
      <c r="N955">
        <v>2362</v>
      </c>
      <c r="O955">
        <v>4</v>
      </c>
      <c r="P955" s="1" t="s">
        <v>39</v>
      </c>
      <c r="Q955">
        <v>12</v>
      </c>
      <c r="R955">
        <v>3</v>
      </c>
      <c r="S955">
        <v>0</v>
      </c>
      <c r="T955">
        <v>10</v>
      </c>
      <c r="U955">
        <v>4</v>
      </c>
      <c r="V955">
        <v>4</v>
      </c>
      <c r="W955">
        <v>3</v>
      </c>
      <c r="X955">
        <v>2</v>
      </c>
      <c r="Y955">
        <v>1</v>
      </c>
      <c r="Z955">
        <v>2</v>
      </c>
      <c r="AA955">
        <v>1</v>
      </c>
      <c r="AB955" s="1" t="s">
        <v>36</v>
      </c>
      <c r="AC955" t="s">
        <v>46</v>
      </c>
      <c r="AD955" t="s">
        <v>53</v>
      </c>
      <c r="AE955" s="2">
        <v>787.33333333333337</v>
      </c>
    </row>
    <row r="956" spans="1:31" x14ac:dyDescent="0.35">
      <c r="A956">
        <v>42</v>
      </c>
      <c r="B956" s="1" t="s">
        <v>39</v>
      </c>
      <c r="C956" s="1" t="s">
        <v>40</v>
      </c>
      <c r="D956">
        <v>2</v>
      </c>
      <c r="E956">
        <v>1</v>
      </c>
      <c r="F956" s="1" t="s">
        <v>32</v>
      </c>
      <c r="G956">
        <v>3</v>
      </c>
      <c r="H956" s="1" t="s">
        <v>41</v>
      </c>
      <c r="I956">
        <v>3</v>
      </c>
      <c r="J956">
        <v>4</v>
      </c>
      <c r="K956" s="1" t="s">
        <v>55</v>
      </c>
      <c r="L956">
        <v>3</v>
      </c>
      <c r="M956" s="1" t="s">
        <v>43</v>
      </c>
      <c r="N956">
        <v>17861</v>
      </c>
      <c r="O956">
        <v>0</v>
      </c>
      <c r="P956" s="1" t="s">
        <v>30</v>
      </c>
      <c r="Q956">
        <v>13</v>
      </c>
      <c r="R956">
        <v>4</v>
      </c>
      <c r="S956">
        <v>0</v>
      </c>
      <c r="T956">
        <v>21</v>
      </c>
      <c r="U956">
        <v>3</v>
      </c>
      <c r="V956">
        <v>2</v>
      </c>
      <c r="W956">
        <v>20</v>
      </c>
      <c r="X956">
        <v>8</v>
      </c>
      <c r="Y956">
        <v>2</v>
      </c>
      <c r="Z956">
        <v>10</v>
      </c>
      <c r="AA956">
        <v>0</v>
      </c>
      <c r="AB956" s="1" t="s">
        <v>36</v>
      </c>
      <c r="AC956" t="s">
        <v>56</v>
      </c>
      <c r="AD956" t="s">
        <v>57</v>
      </c>
      <c r="AE956" s="2">
        <v>893.05</v>
      </c>
    </row>
    <row r="957" spans="1:31" x14ac:dyDescent="0.35">
      <c r="A957">
        <v>55</v>
      </c>
      <c r="B957" s="1" t="s">
        <v>39</v>
      </c>
      <c r="C957" s="1" t="s">
        <v>40</v>
      </c>
      <c r="D957">
        <v>2</v>
      </c>
      <c r="E957">
        <v>2</v>
      </c>
      <c r="F957" s="1" t="s">
        <v>49</v>
      </c>
      <c r="G957">
        <v>4</v>
      </c>
      <c r="H957" s="1" t="s">
        <v>33</v>
      </c>
      <c r="I957">
        <v>1</v>
      </c>
      <c r="J957">
        <v>5</v>
      </c>
      <c r="K957" s="1" t="s">
        <v>55</v>
      </c>
      <c r="L957">
        <v>3</v>
      </c>
      <c r="M957" s="1" t="s">
        <v>43</v>
      </c>
      <c r="N957">
        <v>19187</v>
      </c>
      <c r="O957">
        <v>4</v>
      </c>
      <c r="P957" s="1" t="s">
        <v>39</v>
      </c>
      <c r="Q957">
        <v>14</v>
      </c>
      <c r="R957">
        <v>4</v>
      </c>
      <c r="S957">
        <v>1</v>
      </c>
      <c r="T957">
        <v>23</v>
      </c>
      <c r="U957">
        <v>5</v>
      </c>
      <c r="V957">
        <v>3</v>
      </c>
      <c r="W957">
        <v>19</v>
      </c>
      <c r="X957">
        <v>9</v>
      </c>
      <c r="Y957">
        <v>9</v>
      </c>
      <c r="Z957">
        <v>11</v>
      </c>
      <c r="AA957">
        <v>0</v>
      </c>
      <c r="AB957" s="1" t="s">
        <v>82</v>
      </c>
      <c r="AC957" t="s">
        <v>56</v>
      </c>
      <c r="AD957" t="s">
        <v>57</v>
      </c>
      <c r="AE957" s="2">
        <v>1009.8421052631579</v>
      </c>
    </row>
    <row r="958" spans="1:31" x14ac:dyDescent="0.35">
      <c r="A958">
        <v>56</v>
      </c>
      <c r="B958" s="1" t="s">
        <v>39</v>
      </c>
      <c r="C958" s="1" t="s">
        <v>62</v>
      </c>
      <c r="D958">
        <v>8</v>
      </c>
      <c r="E958">
        <v>4</v>
      </c>
      <c r="F958" s="1" t="s">
        <v>32</v>
      </c>
      <c r="G958">
        <v>4</v>
      </c>
      <c r="H958" s="1" t="s">
        <v>41</v>
      </c>
      <c r="I958">
        <v>3</v>
      </c>
      <c r="J958">
        <v>5</v>
      </c>
      <c r="K958" s="1" t="s">
        <v>55</v>
      </c>
      <c r="L958">
        <v>2</v>
      </c>
      <c r="M958" s="1" t="s">
        <v>35</v>
      </c>
      <c r="N958">
        <v>19717</v>
      </c>
      <c r="O958">
        <v>6</v>
      </c>
      <c r="P958" s="1" t="s">
        <v>39</v>
      </c>
      <c r="Q958">
        <v>14</v>
      </c>
      <c r="R958">
        <v>1</v>
      </c>
      <c r="S958">
        <v>0</v>
      </c>
      <c r="T958">
        <v>36</v>
      </c>
      <c r="U958">
        <v>4</v>
      </c>
      <c r="V958">
        <v>3</v>
      </c>
      <c r="W958">
        <v>7</v>
      </c>
      <c r="X958">
        <v>3</v>
      </c>
      <c r="Y958">
        <v>7</v>
      </c>
      <c r="Z958">
        <v>7</v>
      </c>
      <c r="AA958">
        <v>0</v>
      </c>
      <c r="AB958" s="1" t="s">
        <v>82</v>
      </c>
      <c r="AC958" t="s">
        <v>56</v>
      </c>
      <c r="AD958" t="s">
        <v>38</v>
      </c>
      <c r="AE958" s="2">
        <v>2816.7142857142858</v>
      </c>
    </row>
    <row r="959" spans="1:31" x14ac:dyDescent="0.35">
      <c r="A959">
        <v>40</v>
      </c>
      <c r="B959" s="1" t="s">
        <v>39</v>
      </c>
      <c r="C959" s="1" t="s">
        <v>40</v>
      </c>
      <c r="D959">
        <v>16</v>
      </c>
      <c r="E959">
        <v>2</v>
      </c>
      <c r="F959" s="1" t="s">
        <v>32</v>
      </c>
      <c r="G959">
        <v>3</v>
      </c>
      <c r="H959" s="1" t="s">
        <v>41</v>
      </c>
      <c r="I959">
        <v>3</v>
      </c>
      <c r="J959">
        <v>1</v>
      </c>
      <c r="K959" s="1" t="s">
        <v>42</v>
      </c>
      <c r="L959">
        <v>3</v>
      </c>
      <c r="M959" s="1" t="s">
        <v>50</v>
      </c>
      <c r="N959">
        <v>3544</v>
      </c>
      <c r="O959">
        <v>9</v>
      </c>
      <c r="P959" s="1" t="s">
        <v>39</v>
      </c>
      <c r="Q959">
        <v>16</v>
      </c>
      <c r="R959">
        <v>2</v>
      </c>
      <c r="S959">
        <v>1</v>
      </c>
      <c r="T959">
        <v>6</v>
      </c>
      <c r="U959">
        <v>0</v>
      </c>
      <c r="V959">
        <v>3</v>
      </c>
      <c r="W959">
        <v>4</v>
      </c>
      <c r="X959">
        <v>2</v>
      </c>
      <c r="Y959">
        <v>0</v>
      </c>
      <c r="Z959">
        <v>0</v>
      </c>
      <c r="AA959">
        <v>0</v>
      </c>
      <c r="AB959" s="1" t="s">
        <v>36</v>
      </c>
      <c r="AC959" t="s">
        <v>46</v>
      </c>
      <c r="AD959" t="s">
        <v>53</v>
      </c>
      <c r="AE959" s="2">
        <v>886</v>
      </c>
    </row>
    <row r="960" spans="1:31" x14ac:dyDescent="0.35">
      <c r="A960">
        <v>34</v>
      </c>
      <c r="B960" s="1" t="s">
        <v>39</v>
      </c>
      <c r="C960" s="1" t="s">
        <v>40</v>
      </c>
      <c r="D960">
        <v>9</v>
      </c>
      <c r="E960">
        <v>3</v>
      </c>
      <c r="F960" s="1" t="s">
        <v>32</v>
      </c>
      <c r="G960">
        <v>4</v>
      </c>
      <c r="H960" s="1" t="s">
        <v>41</v>
      </c>
      <c r="I960">
        <v>3</v>
      </c>
      <c r="J960">
        <v>3</v>
      </c>
      <c r="K960" s="1" t="s">
        <v>52</v>
      </c>
      <c r="L960">
        <v>4</v>
      </c>
      <c r="M960" s="1" t="s">
        <v>50</v>
      </c>
      <c r="N960">
        <v>8500</v>
      </c>
      <c r="O960">
        <v>0</v>
      </c>
      <c r="P960" s="1" t="s">
        <v>39</v>
      </c>
      <c r="Q960">
        <v>11</v>
      </c>
      <c r="R960">
        <v>4</v>
      </c>
      <c r="S960">
        <v>1</v>
      </c>
      <c r="T960">
        <v>10</v>
      </c>
      <c r="U960">
        <v>0</v>
      </c>
      <c r="V960">
        <v>2</v>
      </c>
      <c r="W960">
        <v>9</v>
      </c>
      <c r="X960">
        <v>7</v>
      </c>
      <c r="Y960">
        <v>1</v>
      </c>
      <c r="Z960">
        <v>6</v>
      </c>
      <c r="AA960">
        <v>0</v>
      </c>
      <c r="AB960" s="1" t="s">
        <v>48</v>
      </c>
      <c r="AC960" t="s">
        <v>37</v>
      </c>
      <c r="AD960" t="s">
        <v>38</v>
      </c>
      <c r="AE960" s="2">
        <v>944.44444444444446</v>
      </c>
    </row>
    <row r="961" spans="1:31" x14ac:dyDescent="0.35">
      <c r="A961">
        <v>40</v>
      </c>
      <c r="B961" s="1" t="s">
        <v>39</v>
      </c>
      <c r="C961" s="1" t="s">
        <v>40</v>
      </c>
      <c r="D961">
        <v>2</v>
      </c>
      <c r="E961">
        <v>3</v>
      </c>
      <c r="F961" s="1" t="s">
        <v>32</v>
      </c>
      <c r="G961">
        <v>3</v>
      </c>
      <c r="H961" s="1" t="s">
        <v>41</v>
      </c>
      <c r="I961">
        <v>3</v>
      </c>
      <c r="J961">
        <v>2</v>
      </c>
      <c r="K961" s="1" t="s">
        <v>42</v>
      </c>
      <c r="L961">
        <v>4</v>
      </c>
      <c r="M961" s="1" t="s">
        <v>35</v>
      </c>
      <c r="N961">
        <v>4661</v>
      </c>
      <c r="O961">
        <v>1</v>
      </c>
      <c r="P961" s="1" t="s">
        <v>39</v>
      </c>
      <c r="Q961">
        <v>13</v>
      </c>
      <c r="R961">
        <v>3</v>
      </c>
      <c r="S961">
        <v>0</v>
      </c>
      <c r="T961">
        <v>9</v>
      </c>
      <c r="U961">
        <v>4</v>
      </c>
      <c r="V961">
        <v>3</v>
      </c>
      <c r="W961">
        <v>9</v>
      </c>
      <c r="X961">
        <v>8</v>
      </c>
      <c r="Y961">
        <v>8</v>
      </c>
      <c r="Z961">
        <v>8</v>
      </c>
      <c r="AA961">
        <v>0</v>
      </c>
      <c r="AB961" s="1" t="s">
        <v>36</v>
      </c>
      <c r="AC961" t="s">
        <v>37</v>
      </c>
      <c r="AD961" t="s">
        <v>38</v>
      </c>
      <c r="AE961" s="2">
        <v>517.88888888888891</v>
      </c>
    </row>
    <row r="962" spans="1:31" x14ac:dyDescent="0.35">
      <c r="A962">
        <v>41</v>
      </c>
      <c r="B962" s="1" t="s">
        <v>39</v>
      </c>
      <c r="C962" s="1" t="s">
        <v>31</v>
      </c>
      <c r="D962">
        <v>1</v>
      </c>
      <c r="E962">
        <v>3</v>
      </c>
      <c r="F962" s="1" t="s">
        <v>60</v>
      </c>
      <c r="G962">
        <v>3</v>
      </c>
      <c r="H962" s="1" t="s">
        <v>33</v>
      </c>
      <c r="I962">
        <v>3</v>
      </c>
      <c r="J962">
        <v>2</v>
      </c>
      <c r="K962" s="1" t="s">
        <v>34</v>
      </c>
      <c r="L962">
        <v>1</v>
      </c>
      <c r="M962" s="1" t="s">
        <v>50</v>
      </c>
      <c r="N962">
        <v>4103</v>
      </c>
      <c r="O962">
        <v>0</v>
      </c>
      <c r="P962" s="1" t="s">
        <v>39</v>
      </c>
      <c r="Q962">
        <v>17</v>
      </c>
      <c r="R962">
        <v>4</v>
      </c>
      <c r="S962">
        <v>1</v>
      </c>
      <c r="T962">
        <v>10</v>
      </c>
      <c r="U962">
        <v>2</v>
      </c>
      <c r="V962">
        <v>3</v>
      </c>
      <c r="W962">
        <v>9</v>
      </c>
      <c r="X962">
        <v>3</v>
      </c>
      <c r="Y962">
        <v>1</v>
      </c>
      <c r="Z962">
        <v>7</v>
      </c>
      <c r="AA962">
        <v>0</v>
      </c>
      <c r="AB962" s="1" t="s">
        <v>36</v>
      </c>
      <c r="AC962" t="s">
        <v>37</v>
      </c>
      <c r="AD962" t="s">
        <v>38</v>
      </c>
      <c r="AE962" s="2">
        <v>455.88888888888891</v>
      </c>
    </row>
    <row r="963" spans="1:31" x14ac:dyDescent="0.35">
      <c r="A963">
        <v>35</v>
      </c>
      <c r="B963" s="1" t="s">
        <v>39</v>
      </c>
      <c r="C963" s="1" t="s">
        <v>40</v>
      </c>
      <c r="D963">
        <v>4</v>
      </c>
      <c r="E963">
        <v>4</v>
      </c>
      <c r="F963" s="1" t="s">
        <v>32</v>
      </c>
      <c r="G963">
        <v>3</v>
      </c>
      <c r="H963" s="1" t="s">
        <v>41</v>
      </c>
      <c r="I963">
        <v>3</v>
      </c>
      <c r="J963">
        <v>2</v>
      </c>
      <c r="K963" s="1" t="s">
        <v>42</v>
      </c>
      <c r="L963">
        <v>3</v>
      </c>
      <c r="M963" s="1" t="s">
        <v>35</v>
      </c>
      <c r="N963">
        <v>4249</v>
      </c>
      <c r="O963">
        <v>1</v>
      </c>
      <c r="P963" s="1" t="s">
        <v>30</v>
      </c>
      <c r="Q963">
        <v>11</v>
      </c>
      <c r="R963">
        <v>2</v>
      </c>
      <c r="S963">
        <v>0</v>
      </c>
      <c r="T963">
        <v>9</v>
      </c>
      <c r="U963">
        <v>3</v>
      </c>
      <c r="V963">
        <v>3</v>
      </c>
      <c r="W963">
        <v>9</v>
      </c>
      <c r="X963">
        <v>6</v>
      </c>
      <c r="Y963">
        <v>1</v>
      </c>
      <c r="Z963">
        <v>1</v>
      </c>
      <c r="AA963">
        <v>0</v>
      </c>
      <c r="AB963" s="1" t="s">
        <v>48</v>
      </c>
      <c r="AC963" t="s">
        <v>37</v>
      </c>
      <c r="AD963" t="s">
        <v>38</v>
      </c>
      <c r="AE963" s="2">
        <v>472.11111111111109</v>
      </c>
    </row>
    <row r="964" spans="1:31" x14ac:dyDescent="0.35">
      <c r="A964">
        <v>51</v>
      </c>
      <c r="B964" s="1" t="s">
        <v>39</v>
      </c>
      <c r="C964" s="1" t="s">
        <v>62</v>
      </c>
      <c r="D964">
        <v>5</v>
      </c>
      <c r="E964">
        <v>3</v>
      </c>
      <c r="F964" s="1" t="s">
        <v>32</v>
      </c>
      <c r="G964">
        <v>3</v>
      </c>
      <c r="H964" s="1" t="s">
        <v>41</v>
      </c>
      <c r="I964">
        <v>3</v>
      </c>
      <c r="J964">
        <v>4</v>
      </c>
      <c r="K964" s="1" t="s">
        <v>55</v>
      </c>
      <c r="L964">
        <v>2</v>
      </c>
      <c r="M964" s="1" t="s">
        <v>50</v>
      </c>
      <c r="N964">
        <v>14026</v>
      </c>
      <c r="O964">
        <v>1</v>
      </c>
      <c r="P964" s="1" t="s">
        <v>30</v>
      </c>
      <c r="Q964">
        <v>11</v>
      </c>
      <c r="R964">
        <v>2</v>
      </c>
      <c r="S964">
        <v>1</v>
      </c>
      <c r="T964">
        <v>33</v>
      </c>
      <c r="U964">
        <v>2</v>
      </c>
      <c r="V964">
        <v>3</v>
      </c>
      <c r="W964">
        <v>33</v>
      </c>
      <c r="X964">
        <v>9</v>
      </c>
      <c r="Y964">
        <v>0</v>
      </c>
      <c r="Z964">
        <v>10</v>
      </c>
      <c r="AA964">
        <v>0</v>
      </c>
      <c r="AB964" s="1" t="s">
        <v>82</v>
      </c>
      <c r="AC964" t="s">
        <v>56</v>
      </c>
      <c r="AD964" t="s">
        <v>57</v>
      </c>
      <c r="AE964" s="2">
        <v>425.030303030303</v>
      </c>
    </row>
    <row r="965" spans="1:31" x14ac:dyDescent="0.35">
      <c r="A965">
        <v>38</v>
      </c>
      <c r="B965" s="1" t="s">
        <v>39</v>
      </c>
      <c r="C965" s="1" t="s">
        <v>31</v>
      </c>
      <c r="D965">
        <v>2</v>
      </c>
      <c r="E965">
        <v>2</v>
      </c>
      <c r="F965" s="1" t="s">
        <v>32</v>
      </c>
      <c r="G965">
        <v>2</v>
      </c>
      <c r="H965" s="1" t="s">
        <v>33</v>
      </c>
      <c r="I965">
        <v>3</v>
      </c>
      <c r="J965">
        <v>2</v>
      </c>
      <c r="K965" s="1" t="s">
        <v>34</v>
      </c>
      <c r="L965">
        <v>1</v>
      </c>
      <c r="M965" s="1" t="s">
        <v>50</v>
      </c>
      <c r="N965">
        <v>6893</v>
      </c>
      <c r="O965">
        <v>3</v>
      </c>
      <c r="P965" s="1" t="s">
        <v>39</v>
      </c>
      <c r="Q965">
        <v>15</v>
      </c>
      <c r="R965">
        <v>4</v>
      </c>
      <c r="S965">
        <v>1</v>
      </c>
      <c r="T965">
        <v>11</v>
      </c>
      <c r="U965">
        <v>3</v>
      </c>
      <c r="V965">
        <v>3</v>
      </c>
      <c r="W965">
        <v>7</v>
      </c>
      <c r="X965">
        <v>7</v>
      </c>
      <c r="Y965">
        <v>1</v>
      </c>
      <c r="Z965">
        <v>7</v>
      </c>
      <c r="AA965">
        <v>0</v>
      </c>
      <c r="AB965" s="1" t="s">
        <v>36</v>
      </c>
      <c r="AC965" t="s">
        <v>37</v>
      </c>
      <c r="AD965" t="s">
        <v>38</v>
      </c>
      <c r="AE965" s="2">
        <v>984.71428571428567</v>
      </c>
    </row>
    <row r="966" spans="1:31" x14ac:dyDescent="0.35">
      <c r="A966">
        <v>34</v>
      </c>
      <c r="B966" s="1" t="s">
        <v>39</v>
      </c>
      <c r="C966" s="1" t="s">
        <v>31</v>
      </c>
      <c r="D966">
        <v>15</v>
      </c>
      <c r="E966">
        <v>2</v>
      </c>
      <c r="F966" s="1" t="s">
        <v>49</v>
      </c>
      <c r="G966">
        <v>3</v>
      </c>
      <c r="H966" s="1" t="s">
        <v>33</v>
      </c>
      <c r="I966">
        <v>3</v>
      </c>
      <c r="J966">
        <v>2</v>
      </c>
      <c r="K966" s="1" t="s">
        <v>34</v>
      </c>
      <c r="L966">
        <v>1</v>
      </c>
      <c r="M966" s="1" t="s">
        <v>35</v>
      </c>
      <c r="N966">
        <v>6125</v>
      </c>
      <c r="O966">
        <v>1</v>
      </c>
      <c r="P966" s="1" t="s">
        <v>39</v>
      </c>
      <c r="Q966">
        <v>12</v>
      </c>
      <c r="R966">
        <v>4</v>
      </c>
      <c r="S966">
        <v>0</v>
      </c>
      <c r="T966">
        <v>10</v>
      </c>
      <c r="U966">
        <v>6</v>
      </c>
      <c r="V966">
        <v>4</v>
      </c>
      <c r="W966">
        <v>10</v>
      </c>
      <c r="X966">
        <v>8</v>
      </c>
      <c r="Y966">
        <v>9</v>
      </c>
      <c r="Z966">
        <v>6</v>
      </c>
      <c r="AA966">
        <v>0</v>
      </c>
      <c r="AB966" s="1" t="s">
        <v>48</v>
      </c>
      <c r="AC966" t="s">
        <v>37</v>
      </c>
      <c r="AD966" t="s">
        <v>38</v>
      </c>
      <c r="AE966" s="2">
        <v>612.5</v>
      </c>
    </row>
    <row r="967" spans="1:31" x14ac:dyDescent="0.35">
      <c r="A967">
        <v>25</v>
      </c>
      <c r="B967" s="1" t="s">
        <v>39</v>
      </c>
      <c r="C967" s="1" t="s">
        <v>40</v>
      </c>
      <c r="D967">
        <v>19</v>
      </c>
      <c r="E967">
        <v>1</v>
      </c>
      <c r="F967" s="1" t="s">
        <v>49</v>
      </c>
      <c r="G967">
        <v>4</v>
      </c>
      <c r="H967" s="1" t="s">
        <v>41</v>
      </c>
      <c r="I967">
        <v>3</v>
      </c>
      <c r="J967">
        <v>1</v>
      </c>
      <c r="K967" s="1" t="s">
        <v>45</v>
      </c>
      <c r="L967">
        <v>4</v>
      </c>
      <c r="M967" s="1" t="s">
        <v>43</v>
      </c>
      <c r="N967">
        <v>3669</v>
      </c>
      <c r="O967">
        <v>3</v>
      </c>
      <c r="P967" s="1" t="s">
        <v>39</v>
      </c>
      <c r="Q967">
        <v>11</v>
      </c>
      <c r="R967">
        <v>3</v>
      </c>
      <c r="S967">
        <v>3</v>
      </c>
      <c r="T967">
        <v>7</v>
      </c>
      <c r="U967">
        <v>6</v>
      </c>
      <c r="V967">
        <v>2</v>
      </c>
      <c r="W967">
        <v>3</v>
      </c>
      <c r="X967">
        <v>2</v>
      </c>
      <c r="Y967">
        <v>1</v>
      </c>
      <c r="Z967">
        <v>2</v>
      </c>
      <c r="AA967">
        <v>0</v>
      </c>
      <c r="AB967" s="1" t="s">
        <v>54</v>
      </c>
      <c r="AC967" t="s">
        <v>46</v>
      </c>
      <c r="AD967" t="s">
        <v>53</v>
      </c>
      <c r="AE967" s="2">
        <v>1223</v>
      </c>
    </row>
    <row r="968" spans="1:31" x14ac:dyDescent="0.35">
      <c r="A968">
        <v>58</v>
      </c>
      <c r="B968" s="1" t="s">
        <v>30</v>
      </c>
      <c r="C968" s="1" t="s">
        <v>40</v>
      </c>
      <c r="D968">
        <v>7</v>
      </c>
      <c r="E968">
        <v>4</v>
      </c>
      <c r="F968" s="1" t="s">
        <v>49</v>
      </c>
      <c r="G968">
        <v>3</v>
      </c>
      <c r="H968" s="1" t="s">
        <v>33</v>
      </c>
      <c r="I968">
        <v>2</v>
      </c>
      <c r="J968">
        <v>3</v>
      </c>
      <c r="K968" s="1" t="s">
        <v>51</v>
      </c>
      <c r="L968">
        <v>1</v>
      </c>
      <c r="M968" s="1" t="s">
        <v>43</v>
      </c>
      <c r="N968">
        <v>10008</v>
      </c>
      <c r="O968">
        <v>7</v>
      </c>
      <c r="P968" s="1" t="s">
        <v>30</v>
      </c>
      <c r="Q968">
        <v>14</v>
      </c>
      <c r="R968">
        <v>4</v>
      </c>
      <c r="S968">
        <v>0</v>
      </c>
      <c r="T968">
        <v>31</v>
      </c>
      <c r="U968">
        <v>0</v>
      </c>
      <c r="V968">
        <v>2</v>
      </c>
      <c r="W968">
        <v>10</v>
      </c>
      <c r="X968">
        <v>9</v>
      </c>
      <c r="Y968">
        <v>5</v>
      </c>
      <c r="Z968">
        <v>9</v>
      </c>
      <c r="AA968">
        <v>1</v>
      </c>
      <c r="AB968" s="1" t="s">
        <v>82</v>
      </c>
      <c r="AC968" t="s">
        <v>56</v>
      </c>
      <c r="AD968" t="s">
        <v>38</v>
      </c>
      <c r="AE968" s="2">
        <v>1000.8</v>
      </c>
    </row>
    <row r="969" spans="1:31" x14ac:dyDescent="0.35">
      <c r="A969">
        <v>40</v>
      </c>
      <c r="B969" s="1" t="s">
        <v>39</v>
      </c>
      <c r="C969" s="1" t="s">
        <v>40</v>
      </c>
      <c r="D969">
        <v>1</v>
      </c>
      <c r="E969">
        <v>4</v>
      </c>
      <c r="F969" s="1" t="s">
        <v>32</v>
      </c>
      <c r="G969">
        <v>2</v>
      </c>
      <c r="H969" s="1" t="s">
        <v>41</v>
      </c>
      <c r="I969">
        <v>3</v>
      </c>
      <c r="J969">
        <v>1</v>
      </c>
      <c r="K969" s="1" t="s">
        <v>45</v>
      </c>
      <c r="L969">
        <v>2</v>
      </c>
      <c r="M969" s="1" t="s">
        <v>43</v>
      </c>
      <c r="N969">
        <v>2387</v>
      </c>
      <c r="O969">
        <v>3</v>
      </c>
      <c r="P969" s="1" t="s">
        <v>39</v>
      </c>
      <c r="Q969">
        <v>22</v>
      </c>
      <c r="R969">
        <v>3</v>
      </c>
      <c r="S969">
        <v>1</v>
      </c>
      <c r="T969">
        <v>7</v>
      </c>
      <c r="U969">
        <v>3</v>
      </c>
      <c r="V969">
        <v>3</v>
      </c>
      <c r="W969">
        <v>4</v>
      </c>
      <c r="X969">
        <v>2</v>
      </c>
      <c r="Y969">
        <v>0</v>
      </c>
      <c r="Z969">
        <v>3</v>
      </c>
      <c r="AA969">
        <v>0</v>
      </c>
      <c r="AB969" s="1" t="s">
        <v>36</v>
      </c>
      <c r="AC969" t="s">
        <v>46</v>
      </c>
      <c r="AD969" t="s">
        <v>53</v>
      </c>
      <c r="AE969" s="2">
        <v>596.75</v>
      </c>
    </row>
    <row r="970" spans="1:31" x14ac:dyDescent="0.35">
      <c r="A970">
        <v>36</v>
      </c>
      <c r="B970" s="1" t="s">
        <v>39</v>
      </c>
      <c r="C970" s="1" t="s">
        <v>31</v>
      </c>
      <c r="D970">
        <v>7</v>
      </c>
      <c r="E970">
        <v>3</v>
      </c>
      <c r="F970" s="1" t="s">
        <v>60</v>
      </c>
      <c r="G970">
        <v>1</v>
      </c>
      <c r="H970" s="1" t="s">
        <v>33</v>
      </c>
      <c r="I970">
        <v>4</v>
      </c>
      <c r="J970">
        <v>2</v>
      </c>
      <c r="K970" s="1" t="s">
        <v>34</v>
      </c>
      <c r="L970">
        <v>1</v>
      </c>
      <c r="M970" s="1" t="s">
        <v>43</v>
      </c>
      <c r="N970">
        <v>4639</v>
      </c>
      <c r="O970">
        <v>2</v>
      </c>
      <c r="P970" s="1" t="s">
        <v>39</v>
      </c>
      <c r="Q970">
        <v>16</v>
      </c>
      <c r="R970">
        <v>4</v>
      </c>
      <c r="S970">
        <v>1</v>
      </c>
      <c r="T970">
        <v>17</v>
      </c>
      <c r="U970">
        <v>2</v>
      </c>
      <c r="V970">
        <v>2</v>
      </c>
      <c r="W970">
        <v>15</v>
      </c>
      <c r="X970">
        <v>7</v>
      </c>
      <c r="Y970">
        <v>6</v>
      </c>
      <c r="Z970">
        <v>13</v>
      </c>
      <c r="AA970">
        <v>0</v>
      </c>
      <c r="AB970" s="1" t="s">
        <v>36</v>
      </c>
      <c r="AC970" t="s">
        <v>37</v>
      </c>
      <c r="AD970" t="s">
        <v>57</v>
      </c>
      <c r="AE970" s="2">
        <v>309.26666666666665</v>
      </c>
    </row>
    <row r="971" spans="1:31" x14ac:dyDescent="0.35">
      <c r="A971">
        <v>48</v>
      </c>
      <c r="B971" s="1" t="s">
        <v>39</v>
      </c>
      <c r="C971" s="1" t="s">
        <v>40</v>
      </c>
      <c r="D971">
        <v>4</v>
      </c>
      <c r="E971">
        <v>3</v>
      </c>
      <c r="F971" s="1" t="s">
        <v>32</v>
      </c>
      <c r="G971">
        <v>4</v>
      </c>
      <c r="H971" s="1" t="s">
        <v>41</v>
      </c>
      <c r="I971">
        <v>3</v>
      </c>
      <c r="J971">
        <v>3</v>
      </c>
      <c r="K971" s="1" t="s">
        <v>51</v>
      </c>
      <c r="L971">
        <v>4</v>
      </c>
      <c r="M971" s="1" t="s">
        <v>35</v>
      </c>
      <c r="N971">
        <v>7898</v>
      </c>
      <c r="O971">
        <v>1</v>
      </c>
      <c r="P971" s="1" t="s">
        <v>39</v>
      </c>
      <c r="Q971">
        <v>11</v>
      </c>
      <c r="R971">
        <v>3</v>
      </c>
      <c r="S971">
        <v>0</v>
      </c>
      <c r="T971">
        <v>11</v>
      </c>
      <c r="U971">
        <v>2</v>
      </c>
      <c r="V971">
        <v>3</v>
      </c>
      <c r="W971">
        <v>10</v>
      </c>
      <c r="X971">
        <v>9</v>
      </c>
      <c r="Y971">
        <v>0</v>
      </c>
      <c r="Z971">
        <v>8</v>
      </c>
      <c r="AA971">
        <v>0</v>
      </c>
      <c r="AB971" s="1" t="s">
        <v>82</v>
      </c>
      <c r="AC971" t="s">
        <v>37</v>
      </c>
      <c r="AD971" t="s">
        <v>38</v>
      </c>
      <c r="AE971" s="2">
        <v>789.8</v>
      </c>
    </row>
    <row r="972" spans="1:31" x14ac:dyDescent="0.35">
      <c r="A972">
        <v>27</v>
      </c>
      <c r="B972" s="1" t="s">
        <v>39</v>
      </c>
      <c r="C972" s="1" t="s">
        <v>31</v>
      </c>
      <c r="D972">
        <v>11</v>
      </c>
      <c r="E972">
        <v>3</v>
      </c>
      <c r="F972" s="1" t="s">
        <v>49</v>
      </c>
      <c r="G972">
        <v>3</v>
      </c>
      <c r="H972" s="1" t="s">
        <v>33</v>
      </c>
      <c r="I972">
        <v>4</v>
      </c>
      <c r="J972">
        <v>1</v>
      </c>
      <c r="K972" s="1" t="s">
        <v>58</v>
      </c>
      <c r="L972">
        <v>4</v>
      </c>
      <c r="M972" s="1" t="s">
        <v>43</v>
      </c>
      <c r="N972">
        <v>2534</v>
      </c>
      <c r="O972">
        <v>8</v>
      </c>
      <c r="P972" s="1" t="s">
        <v>39</v>
      </c>
      <c r="Q972">
        <v>14</v>
      </c>
      <c r="R972">
        <v>2</v>
      </c>
      <c r="S972">
        <v>1</v>
      </c>
      <c r="T972">
        <v>5</v>
      </c>
      <c r="U972">
        <v>4</v>
      </c>
      <c r="V972">
        <v>3</v>
      </c>
      <c r="W972">
        <v>1</v>
      </c>
      <c r="X972">
        <v>0</v>
      </c>
      <c r="Y972">
        <v>0</v>
      </c>
      <c r="Z972">
        <v>0</v>
      </c>
      <c r="AA972">
        <v>0</v>
      </c>
      <c r="AB972" s="1" t="s">
        <v>48</v>
      </c>
      <c r="AC972" t="s">
        <v>46</v>
      </c>
      <c r="AD972" t="s">
        <v>47</v>
      </c>
      <c r="AE972" s="2">
        <v>2534</v>
      </c>
    </row>
    <row r="973" spans="1:31" x14ac:dyDescent="0.35">
      <c r="A973">
        <v>51</v>
      </c>
      <c r="B973" s="1" t="s">
        <v>39</v>
      </c>
      <c r="C973" s="1" t="s">
        <v>40</v>
      </c>
      <c r="D973">
        <v>11</v>
      </c>
      <c r="E973">
        <v>2</v>
      </c>
      <c r="F973" s="1" t="s">
        <v>61</v>
      </c>
      <c r="G973">
        <v>4</v>
      </c>
      <c r="H973" s="1" t="s">
        <v>33</v>
      </c>
      <c r="I973">
        <v>2</v>
      </c>
      <c r="J973">
        <v>4</v>
      </c>
      <c r="K973" s="1" t="s">
        <v>51</v>
      </c>
      <c r="L973">
        <v>2</v>
      </c>
      <c r="M973" s="1" t="s">
        <v>35</v>
      </c>
      <c r="N973">
        <v>13142</v>
      </c>
      <c r="O973">
        <v>3</v>
      </c>
      <c r="P973" s="1" t="s">
        <v>39</v>
      </c>
      <c r="Q973">
        <v>16</v>
      </c>
      <c r="R973">
        <v>2</v>
      </c>
      <c r="S973">
        <v>0</v>
      </c>
      <c r="T973">
        <v>29</v>
      </c>
      <c r="U973">
        <v>1</v>
      </c>
      <c r="V973">
        <v>2</v>
      </c>
      <c r="W973">
        <v>5</v>
      </c>
      <c r="X973">
        <v>2</v>
      </c>
      <c r="Y973">
        <v>0</v>
      </c>
      <c r="Z973">
        <v>3</v>
      </c>
      <c r="AA973">
        <v>0</v>
      </c>
      <c r="AB973" s="1" t="s">
        <v>82</v>
      </c>
      <c r="AC973" t="s">
        <v>56</v>
      </c>
      <c r="AD973" t="s">
        <v>53</v>
      </c>
      <c r="AE973" s="2">
        <v>2628.4</v>
      </c>
    </row>
    <row r="974" spans="1:31" x14ac:dyDescent="0.35">
      <c r="A974">
        <v>18</v>
      </c>
      <c r="B974" s="1" t="s">
        <v>39</v>
      </c>
      <c r="C974" s="1" t="s">
        <v>40</v>
      </c>
      <c r="D974">
        <v>1</v>
      </c>
      <c r="E974">
        <v>3</v>
      </c>
      <c r="F974" s="1" t="s">
        <v>32</v>
      </c>
      <c r="G974">
        <v>4</v>
      </c>
      <c r="H974" s="1" t="s">
        <v>33</v>
      </c>
      <c r="I974">
        <v>3</v>
      </c>
      <c r="J974">
        <v>1</v>
      </c>
      <c r="K974" s="1" t="s">
        <v>45</v>
      </c>
      <c r="L974">
        <v>4</v>
      </c>
      <c r="M974" s="1" t="s">
        <v>35</v>
      </c>
      <c r="N974">
        <v>1611</v>
      </c>
      <c r="O974">
        <v>1</v>
      </c>
      <c r="P974" s="1" t="s">
        <v>39</v>
      </c>
      <c r="Q974">
        <v>15</v>
      </c>
      <c r="R974">
        <v>3</v>
      </c>
      <c r="S974">
        <v>0</v>
      </c>
      <c r="T974">
        <v>0</v>
      </c>
      <c r="U974">
        <v>5</v>
      </c>
      <c r="V974">
        <v>4</v>
      </c>
      <c r="W974">
        <v>0</v>
      </c>
      <c r="X974">
        <v>0</v>
      </c>
      <c r="Y974">
        <v>0</v>
      </c>
      <c r="Z974">
        <v>0</v>
      </c>
      <c r="AA974">
        <v>0</v>
      </c>
      <c r="AB974" s="1" t="s">
        <v>54</v>
      </c>
      <c r="AC974" t="s">
        <v>46</v>
      </c>
      <c r="AD974" t="s">
        <v>47</v>
      </c>
      <c r="AE974" s="2">
        <v>1611</v>
      </c>
    </row>
    <row r="975" spans="1:31" x14ac:dyDescent="0.35">
      <c r="A975">
        <v>35</v>
      </c>
      <c r="B975" s="1" t="s">
        <v>39</v>
      </c>
      <c r="C975" s="1" t="s">
        <v>40</v>
      </c>
      <c r="D975">
        <v>1</v>
      </c>
      <c r="E975">
        <v>3</v>
      </c>
      <c r="F975" s="1" t="s">
        <v>49</v>
      </c>
      <c r="G975">
        <v>4</v>
      </c>
      <c r="H975" s="1" t="s">
        <v>33</v>
      </c>
      <c r="I975">
        <v>2</v>
      </c>
      <c r="J975">
        <v>2</v>
      </c>
      <c r="K975" s="1" t="s">
        <v>45</v>
      </c>
      <c r="L975">
        <v>4</v>
      </c>
      <c r="M975" s="1" t="s">
        <v>43</v>
      </c>
      <c r="N975">
        <v>5363</v>
      </c>
      <c r="O975">
        <v>0</v>
      </c>
      <c r="P975" s="1" t="s">
        <v>39</v>
      </c>
      <c r="Q975">
        <v>12</v>
      </c>
      <c r="R975">
        <v>2</v>
      </c>
      <c r="S975">
        <v>1</v>
      </c>
      <c r="T975">
        <v>10</v>
      </c>
      <c r="U975">
        <v>0</v>
      </c>
      <c r="V975">
        <v>3</v>
      </c>
      <c r="W975">
        <v>9</v>
      </c>
      <c r="X975">
        <v>7</v>
      </c>
      <c r="Y975">
        <v>0</v>
      </c>
      <c r="Z975">
        <v>0</v>
      </c>
      <c r="AA975">
        <v>0</v>
      </c>
      <c r="AB975" s="1" t="s">
        <v>48</v>
      </c>
      <c r="AC975" t="s">
        <v>37</v>
      </c>
      <c r="AD975" t="s">
        <v>38</v>
      </c>
      <c r="AE975" s="2">
        <v>595.88888888888891</v>
      </c>
    </row>
    <row r="976" spans="1:31" x14ac:dyDescent="0.35">
      <c r="A976">
        <v>27</v>
      </c>
      <c r="B976" s="1" t="s">
        <v>39</v>
      </c>
      <c r="C976" s="1" t="s">
        <v>31</v>
      </c>
      <c r="D976">
        <v>2</v>
      </c>
      <c r="E976">
        <v>1</v>
      </c>
      <c r="F976" s="1" t="s">
        <v>32</v>
      </c>
      <c r="G976">
        <v>4</v>
      </c>
      <c r="H976" s="1" t="s">
        <v>41</v>
      </c>
      <c r="I976">
        <v>1</v>
      </c>
      <c r="J976">
        <v>2</v>
      </c>
      <c r="K976" s="1" t="s">
        <v>34</v>
      </c>
      <c r="L976">
        <v>4</v>
      </c>
      <c r="M976" s="1" t="s">
        <v>35</v>
      </c>
      <c r="N976">
        <v>5071</v>
      </c>
      <c r="O976">
        <v>3</v>
      </c>
      <c r="P976" s="1" t="s">
        <v>39</v>
      </c>
      <c r="Q976">
        <v>20</v>
      </c>
      <c r="R976">
        <v>2</v>
      </c>
      <c r="S976">
        <v>0</v>
      </c>
      <c r="T976">
        <v>8</v>
      </c>
      <c r="U976">
        <v>3</v>
      </c>
      <c r="V976">
        <v>3</v>
      </c>
      <c r="W976">
        <v>6</v>
      </c>
      <c r="X976">
        <v>2</v>
      </c>
      <c r="Y976">
        <v>0</v>
      </c>
      <c r="Z976">
        <v>0</v>
      </c>
      <c r="AA976">
        <v>0</v>
      </c>
      <c r="AB976" s="1" t="s">
        <v>48</v>
      </c>
      <c r="AC976" t="s">
        <v>37</v>
      </c>
      <c r="AD976" t="s">
        <v>38</v>
      </c>
      <c r="AE976" s="2">
        <v>845.16666666666663</v>
      </c>
    </row>
    <row r="977" spans="1:31" x14ac:dyDescent="0.35">
      <c r="A977">
        <v>55</v>
      </c>
      <c r="B977" s="1" t="s">
        <v>30</v>
      </c>
      <c r="C977" s="1" t="s">
        <v>31</v>
      </c>
      <c r="D977">
        <v>13</v>
      </c>
      <c r="E977">
        <v>4</v>
      </c>
      <c r="F977" s="1" t="s">
        <v>60</v>
      </c>
      <c r="G977">
        <v>1</v>
      </c>
      <c r="H977" s="1" t="s">
        <v>41</v>
      </c>
      <c r="I977">
        <v>4</v>
      </c>
      <c r="J977">
        <v>4</v>
      </c>
      <c r="K977" s="1" t="s">
        <v>34</v>
      </c>
      <c r="L977">
        <v>3</v>
      </c>
      <c r="M977" s="1" t="s">
        <v>35</v>
      </c>
      <c r="N977">
        <v>13695</v>
      </c>
      <c r="O977">
        <v>6</v>
      </c>
      <c r="P977" s="1" t="s">
        <v>30</v>
      </c>
      <c r="Q977">
        <v>17</v>
      </c>
      <c r="R977">
        <v>3</v>
      </c>
      <c r="S977">
        <v>0</v>
      </c>
      <c r="T977">
        <v>24</v>
      </c>
      <c r="U977">
        <v>2</v>
      </c>
      <c r="V977">
        <v>2</v>
      </c>
      <c r="W977">
        <v>19</v>
      </c>
      <c r="X977">
        <v>7</v>
      </c>
      <c r="Y977">
        <v>3</v>
      </c>
      <c r="Z977">
        <v>8</v>
      </c>
      <c r="AA977">
        <v>1</v>
      </c>
      <c r="AB977" s="1" t="s">
        <v>82</v>
      </c>
      <c r="AC977" t="s">
        <v>56</v>
      </c>
      <c r="AD977" t="s">
        <v>57</v>
      </c>
      <c r="AE977" s="2">
        <v>720.78947368421052</v>
      </c>
    </row>
    <row r="978" spans="1:31" x14ac:dyDescent="0.35">
      <c r="A978">
        <v>56</v>
      </c>
      <c r="B978" s="1" t="s">
        <v>39</v>
      </c>
      <c r="C978" s="1" t="s">
        <v>40</v>
      </c>
      <c r="D978">
        <v>23</v>
      </c>
      <c r="E978">
        <v>3</v>
      </c>
      <c r="F978" s="1" t="s">
        <v>32</v>
      </c>
      <c r="G978">
        <v>4</v>
      </c>
      <c r="H978" s="1" t="s">
        <v>41</v>
      </c>
      <c r="I978">
        <v>3</v>
      </c>
      <c r="J978">
        <v>4</v>
      </c>
      <c r="K978" s="1" t="s">
        <v>51</v>
      </c>
      <c r="L978">
        <v>2</v>
      </c>
      <c r="M978" s="1" t="s">
        <v>43</v>
      </c>
      <c r="N978">
        <v>13402</v>
      </c>
      <c r="O978">
        <v>4</v>
      </c>
      <c r="P978" s="1" t="s">
        <v>30</v>
      </c>
      <c r="Q978">
        <v>12</v>
      </c>
      <c r="R978">
        <v>1</v>
      </c>
      <c r="S978">
        <v>1</v>
      </c>
      <c r="T978">
        <v>33</v>
      </c>
      <c r="U978">
        <v>0</v>
      </c>
      <c r="V978">
        <v>3</v>
      </c>
      <c r="W978">
        <v>19</v>
      </c>
      <c r="X978">
        <v>16</v>
      </c>
      <c r="Y978">
        <v>15</v>
      </c>
      <c r="Z978">
        <v>9</v>
      </c>
      <c r="AA978">
        <v>0</v>
      </c>
      <c r="AB978" s="1" t="s">
        <v>82</v>
      </c>
      <c r="AC978" t="s">
        <v>56</v>
      </c>
      <c r="AD978" t="s">
        <v>57</v>
      </c>
      <c r="AE978" s="2">
        <v>705.36842105263156</v>
      </c>
    </row>
    <row r="979" spans="1:31" x14ac:dyDescent="0.35">
      <c r="A979">
        <v>34</v>
      </c>
      <c r="B979" s="1" t="s">
        <v>39</v>
      </c>
      <c r="C979" s="1" t="s">
        <v>40</v>
      </c>
      <c r="D979">
        <v>26</v>
      </c>
      <c r="E979">
        <v>1</v>
      </c>
      <c r="F979" s="1" t="s">
        <v>61</v>
      </c>
      <c r="G979">
        <v>1</v>
      </c>
      <c r="H979" s="1" t="s">
        <v>33</v>
      </c>
      <c r="I979">
        <v>2</v>
      </c>
      <c r="J979">
        <v>1</v>
      </c>
      <c r="K979" s="1" t="s">
        <v>42</v>
      </c>
      <c r="L979">
        <v>3</v>
      </c>
      <c r="M979" s="1" t="s">
        <v>50</v>
      </c>
      <c r="N979">
        <v>2029</v>
      </c>
      <c r="O979">
        <v>1</v>
      </c>
      <c r="P979" s="1" t="s">
        <v>39</v>
      </c>
      <c r="Q979">
        <v>20</v>
      </c>
      <c r="R979">
        <v>3</v>
      </c>
      <c r="S979">
        <v>3</v>
      </c>
      <c r="T979">
        <v>5</v>
      </c>
      <c r="U979">
        <v>2</v>
      </c>
      <c r="V979">
        <v>3</v>
      </c>
      <c r="W979">
        <v>5</v>
      </c>
      <c r="X979">
        <v>4</v>
      </c>
      <c r="Y979">
        <v>0</v>
      </c>
      <c r="Z979">
        <v>0</v>
      </c>
      <c r="AA979">
        <v>0</v>
      </c>
      <c r="AB979" s="1" t="s">
        <v>48</v>
      </c>
      <c r="AC979" t="s">
        <v>46</v>
      </c>
      <c r="AD979" t="s">
        <v>53</v>
      </c>
      <c r="AE979" s="2">
        <v>405.8</v>
      </c>
    </row>
    <row r="980" spans="1:31" x14ac:dyDescent="0.35">
      <c r="A980">
        <v>40</v>
      </c>
      <c r="B980" s="1" t="s">
        <v>39</v>
      </c>
      <c r="C980" s="1" t="s">
        <v>40</v>
      </c>
      <c r="D980">
        <v>2</v>
      </c>
      <c r="E980">
        <v>1</v>
      </c>
      <c r="F980" s="1" t="s">
        <v>49</v>
      </c>
      <c r="G980">
        <v>2</v>
      </c>
      <c r="H980" s="1" t="s">
        <v>33</v>
      </c>
      <c r="I980">
        <v>4</v>
      </c>
      <c r="J980">
        <v>2</v>
      </c>
      <c r="K980" s="1" t="s">
        <v>52</v>
      </c>
      <c r="L980">
        <v>3</v>
      </c>
      <c r="M980" s="1" t="s">
        <v>50</v>
      </c>
      <c r="N980">
        <v>6377</v>
      </c>
      <c r="O980">
        <v>5</v>
      </c>
      <c r="P980" s="1" t="s">
        <v>39</v>
      </c>
      <c r="Q980">
        <v>20</v>
      </c>
      <c r="R980">
        <v>2</v>
      </c>
      <c r="S980">
        <v>3</v>
      </c>
      <c r="T980">
        <v>15</v>
      </c>
      <c r="U980">
        <v>0</v>
      </c>
      <c r="V980">
        <v>3</v>
      </c>
      <c r="W980">
        <v>12</v>
      </c>
      <c r="X980">
        <v>11</v>
      </c>
      <c r="Y980">
        <v>11</v>
      </c>
      <c r="Z980">
        <v>8</v>
      </c>
      <c r="AA980">
        <v>0</v>
      </c>
      <c r="AB980" s="1" t="s">
        <v>36</v>
      </c>
      <c r="AC980" t="s">
        <v>37</v>
      </c>
      <c r="AD980" t="s">
        <v>57</v>
      </c>
      <c r="AE980" s="2">
        <v>531.41666666666663</v>
      </c>
    </row>
    <row r="981" spans="1:31" x14ac:dyDescent="0.35">
      <c r="A981">
        <v>34</v>
      </c>
      <c r="B981" s="1" t="s">
        <v>39</v>
      </c>
      <c r="C981" s="1" t="s">
        <v>40</v>
      </c>
      <c r="D981">
        <v>29</v>
      </c>
      <c r="E981">
        <v>3</v>
      </c>
      <c r="F981" s="1" t="s">
        <v>49</v>
      </c>
      <c r="G981">
        <v>2</v>
      </c>
      <c r="H981" s="1" t="s">
        <v>41</v>
      </c>
      <c r="I981">
        <v>3</v>
      </c>
      <c r="J981">
        <v>2</v>
      </c>
      <c r="K981" s="1" t="s">
        <v>45</v>
      </c>
      <c r="L981">
        <v>3</v>
      </c>
      <c r="M981" s="1" t="s">
        <v>43</v>
      </c>
      <c r="N981">
        <v>5429</v>
      </c>
      <c r="O981">
        <v>4</v>
      </c>
      <c r="P981" s="1" t="s">
        <v>39</v>
      </c>
      <c r="Q981">
        <v>13</v>
      </c>
      <c r="R981">
        <v>1</v>
      </c>
      <c r="S981">
        <v>2</v>
      </c>
      <c r="T981">
        <v>10</v>
      </c>
      <c r="U981">
        <v>1</v>
      </c>
      <c r="V981">
        <v>3</v>
      </c>
      <c r="W981">
        <v>8</v>
      </c>
      <c r="X981">
        <v>7</v>
      </c>
      <c r="Y981">
        <v>7</v>
      </c>
      <c r="Z981">
        <v>7</v>
      </c>
      <c r="AA981">
        <v>0</v>
      </c>
      <c r="AB981" s="1" t="s">
        <v>48</v>
      </c>
      <c r="AC981" t="s">
        <v>37</v>
      </c>
      <c r="AD981" t="s">
        <v>38</v>
      </c>
      <c r="AE981" s="2">
        <v>678.625</v>
      </c>
    </row>
    <row r="982" spans="1:31" x14ac:dyDescent="0.35">
      <c r="A982">
        <v>31</v>
      </c>
      <c r="B982" s="1" t="s">
        <v>30</v>
      </c>
      <c r="C982" s="1" t="s">
        <v>31</v>
      </c>
      <c r="D982">
        <v>2</v>
      </c>
      <c r="E982">
        <v>3</v>
      </c>
      <c r="F982" s="1" t="s">
        <v>32</v>
      </c>
      <c r="G982">
        <v>3</v>
      </c>
      <c r="H982" s="1" t="s">
        <v>33</v>
      </c>
      <c r="I982">
        <v>2</v>
      </c>
      <c r="J982">
        <v>1</v>
      </c>
      <c r="K982" s="1" t="s">
        <v>58</v>
      </c>
      <c r="L982">
        <v>4</v>
      </c>
      <c r="M982" s="1" t="s">
        <v>35</v>
      </c>
      <c r="N982">
        <v>2785</v>
      </c>
      <c r="O982">
        <v>7</v>
      </c>
      <c r="P982" s="1" t="s">
        <v>39</v>
      </c>
      <c r="Q982">
        <v>14</v>
      </c>
      <c r="R982">
        <v>3</v>
      </c>
      <c r="S982">
        <v>0</v>
      </c>
      <c r="T982">
        <v>3</v>
      </c>
      <c r="U982">
        <v>3</v>
      </c>
      <c r="V982">
        <v>4</v>
      </c>
      <c r="W982">
        <v>1</v>
      </c>
      <c r="X982">
        <v>0</v>
      </c>
      <c r="Y982">
        <v>0</v>
      </c>
      <c r="Z982">
        <v>0</v>
      </c>
      <c r="AA982">
        <v>1</v>
      </c>
      <c r="AB982" s="1" t="s">
        <v>48</v>
      </c>
      <c r="AC982" t="s">
        <v>46</v>
      </c>
      <c r="AD982" t="s">
        <v>47</v>
      </c>
      <c r="AE982" s="2">
        <v>2785</v>
      </c>
    </row>
    <row r="983" spans="1:31" x14ac:dyDescent="0.35">
      <c r="A983">
        <v>35</v>
      </c>
      <c r="B983" s="1" t="s">
        <v>30</v>
      </c>
      <c r="C983" s="1" t="s">
        <v>31</v>
      </c>
      <c r="D983">
        <v>18</v>
      </c>
      <c r="E983">
        <v>4</v>
      </c>
      <c r="F983" s="1" t="s">
        <v>60</v>
      </c>
      <c r="G983">
        <v>4</v>
      </c>
      <c r="H983" s="1" t="s">
        <v>33</v>
      </c>
      <c r="I983">
        <v>3</v>
      </c>
      <c r="J983">
        <v>2</v>
      </c>
      <c r="K983" s="1" t="s">
        <v>34</v>
      </c>
      <c r="L983">
        <v>3</v>
      </c>
      <c r="M983" s="1" t="s">
        <v>43</v>
      </c>
      <c r="N983">
        <v>4614</v>
      </c>
      <c r="O983">
        <v>0</v>
      </c>
      <c r="P983" s="1" t="s">
        <v>30</v>
      </c>
      <c r="Q983">
        <v>18</v>
      </c>
      <c r="R983">
        <v>3</v>
      </c>
      <c r="S983">
        <v>1</v>
      </c>
      <c r="T983">
        <v>5</v>
      </c>
      <c r="U983">
        <v>0</v>
      </c>
      <c r="V983">
        <v>2</v>
      </c>
      <c r="W983">
        <v>4</v>
      </c>
      <c r="X983">
        <v>2</v>
      </c>
      <c r="Y983">
        <v>3</v>
      </c>
      <c r="Z983">
        <v>2</v>
      </c>
      <c r="AA983">
        <v>1</v>
      </c>
      <c r="AB983" s="1" t="s">
        <v>48</v>
      </c>
      <c r="AC983" t="s">
        <v>37</v>
      </c>
      <c r="AD983" t="s">
        <v>53</v>
      </c>
      <c r="AE983" s="2">
        <v>1153.5</v>
      </c>
    </row>
    <row r="984" spans="1:31" x14ac:dyDescent="0.35">
      <c r="A984">
        <v>38</v>
      </c>
      <c r="B984" s="1" t="s">
        <v>39</v>
      </c>
      <c r="C984" s="1" t="s">
        <v>40</v>
      </c>
      <c r="D984">
        <v>7</v>
      </c>
      <c r="E984">
        <v>3</v>
      </c>
      <c r="F984" s="1" t="s">
        <v>32</v>
      </c>
      <c r="G984">
        <v>4</v>
      </c>
      <c r="H984" s="1" t="s">
        <v>41</v>
      </c>
      <c r="I984">
        <v>4</v>
      </c>
      <c r="J984">
        <v>1</v>
      </c>
      <c r="K984" s="1" t="s">
        <v>42</v>
      </c>
      <c r="L984">
        <v>3</v>
      </c>
      <c r="M984" s="1" t="s">
        <v>50</v>
      </c>
      <c r="N984">
        <v>2610</v>
      </c>
      <c r="O984">
        <v>1</v>
      </c>
      <c r="P984" s="1" t="s">
        <v>39</v>
      </c>
      <c r="Q984">
        <v>11</v>
      </c>
      <c r="R984">
        <v>4</v>
      </c>
      <c r="S984">
        <v>3</v>
      </c>
      <c r="T984">
        <v>4</v>
      </c>
      <c r="U984">
        <v>2</v>
      </c>
      <c r="V984">
        <v>3</v>
      </c>
      <c r="W984">
        <v>4</v>
      </c>
      <c r="X984">
        <v>2</v>
      </c>
      <c r="Y984">
        <v>0</v>
      </c>
      <c r="Z984">
        <v>3</v>
      </c>
      <c r="AA984">
        <v>0</v>
      </c>
      <c r="AB984" s="1" t="s">
        <v>36</v>
      </c>
      <c r="AC984" t="s">
        <v>46</v>
      </c>
      <c r="AD984" t="s">
        <v>53</v>
      </c>
      <c r="AE984" s="2">
        <v>652.5</v>
      </c>
    </row>
    <row r="985" spans="1:31" x14ac:dyDescent="0.35">
      <c r="A985">
        <v>34</v>
      </c>
      <c r="B985" s="1" t="s">
        <v>39</v>
      </c>
      <c r="C985" s="1" t="s">
        <v>40</v>
      </c>
      <c r="D985">
        <v>2</v>
      </c>
      <c r="E985">
        <v>4</v>
      </c>
      <c r="F985" s="1" t="s">
        <v>61</v>
      </c>
      <c r="G985">
        <v>3</v>
      </c>
      <c r="H985" s="1" t="s">
        <v>33</v>
      </c>
      <c r="I985">
        <v>3</v>
      </c>
      <c r="J985">
        <v>2</v>
      </c>
      <c r="K985" s="1" t="s">
        <v>52</v>
      </c>
      <c r="L985">
        <v>4</v>
      </c>
      <c r="M985" s="1" t="s">
        <v>35</v>
      </c>
      <c r="N985">
        <v>6687</v>
      </c>
      <c r="O985">
        <v>1</v>
      </c>
      <c r="P985" s="1" t="s">
        <v>39</v>
      </c>
      <c r="Q985">
        <v>11</v>
      </c>
      <c r="R985">
        <v>4</v>
      </c>
      <c r="S985">
        <v>0</v>
      </c>
      <c r="T985">
        <v>14</v>
      </c>
      <c r="U985">
        <v>2</v>
      </c>
      <c r="V985">
        <v>4</v>
      </c>
      <c r="W985">
        <v>14</v>
      </c>
      <c r="X985">
        <v>11</v>
      </c>
      <c r="Y985">
        <v>4</v>
      </c>
      <c r="Z985">
        <v>11</v>
      </c>
      <c r="AA985">
        <v>0</v>
      </c>
      <c r="AB985" s="1" t="s">
        <v>48</v>
      </c>
      <c r="AC985" t="s">
        <v>37</v>
      </c>
      <c r="AD985" t="s">
        <v>57</v>
      </c>
      <c r="AE985" s="2">
        <v>477.64285714285717</v>
      </c>
    </row>
    <row r="986" spans="1:31" x14ac:dyDescent="0.35">
      <c r="A986">
        <v>28</v>
      </c>
      <c r="B986" s="1" t="s">
        <v>39</v>
      </c>
      <c r="C986" s="1" t="s">
        <v>31</v>
      </c>
      <c r="D986">
        <v>26</v>
      </c>
      <c r="E986">
        <v>3</v>
      </c>
      <c r="F986" s="1" t="s">
        <v>32</v>
      </c>
      <c r="G986">
        <v>3</v>
      </c>
      <c r="H986" s="1" t="s">
        <v>41</v>
      </c>
      <c r="I986">
        <v>2</v>
      </c>
      <c r="J986">
        <v>2</v>
      </c>
      <c r="K986" s="1" t="s">
        <v>34</v>
      </c>
      <c r="L986">
        <v>1</v>
      </c>
      <c r="M986" s="1" t="s">
        <v>43</v>
      </c>
      <c r="N986">
        <v>4724</v>
      </c>
      <c r="O986">
        <v>1</v>
      </c>
      <c r="P986" s="1" t="s">
        <v>39</v>
      </c>
      <c r="Q986">
        <v>11</v>
      </c>
      <c r="R986">
        <v>3</v>
      </c>
      <c r="S986">
        <v>1</v>
      </c>
      <c r="T986">
        <v>5</v>
      </c>
      <c r="U986">
        <v>0</v>
      </c>
      <c r="V986">
        <v>3</v>
      </c>
      <c r="W986">
        <v>5</v>
      </c>
      <c r="X986">
        <v>3</v>
      </c>
      <c r="Y986">
        <v>0</v>
      </c>
      <c r="Z986">
        <v>4</v>
      </c>
      <c r="AA986">
        <v>0</v>
      </c>
      <c r="AB986" s="1" t="s">
        <v>48</v>
      </c>
      <c r="AC986" t="s">
        <v>37</v>
      </c>
      <c r="AD986" t="s">
        <v>53</v>
      </c>
      <c r="AE986" s="2">
        <v>944.8</v>
      </c>
    </row>
    <row r="987" spans="1:31" x14ac:dyDescent="0.35">
      <c r="A987">
        <v>31</v>
      </c>
      <c r="B987" s="1" t="s">
        <v>30</v>
      </c>
      <c r="C987" s="1" t="s">
        <v>40</v>
      </c>
      <c r="D987">
        <v>22</v>
      </c>
      <c r="E987">
        <v>4</v>
      </c>
      <c r="F987" s="1" t="s">
        <v>49</v>
      </c>
      <c r="G987">
        <v>4</v>
      </c>
      <c r="H987" s="1" t="s">
        <v>41</v>
      </c>
      <c r="I987">
        <v>3</v>
      </c>
      <c r="J987">
        <v>2</v>
      </c>
      <c r="K987" s="1" t="s">
        <v>51</v>
      </c>
      <c r="L987">
        <v>3</v>
      </c>
      <c r="M987" s="1" t="s">
        <v>43</v>
      </c>
      <c r="N987">
        <v>6179</v>
      </c>
      <c r="O987">
        <v>1</v>
      </c>
      <c r="P987" s="1" t="s">
        <v>30</v>
      </c>
      <c r="Q987">
        <v>15</v>
      </c>
      <c r="R987">
        <v>4</v>
      </c>
      <c r="S987">
        <v>2</v>
      </c>
      <c r="T987">
        <v>10</v>
      </c>
      <c r="U987">
        <v>3</v>
      </c>
      <c r="V987">
        <v>2</v>
      </c>
      <c r="W987">
        <v>10</v>
      </c>
      <c r="X987">
        <v>2</v>
      </c>
      <c r="Y987">
        <v>6</v>
      </c>
      <c r="Z987">
        <v>7</v>
      </c>
      <c r="AA987">
        <v>1</v>
      </c>
      <c r="AB987" s="1" t="s">
        <v>48</v>
      </c>
      <c r="AC987" t="s">
        <v>37</v>
      </c>
      <c r="AD987" t="s">
        <v>38</v>
      </c>
      <c r="AE987" s="2">
        <v>617.9</v>
      </c>
    </row>
    <row r="988" spans="1:31" x14ac:dyDescent="0.35">
      <c r="A988">
        <v>39</v>
      </c>
      <c r="B988" s="1" t="s">
        <v>39</v>
      </c>
      <c r="C988" s="1" t="s">
        <v>31</v>
      </c>
      <c r="D988">
        <v>21</v>
      </c>
      <c r="E988">
        <v>4</v>
      </c>
      <c r="F988" s="1" t="s">
        <v>32</v>
      </c>
      <c r="G988">
        <v>1</v>
      </c>
      <c r="H988" s="1" t="s">
        <v>41</v>
      </c>
      <c r="I988">
        <v>2</v>
      </c>
      <c r="J988">
        <v>2</v>
      </c>
      <c r="K988" s="1" t="s">
        <v>34</v>
      </c>
      <c r="L988">
        <v>4</v>
      </c>
      <c r="M988" s="1" t="s">
        <v>43</v>
      </c>
      <c r="N988">
        <v>6120</v>
      </c>
      <c r="O988">
        <v>3</v>
      </c>
      <c r="P988" s="1" t="s">
        <v>30</v>
      </c>
      <c r="Q988">
        <v>12</v>
      </c>
      <c r="R988">
        <v>4</v>
      </c>
      <c r="S988">
        <v>2</v>
      </c>
      <c r="T988">
        <v>8</v>
      </c>
      <c r="U988">
        <v>2</v>
      </c>
      <c r="V988">
        <v>4</v>
      </c>
      <c r="W988">
        <v>5</v>
      </c>
      <c r="X988">
        <v>4</v>
      </c>
      <c r="Y988">
        <v>1</v>
      </c>
      <c r="Z988">
        <v>4</v>
      </c>
      <c r="AA988">
        <v>0</v>
      </c>
      <c r="AB988" s="1" t="s">
        <v>36</v>
      </c>
      <c r="AC988" t="s">
        <v>37</v>
      </c>
      <c r="AD988" t="s">
        <v>53</v>
      </c>
      <c r="AE988" s="2">
        <v>1224</v>
      </c>
    </row>
    <row r="989" spans="1:31" x14ac:dyDescent="0.35">
      <c r="A989">
        <v>51</v>
      </c>
      <c r="B989" s="1" t="s">
        <v>39</v>
      </c>
      <c r="C989" s="1" t="s">
        <v>31</v>
      </c>
      <c r="D989">
        <v>2</v>
      </c>
      <c r="E989">
        <v>3</v>
      </c>
      <c r="F989" s="1" t="s">
        <v>60</v>
      </c>
      <c r="G989">
        <v>2</v>
      </c>
      <c r="H989" s="1" t="s">
        <v>41</v>
      </c>
      <c r="I989">
        <v>3</v>
      </c>
      <c r="J989">
        <v>3</v>
      </c>
      <c r="K989" s="1" t="s">
        <v>34</v>
      </c>
      <c r="L989">
        <v>2</v>
      </c>
      <c r="M989" s="1" t="s">
        <v>43</v>
      </c>
      <c r="N989">
        <v>10596</v>
      </c>
      <c r="O989">
        <v>2</v>
      </c>
      <c r="P989" s="1" t="s">
        <v>39</v>
      </c>
      <c r="Q989">
        <v>11</v>
      </c>
      <c r="R989">
        <v>2</v>
      </c>
      <c r="S989">
        <v>0</v>
      </c>
      <c r="T989">
        <v>14</v>
      </c>
      <c r="U989">
        <v>5</v>
      </c>
      <c r="V989">
        <v>3</v>
      </c>
      <c r="W989">
        <v>4</v>
      </c>
      <c r="X989">
        <v>2</v>
      </c>
      <c r="Y989">
        <v>3</v>
      </c>
      <c r="Z989">
        <v>2</v>
      </c>
      <c r="AA989">
        <v>0</v>
      </c>
      <c r="AB989" s="1" t="s">
        <v>82</v>
      </c>
      <c r="AC989" t="s">
        <v>56</v>
      </c>
      <c r="AD989" t="s">
        <v>53</v>
      </c>
      <c r="AE989" s="2">
        <v>2649</v>
      </c>
    </row>
    <row r="990" spans="1:31" x14ac:dyDescent="0.35">
      <c r="A990">
        <v>41</v>
      </c>
      <c r="B990" s="1" t="s">
        <v>39</v>
      </c>
      <c r="C990" s="1" t="s">
        <v>40</v>
      </c>
      <c r="D990">
        <v>22</v>
      </c>
      <c r="E990">
        <v>3</v>
      </c>
      <c r="F990" s="1" t="s">
        <v>32</v>
      </c>
      <c r="G990">
        <v>4</v>
      </c>
      <c r="H990" s="1" t="s">
        <v>33</v>
      </c>
      <c r="I990">
        <v>3</v>
      </c>
      <c r="J990">
        <v>2</v>
      </c>
      <c r="K990" s="1" t="s">
        <v>42</v>
      </c>
      <c r="L990">
        <v>4</v>
      </c>
      <c r="M990" s="1" t="s">
        <v>50</v>
      </c>
      <c r="N990">
        <v>5467</v>
      </c>
      <c r="O990">
        <v>3</v>
      </c>
      <c r="P990" s="1" t="s">
        <v>30</v>
      </c>
      <c r="Q990">
        <v>14</v>
      </c>
      <c r="R990">
        <v>1</v>
      </c>
      <c r="S990">
        <v>2</v>
      </c>
      <c r="T990">
        <v>12</v>
      </c>
      <c r="U990">
        <v>4</v>
      </c>
      <c r="V990">
        <v>2</v>
      </c>
      <c r="W990">
        <v>6</v>
      </c>
      <c r="X990">
        <v>2</v>
      </c>
      <c r="Y990">
        <v>3</v>
      </c>
      <c r="Z990">
        <v>3</v>
      </c>
      <c r="AA990">
        <v>0</v>
      </c>
      <c r="AB990" s="1" t="s">
        <v>36</v>
      </c>
      <c r="AC990" t="s">
        <v>37</v>
      </c>
      <c r="AD990" t="s">
        <v>38</v>
      </c>
      <c r="AE990" s="2">
        <v>911.16666666666663</v>
      </c>
    </row>
    <row r="991" spans="1:31" x14ac:dyDescent="0.35">
      <c r="A991">
        <v>37</v>
      </c>
      <c r="B991" s="1" t="s">
        <v>39</v>
      </c>
      <c r="C991" s="1" t="s">
        <v>40</v>
      </c>
      <c r="D991">
        <v>4</v>
      </c>
      <c r="E991">
        <v>1</v>
      </c>
      <c r="F991" s="1" t="s">
        <v>32</v>
      </c>
      <c r="G991">
        <v>3</v>
      </c>
      <c r="H991" s="1" t="s">
        <v>41</v>
      </c>
      <c r="I991">
        <v>3</v>
      </c>
      <c r="J991">
        <v>1</v>
      </c>
      <c r="K991" s="1" t="s">
        <v>42</v>
      </c>
      <c r="L991">
        <v>3</v>
      </c>
      <c r="M991" s="1" t="s">
        <v>43</v>
      </c>
      <c r="N991">
        <v>2996</v>
      </c>
      <c r="O991">
        <v>7</v>
      </c>
      <c r="P991" s="1" t="s">
        <v>30</v>
      </c>
      <c r="Q991">
        <v>15</v>
      </c>
      <c r="R991">
        <v>4</v>
      </c>
      <c r="S991">
        <v>0</v>
      </c>
      <c r="T991">
        <v>8</v>
      </c>
      <c r="U991">
        <v>2</v>
      </c>
      <c r="V991">
        <v>3</v>
      </c>
      <c r="W991">
        <v>6</v>
      </c>
      <c r="X991">
        <v>4</v>
      </c>
      <c r="Y991">
        <v>1</v>
      </c>
      <c r="Z991">
        <v>3</v>
      </c>
      <c r="AA991">
        <v>0</v>
      </c>
      <c r="AB991" s="1" t="s">
        <v>36</v>
      </c>
      <c r="AC991" t="s">
        <v>46</v>
      </c>
      <c r="AD991" t="s">
        <v>38</v>
      </c>
      <c r="AE991" s="2">
        <v>499.33333333333331</v>
      </c>
    </row>
    <row r="992" spans="1:31" x14ac:dyDescent="0.35">
      <c r="A992">
        <v>33</v>
      </c>
      <c r="B992" s="1" t="s">
        <v>39</v>
      </c>
      <c r="C992" s="1" t="s">
        <v>31</v>
      </c>
      <c r="D992">
        <v>5</v>
      </c>
      <c r="E992">
        <v>1</v>
      </c>
      <c r="F992" s="1" t="s">
        <v>32</v>
      </c>
      <c r="G992">
        <v>2</v>
      </c>
      <c r="H992" s="1" t="s">
        <v>41</v>
      </c>
      <c r="I992">
        <v>3</v>
      </c>
      <c r="J992">
        <v>2</v>
      </c>
      <c r="K992" s="1" t="s">
        <v>34</v>
      </c>
      <c r="L992">
        <v>4</v>
      </c>
      <c r="M992" s="1" t="s">
        <v>43</v>
      </c>
      <c r="N992">
        <v>9998</v>
      </c>
      <c r="O992">
        <v>6</v>
      </c>
      <c r="P992" s="1" t="s">
        <v>39</v>
      </c>
      <c r="Q992">
        <v>13</v>
      </c>
      <c r="R992">
        <v>1</v>
      </c>
      <c r="S992">
        <v>0</v>
      </c>
      <c r="T992">
        <v>8</v>
      </c>
      <c r="U992">
        <v>2</v>
      </c>
      <c r="V992">
        <v>4</v>
      </c>
      <c r="W992">
        <v>5</v>
      </c>
      <c r="X992">
        <v>4</v>
      </c>
      <c r="Y992">
        <v>1</v>
      </c>
      <c r="Z992">
        <v>2</v>
      </c>
      <c r="AA992">
        <v>0</v>
      </c>
      <c r="AB992" s="1" t="s">
        <v>48</v>
      </c>
      <c r="AC992" t="s">
        <v>37</v>
      </c>
      <c r="AD992" t="s">
        <v>53</v>
      </c>
      <c r="AE992" s="2">
        <v>1999.6</v>
      </c>
    </row>
    <row r="993" spans="1:31" x14ac:dyDescent="0.35">
      <c r="A993">
        <v>32</v>
      </c>
      <c r="B993" s="1" t="s">
        <v>39</v>
      </c>
      <c r="C993" s="1" t="s">
        <v>31</v>
      </c>
      <c r="D993">
        <v>2</v>
      </c>
      <c r="E993">
        <v>1</v>
      </c>
      <c r="F993" s="1" t="s">
        <v>60</v>
      </c>
      <c r="G993">
        <v>3</v>
      </c>
      <c r="H993" s="1" t="s">
        <v>41</v>
      </c>
      <c r="I993">
        <v>3</v>
      </c>
      <c r="J993">
        <v>2</v>
      </c>
      <c r="K993" s="1" t="s">
        <v>34</v>
      </c>
      <c r="L993">
        <v>2</v>
      </c>
      <c r="M993" s="1" t="s">
        <v>43</v>
      </c>
      <c r="N993">
        <v>4078</v>
      </c>
      <c r="O993">
        <v>0</v>
      </c>
      <c r="P993" s="1" t="s">
        <v>30</v>
      </c>
      <c r="Q993">
        <v>13</v>
      </c>
      <c r="R993">
        <v>1</v>
      </c>
      <c r="S993">
        <v>3</v>
      </c>
      <c r="T993">
        <v>4</v>
      </c>
      <c r="U993">
        <v>3</v>
      </c>
      <c r="V993">
        <v>2</v>
      </c>
      <c r="W993">
        <v>3</v>
      </c>
      <c r="X993">
        <v>2</v>
      </c>
      <c r="Y993">
        <v>1</v>
      </c>
      <c r="Z993">
        <v>2</v>
      </c>
      <c r="AA993">
        <v>0</v>
      </c>
      <c r="AB993" s="1" t="s">
        <v>48</v>
      </c>
      <c r="AC993" t="s">
        <v>37</v>
      </c>
      <c r="AD993" t="s">
        <v>53</v>
      </c>
      <c r="AE993" s="2">
        <v>1359.3333333333333</v>
      </c>
    </row>
    <row r="994" spans="1:31" x14ac:dyDescent="0.35">
      <c r="A994">
        <v>39</v>
      </c>
      <c r="B994" s="1" t="s">
        <v>39</v>
      </c>
      <c r="C994" s="1" t="s">
        <v>40</v>
      </c>
      <c r="D994">
        <v>25</v>
      </c>
      <c r="E994">
        <v>2</v>
      </c>
      <c r="F994" s="1" t="s">
        <v>32</v>
      </c>
      <c r="G994">
        <v>3</v>
      </c>
      <c r="H994" s="1" t="s">
        <v>41</v>
      </c>
      <c r="I994">
        <v>3</v>
      </c>
      <c r="J994">
        <v>3</v>
      </c>
      <c r="K994" s="1" t="s">
        <v>52</v>
      </c>
      <c r="L994">
        <v>3</v>
      </c>
      <c r="M994" s="1" t="s">
        <v>43</v>
      </c>
      <c r="N994">
        <v>10920</v>
      </c>
      <c r="O994">
        <v>3</v>
      </c>
      <c r="P994" s="1" t="s">
        <v>39</v>
      </c>
      <c r="Q994">
        <v>21</v>
      </c>
      <c r="R994">
        <v>2</v>
      </c>
      <c r="S994">
        <v>1</v>
      </c>
      <c r="T994">
        <v>13</v>
      </c>
      <c r="U994">
        <v>2</v>
      </c>
      <c r="V994">
        <v>3</v>
      </c>
      <c r="W994">
        <v>6</v>
      </c>
      <c r="X994">
        <v>4</v>
      </c>
      <c r="Y994">
        <v>0</v>
      </c>
      <c r="Z994">
        <v>5</v>
      </c>
      <c r="AA994">
        <v>0</v>
      </c>
      <c r="AB994" s="1" t="s">
        <v>36</v>
      </c>
      <c r="AC994" t="s">
        <v>56</v>
      </c>
      <c r="AD994" t="s">
        <v>38</v>
      </c>
      <c r="AE994" s="2">
        <v>1820</v>
      </c>
    </row>
    <row r="995" spans="1:31" x14ac:dyDescent="0.35">
      <c r="A995">
        <v>25</v>
      </c>
      <c r="B995" s="1" t="s">
        <v>39</v>
      </c>
      <c r="C995" s="1" t="s">
        <v>31</v>
      </c>
      <c r="D995">
        <v>18</v>
      </c>
      <c r="E995">
        <v>1</v>
      </c>
      <c r="F995" s="1" t="s">
        <v>32</v>
      </c>
      <c r="G995">
        <v>1</v>
      </c>
      <c r="H995" s="1" t="s">
        <v>41</v>
      </c>
      <c r="I995">
        <v>4</v>
      </c>
      <c r="J995">
        <v>2</v>
      </c>
      <c r="K995" s="1" t="s">
        <v>34</v>
      </c>
      <c r="L995">
        <v>3</v>
      </c>
      <c r="M995" s="1" t="s">
        <v>43</v>
      </c>
      <c r="N995">
        <v>6232</v>
      </c>
      <c r="O995">
        <v>2</v>
      </c>
      <c r="P995" s="1" t="s">
        <v>39</v>
      </c>
      <c r="Q995">
        <v>11</v>
      </c>
      <c r="R995">
        <v>2</v>
      </c>
      <c r="S995">
        <v>0</v>
      </c>
      <c r="T995">
        <v>6</v>
      </c>
      <c r="U995">
        <v>3</v>
      </c>
      <c r="V995">
        <v>2</v>
      </c>
      <c r="W995">
        <v>3</v>
      </c>
      <c r="X995">
        <v>2</v>
      </c>
      <c r="Y995">
        <v>1</v>
      </c>
      <c r="Z995">
        <v>2</v>
      </c>
      <c r="AA995">
        <v>0</v>
      </c>
      <c r="AB995" s="1" t="s">
        <v>54</v>
      </c>
      <c r="AC995" t="s">
        <v>37</v>
      </c>
      <c r="AD995" t="s">
        <v>53</v>
      </c>
      <c r="AE995" s="2">
        <v>2077.3333333333335</v>
      </c>
    </row>
    <row r="996" spans="1:31" x14ac:dyDescent="0.35">
      <c r="A996">
        <v>52</v>
      </c>
      <c r="B996" s="1" t="s">
        <v>39</v>
      </c>
      <c r="C996" s="1" t="s">
        <v>40</v>
      </c>
      <c r="D996">
        <v>28</v>
      </c>
      <c r="E996">
        <v>2</v>
      </c>
      <c r="F996" s="1" t="s">
        <v>49</v>
      </c>
      <c r="G996">
        <v>4</v>
      </c>
      <c r="H996" s="1" t="s">
        <v>33</v>
      </c>
      <c r="I996">
        <v>4</v>
      </c>
      <c r="J996">
        <v>4</v>
      </c>
      <c r="K996" s="1" t="s">
        <v>51</v>
      </c>
      <c r="L996">
        <v>3</v>
      </c>
      <c r="M996" s="1" t="s">
        <v>43</v>
      </c>
      <c r="N996">
        <v>13247</v>
      </c>
      <c r="O996">
        <v>2</v>
      </c>
      <c r="P996" s="1" t="s">
        <v>30</v>
      </c>
      <c r="Q996">
        <v>11</v>
      </c>
      <c r="R996">
        <v>2</v>
      </c>
      <c r="S996">
        <v>1</v>
      </c>
      <c r="T996">
        <v>24</v>
      </c>
      <c r="U996">
        <v>3</v>
      </c>
      <c r="V996">
        <v>2</v>
      </c>
      <c r="W996">
        <v>5</v>
      </c>
      <c r="X996">
        <v>3</v>
      </c>
      <c r="Y996">
        <v>0</v>
      </c>
      <c r="Z996">
        <v>2</v>
      </c>
      <c r="AA996">
        <v>0</v>
      </c>
      <c r="AB996" s="1" t="s">
        <v>82</v>
      </c>
      <c r="AC996" t="s">
        <v>56</v>
      </c>
      <c r="AD996" t="s">
        <v>53</v>
      </c>
      <c r="AE996" s="2">
        <v>2649.4</v>
      </c>
    </row>
    <row r="997" spans="1:31" x14ac:dyDescent="0.35">
      <c r="A997">
        <v>43</v>
      </c>
      <c r="B997" s="1" t="s">
        <v>39</v>
      </c>
      <c r="C997" s="1" t="s">
        <v>40</v>
      </c>
      <c r="D997">
        <v>6</v>
      </c>
      <c r="E997">
        <v>3</v>
      </c>
      <c r="F997" s="1" t="s">
        <v>49</v>
      </c>
      <c r="G997">
        <v>1</v>
      </c>
      <c r="H997" s="1" t="s">
        <v>33</v>
      </c>
      <c r="I997">
        <v>2</v>
      </c>
      <c r="J997">
        <v>2</v>
      </c>
      <c r="K997" s="1" t="s">
        <v>42</v>
      </c>
      <c r="L997">
        <v>3</v>
      </c>
      <c r="M997" s="1" t="s">
        <v>35</v>
      </c>
      <c r="N997">
        <v>4081</v>
      </c>
      <c r="O997">
        <v>1</v>
      </c>
      <c r="P997" s="1" t="s">
        <v>30</v>
      </c>
      <c r="Q997">
        <v>14</v>
      </c>
      <c r="R997">
        <v>1</v>
      </c>
      <c r="S997">
        <v>0</v>
      </c>
      <c r="T997">
        <v>20</v>
      </c>
      <c r="U997">
        <v>3</v>
      </c>
      <c r="V997">
        <v>1</v>
      </c>
      <c r="W997">
        <v>20</v>
      </c>
      <c r="X997">
        <v>7</v>
      </c>
      <c r="Y997">
        <v>1</v>
      </c>
      <c r="Z997">
        <v>8</v>
      </c>
      <c r="AA997">
        <v>0</v>
      </c>
      <c r="AB997" s="1" t="s">
        <v>36</v>
      </c>
      <c r="AC997" t="s">
        <v>37</v>
      </c>
      <c r="AD997" t="s">
        <v>57</v>
      </c>
      <c r="AE997" s="2">
        <v>204.05</v>
      </c>
    </row>
    <row r="998" spans="1:31" x14ac:dyDescent="0.35">
      <c r="A998">
        <v>27</v>
      </c>
      <c r="B998" s="1" t="s">
        <v>39</v>
      </c>
      <c r="C998" s="1" t="s">
        <v>31</v>
      </c>
      <c r="D998">
        <v>10</v>
      </c>
      <c r="E998">
        <v>3</v>
      </c>
      <c r="F998" s="1" t="s">
        <v>60</v>
      </c>
      <c r="G998">
        <v>4</v>
      </c>
      <c r="H998" s="1" t="s">
        <v>33</v>
      </c>
      <c r="I998">
        <v>2</v>
      </c>
      <c r="J998">
        <v>2</v>
      </c>
      <c r="K998" s="1" t="s">
        <v>34</v>
      </c>
      <c r="L998">
        <v>4</v>
      </c>
      <c r="M998" s="1" t="s">
        <v>43</v>
      </c>
      <c r="N998">
        <v>5769</v>
      </c>
      <c r="O998">
        <v>1</v>
      </c>
      <c r="P998" s="1" t="s">
        <v>30</v>
      </c>
      <c r="Q998">
        <v>11</v>
      </c>
      <c r="R998">
        <v>4</v>
      </c>
      <c r="S998">
        <v>0</v>
      </c>
      <c r="T998">
        <v>6</v>
      </c>
      <c r="U998">
        <v>3</v>
      </c>
      <c r="V998">
        <v>3</v>
      </c>
      <c r="W998">
        <v>6</v>
      </c>
      <c r="X998">
        <v>2</v>
      </c>
      <c r="Y998">
        <v>4</v>
      </c>
      <c r="Z998">
        <v>4</v>
      </c>
      <c r="AA998">
        <v>0</v>
      </c>
      <c r="AB998" s="1" t="s">
        <v>48</v>
      </c>
      <c r="AC998" t="s">
        <v>37</v>
      </c>
      <c r="AD998" t="s">
        <v>38</v>
      </c>
      <c r="AE998" s="2">
        <v>961.5</v>
      </c>
    </row>
    <row r="999" spans="1:31" x14ac:dyDescent="0.35">
      <c r="A999">
        <v>27</v>
      </c>
      <c r="B999" s="1" t="s">
        <v>30</v>
      </c>
      <c r="C999" s="1" t="s">
        <v>40</v>
      </c>
      <c r="D999">
        <v>17</v>
      </c>
      <c r="E999">
        <v>4</v>
      </c>
      <c r="F999" s="1" t="s">
        <v>32</v>
      </c>
      <c r="G999">
        <v>4</v>
      </c>
      <c r="H999" s="1" t="s">
        <v>33</v>
      </c>
      <c r="I999">
        <v>3</v>
      </c>
      <c r="J999">
        <v>1</v>
      </c>
      <c r="K999" s="1" t="s">
        <v>42</v>
      </c>
      <c r="L999">
        <v>3</v>
      </c>
      <c r="M999" s="1" t="s">
        <v>35</v>
      </c>
      <c r="N999">
        <v>2394</v>
      </c>
      <c r="O999">
        <v>1</v>
      </c>
      <c r="P999" s="1" t="s">
        <v>30</v>
      </c>
      <c r="Q999">
        <v>13</v>
      </c>
      <c r="R999">
        <v>4</v>
      </c>
      <c r="S999">
        <v>0</v>
      </c>
      <c r="T999">
        <v>8</v>
      </c>
      <c r="U999">
        <v>2</v>
      </c>
      <c r="V999">
        <v>3</v>
      </c>
      <c r="W999">
        <v>8</v>
      </c>
      <c r="X999">
        <v>2</v>
      </c>
      <c r="Y999">
        <v>7</v>
      </c>
      <c r="Z999">
        <v>7</v>
      </c>
      <c r="AA999">
        <v>1</v>
      </c>
      <c r="AB999" s="1" t="s">
        <v>48</v>
      </c>
      <c r="AC999" t="s">
        <v>46</v>
      </c>
      <c r="AD999" t="s">
        <v>38</v>
      </c>
      <c r="AE999" s="2">
        <v>299.25</v>
      </c>
    </row>
    <row r="1000" spans="1:31" x14ac:dyDescent="0.35">
      <c r="A1000">
        <v>26</v>
      </c>
      <c r="B1000" s="1" t="s">
        <v>39</v>
      </c>
      <c r="C1000" s="1" t="s">
        <v>40</v>
      </c>
      <c r="D1000">
        <v>2</v>
      </c>
      <c r="E1000">
        <v>1</v>
      </c>
      <c r="F1000" s="1" t="s">
        <v>49</v>
      </c>
      <c r="G1000">
        <v>1</v>
      </c>
      <c r="H1000" s="1" t="s">
        <v>41</v>
      </c>
      <c r="I1000">
        <v>2</v>
      </c>
      <c r="J1000">
        <v>1</v>
      </c>
      <c r="K1000" s="1" t="s">
        <v>42</v>
      </c>
      <c r="L1000">
        <v>4</v>
      </c>
      <c r="M1000" s="1" t="s">
        <v>35</v>
      </c>
      <c r="N1000">
        <v>3904</v>
      </c>
      <c r="O1000">
        <v>0</v>
      </c>
      <c r="P1000" s="1" t="s">
        <v>39</v>
      </c>
      <c r="Q1000">
        <v>12</v>
      </c>
      <c r="R1000">
        <v>4</v>
      </c>
      <c r="S1000">
        <v>0</v>
      </c>
      <c r="T1000">
        <v>5</v>
      </c>
      <c r="U1000">
        <v>2</v>
      </c>
      <c r="V1000">
        <v>3</v>
      </c>
      <c r="W1000">
        <v>4</v>
      </c>
      <c r="X1000">
        <v>3</v>
      </c>
      <c r="Y1000">
        <v>1</v>
      </c>
      <c r="Z1000">
        <v>1</v>
      </c>
      <c r="AA1000">
        <v>0</v>
      </c>
      <c r="AB1000" s="1" t="s">
        <v>48</v>
      </c>
      <c r="AC1000" t="s">
        <v>46</v>
      </c>
      <c r="AD1000" t="s">
        <v>53</v>
      </c>
      <c r="AE1000" s="2">
        <v>976</v>
      </c>
    </row>
    <row r="1001" spans="1:31" x14ac:dyDescent="0.35">
      <c r="A1001">
        <v>42</v>
      </c>
      <c r="B1001" s="1" t="s">
        <v>39</v>
      </c>
      <c r="C1001" s="1" t="s">
        <v>62</v>
      </c>
      <c r="D1001">
        <v>10</v>
      </c>
      <c r="E1001">
        <v>3</v>
      </c>
      <c r="F1001" s="1" t="s">
        <v>62</v>
      </c>
      <c r="G1001">
        <v>3</v>
      </c>
      <c r="H1001" s="1" t="s">
        <v>33</v>
      </c>
      <c r="I1001">
        <v>3</v>
      </c>
      <c r="J1001">
        <v>4</v>
      </c>
      <c r="K1001" s="1" t="s">
        <v>55</v>
      </c>
      <c r="L1001">
        <v>1</v>
      </c>
      <c r="M1001" s="1" t="s">
        <v>43</v>
      </c>
      <c r="N1001">
        <v>16799</v>
      </c>
      <c r="O1001">
        <v>0</v>
      </c>
      <c r="P1001" s="1" t="s">
        <v>39</v>
      </c>
      <c r="Q1001">
        <v>14</v>
      </c>
      <c r="R1001">
        <v>3</v>
      </c>
      <c r="S1001">
        <v>1</v>
      </c>
      <c r="T1001">
        <v>21</v>
      </c>
      <c r="U1001">
        <v>5</v>
      </c>
      <c r="V1001">
        <v>3</v>
      </c>
      <c r="W1001">
        <v>20</v>
      </c>
      <c r="X1001">
        <v>7</v>
      </c>
      <c r="Y1001">
        <v>0</v>
      </c>
      <c r="Z1001">
        <v>9</v>
      </c>
      <c r="AA1001">
        <v>0</v>
      </c>
      <c r="AB1001" s="1" t="s">
        <v>36</v>
      </c>
      <c r="AC1001" t="s">
        <v>56</v>
      </c>
      <c r="AD1001" t="s">
        <v>57</v>
      </c>
      <c r="AE1001" s="2">
        <v>839.95</v>
      </c>
    </row>
    <row r="1002" spans="1:31" x14ac:dyDescent="0.35">
      <c r="A1002">
        <v>52</v>
      </c>
      <c r="B1002" s="1" t="s">
        <v>39</v>
      </c>
      <c r="C1002" s="1" t="s">
        <v>40</v>
      </c>
      <c r="D1002">
        <v>8</v>
      </c>
      <c r="E1002">
        <v>4</v>
      </c>
      <c r="F1002" s="1" t="s">
        <v>44</v>
      </c>
      <c r="G1002">
        <v>3</v>
      </c>
      <c r="H1002" s="1" t="s">
        <v>33</v>
      </c>
      <c r="I1002">
        <v>3</v>
      </c>
      <c r="J1002">
        <v>1</v>
      </c>
      <c r="K1002" s="1" t="s">
        <v>45</v>
      </c>
      <c r="L1002">
        <v>1</v>
      </c>
      <c r="M1002" s="1" t="s">
        <v>43</v>
      </c>
      <c r="N1002">
        <v>2950</v>
      </c>
      <c r="O1002">
        <v>9</v>
      </c>
      <c r="P1002" s="1" t="s">
        <v>39</v>
      </c>
      <c r="Q1002">
        <v>13</v>
      </c>
      <c r="R1002">
        <v>3</v>
      </c>
      <c r="S1002">
        <v>0</v>
      </c>
      <c r="T1002">
        <v>12</v>
      </c>
      <c r="U1002">
        <v>2</v>
      </c>
      <c r="V1002">
        <v>1</v>
      </c>
      <c r="W1002">
        <v>5</v>
      </c>
      <c r="X1002">
        <v>4</v>
      </c>
      <c r="Y1002">
        <v>0</v>
      </c>
      <c r="Z1002">
        <v>4</v>
      </c>
      <c r="AA1002">
        <v>0</v>
      </c>
      <c r="AB1002" s="1" t="s">
        <v>82</v>
      </c>
      <c r="AC1002" t="s">
        <v>46</v>
      </c>
      <c r="AD1002" t="s">
        <v>53</v>
      </c>
      <c r="AE1002" s="2">
        <v>590</v>
      </c>
    </row>
    <row r="1003" spans="1:31" x14ac:dyDescent="0.35">
      <c r="A1003">
        <v>37</v>
      </c>
      <c r="B1003" s="1" t="s">
        <v>39</v>
      </c>
      <c r="C1003" s="1" t="s">
        <v>40</v>
      </c>
      <c r="D1003">
        <v>11</v>
      </c>
      <c r="E1003">
        <v>3</v>
      </c>
      <c r="F1003" s="1" t="s">
        <v>49</v>
      </c>
      <c r="G1003">
        <v>1</v>
      </c>
      <c r="H1003" s="1" t="s">
        <v>33</v>
      </c>
      <c r="I1003">
        <v>3</v>
      </c>
      <c r="J1003">
        <v>1</v>
      </c>
      <c r="K1003" s="1" t="s">
        <v>45</v>
      </c>
      <c r="L1003">
        <v>3</v>
      </c>
      <c r="M1003" s="1" t="s">
        <v>35</v>
      </c>
      <c r="N1003">
        <v>3629</v>
      </c>
      <c r="O1003">
        <v>4</v>
      </c>
      <c r="P1003" s="1" t="s">
        <v>39</v>
      </c>
      <c r="Q1003">
        <v>18</v>
      </c>
      <c r="R1003">
        <v>1</v>
      </c>
      <c r="S1003">
        <v>0</v>
      </c>
      <c r="T1003">
        <v>8</v>
      </c>
      <c r="U1003">
        <v>6</v>
      </c>
      <c r="V1003">
        <v>3</v>
      </c>
      <c r="W1003">
        <v>3</v>
      </c>
      <c r="X1003">
        <v>2</v>
      </c>
      <c r="Y1003">
        <v>0</v>
      </c>
      <c r="Z1003">
        <v>2</v>
      </c>
      <c r="AA1003">
        <v>0</v>
      </c>
      <c r="AB1003" s="1" t="s">
        <v>36</v>
      </c>
      <c r="AC1003" t="s">
        <v>46</v>
      </c>
      <c r="AD1003" t="s">
        <v>53</v>
      </c>
      <c r="AE1003" s="2">
        <v>1209.6666666666667</v>
      </c>
    </row>
    <row r="1004" spans="1:31" x14ac:dyDescent="0.35">
      <c r="A1004">
        <v>35</v>
      </c>
      <c r="B1004" s="1" t="s">
        <v>39</v>
      </c>
      <c r="C1004" s="1" t="s">
        <v>40</v>
      </c>
      <c r="D1004">
        <v>18</v>
      </c>
      <c r="E1004">
        <v>2</v>
      </c>
      <c r="F1004" s="1" t="s">
        <v>32</v>
      </c>
      <c r="G1004">
        <v>3</v>
      </c>
      <c r="H1004" s="1" t="s">
        <v>41</v>
      </c>
      <c r="I1004">
        <v>3</v>
      </c>
      <c r="J1004">
        <v>3</v>
      </c>
      <c r="K1004" s="1" t="s">
        <v>51</v>
      </c>
      <c r="L1004">
        <v>4</v>
      </c>
      <c r="M1004" s="1" t="s">
        <v>35</v>
      </c>
      <c r="N1004">
        <v>9362</v>
      </c>
      <c r="O1004">
        <v>2</v>
      </c>
      <c r="P1004" s="1" t="s">
        <v>39</v>
      </c>
      <c r="Q1004">
        <v>11</v>
      </c>
      <c r="R1004">
        <v>3</v>
      </c>
      <c r="S1004">
        <v>0</v>
      </c>
      <c r="T1004">
        <v>10</v>
      </c>
      <c r="U1004">
        <v>2</v>
      </c>
      <c r="V1004">
        <v>3</v>
      </c>
      <c r="W1004">
        <v>2</v>
      </c>
      <c r="X1004">
        <v>2</v>
      </c>
      <c r="Y1004">
        <v>2</v>
      </c>
      <c r="Z1004">
        <v>2</v>
      </c>
      <c r="AA1004">
        <v>0</v>
      </c>
      <c r="AB1004" s="1" t="s">
        <v>48</v>
      </c>
      <c r="AC1004" t="s">
        <v>37</v>
      </c>
      <c r="AD1004" t="s">
        <v>47</v>
      </c>
      <c r="AE1004" s="2">
        <v>4681</v>
      </c>
    </row>
    <row r="1005" spans="1:31" x14ac:dyDescent="0.35">
      <c r="A1005">
        <v>25</v>
      </c>
      <c r="B1005" s="1" t="s">
        <v>39</v>
      </c>
      <c r="C1005" s="1" t="s">
        <v>40</v>
      </c>
      <c r="D1005">
        <v>1</v>
      </c>
      <c r="E1005">
        <v>3</v>
      </c>
      <c r="F1005" s="1" t="s">
        <v>61</v>
      </c>
      <c r="G1005">
        <v>1</v>
      </c>
      <c r="H1005" s="1" t="s">
        <v>41</v>
      </c>
      <c r="I1005">
        <v>3</v>
      </c>
      <c r="J1005">
        <v>1</v>
      </c>
      <c r="K1005" s="1" t="s">
        <v>45</v>
      </c>
      <c r="L1005">
        <v>4</v>
      </c>
      <c r="M1005" s="1" t="s">
        <v>43</v>
      </c>
      <c r="N1005">
        <v>3229</v>
      </c>
      <c r="O1005">
        <v>4</v>
      </c>
      <c r="P1005" s="1" t="s">
        <v>39</v>
      </c>
      <c r="Q1005">
        <v>11</v>
      </c>
      <c r="R1005">
        <v>2</v>
      </c>
      <c r="S1005">
        <v>1</v>
      </c>
      <c r="T1005">
        <v>7</v>
      </c>
      <c r="U1005">
        <v>2</v>
      </c>
      <c r="V1005">
        <v>2</v>
      </c>
      <c r="W1005">
        <v>3</v>
      </c>
      <c r="X1005">
        <v>2</v>
      </c>
      <c r="Y1005">
        <v>0</v>
      </c>
      <c r="Z1005">
        <v>2</v>
      </c>
      <c r="AA1005">
        <v>0</v>
      </c>
      <c r="AB1005" s="1" t="s">
        <v>54</v>
      </c>
      <c r="AC1005" t="s">
        <v>46</v>
      </c>
      <c r="AD1005" t="s">
        <v>53</v>
      </c>
      <c r="AE1005" s="2">
        <v>1076.3333333333333</v>
      </c>
    </row>
    <row r="1006" spans="1:31" x14ac:dyDescent="0.35">
      <c r="A1006">
        <v>26</v>
      </c>
      <c r="B1006" s="1" t="s">
        <v>39</v>
      </c>
      <c r="C1006" s="1" t="s">
        <v>40</v>
      </c>
      <c r="D1006">
        <v>7</v>
      </c>
      <c r="E1006">
        <v>3</v>
      </c>
      <c r="F1006" s="1" t="s">
        <v>44</v>
      </c>
      <c r="G1006">
        <v>3</v>
      </c>
      <c r="H1006" s="1" t="s">
        <v>41</v>
      </c>
      <c r="I1006">
        <v>4</v>
      </c>
      <c r="J1006">
        <v>1</v>
      </c>
      <c r="K1006" s="1" t="s">
        <v>45</v>
      </c>
      <c r="L1006">
        <v>1</v>
      </c>
      <c r="M1006" s="1" t="s">
        <v>35</v>
      </c>
      <c r="N1006">
        <v>3578</v>
      </c>
      <c r="O1006">
        <v>0</v>
      </c>
      <c r="P1006" s="1" t="s">
        <v>39</v>
      </c>
      <c r="Q1006">
        <v>12</v>
      </c>
      <c r="R1006">
        <v>4</v>
      </c>
      <c r="S1006">
        <v>0</v>
      </c>
      <c r="T1006">
        <v>8</v>
      </c>
      <c r="U1006">
        <v>2</v>
      </c>
      <c r="V1006">
        <v>3</v>
      </c>
      <c r="W1006">
        <v>7</v>
      </c>
      <c r="X1006">
        <v>7</v>
      </c>
      <c r="Y1006">
        <v>0</v>
      </c>
      <c r="Z1006">
        <v>7</v>
      </c>
      <c r="AA1006">
        <v>0</v>
      </c>
      <c r="AB1006" s="1" t="s">
        <v>48</v>
      </c>
      <c r="AC1006" t="s">
        <v>46</v>
      </c>
      <c r="AD1006" t="s">
        <v>38</v>
      </c>
      <c r="AE1006" s="2">
        <v>511.14285714285717</v>
      </c>
    </row>
    <row r="1007" spans="1:31" x14ac:dyDescent="0.35">
      <c r="A1007">
        <v>29</v>
      </c>
      <c r="B1007" s="1" t="s">
        <v>39</v>
      </c>
      <c r="C1007" s="1" t="s">
        <v>62</v>
      </c>
      <c r="D1007">
        <v>17</v>
      </c>
      <c r="E1007">
        <v>3</v>
      </c>
      <c r="F1007" s="1" t="s">
        <v>44</v>
      </c>
      <c r="G1007">
        <v>2</v>
      </c>
      <c r="H1007" s="1" t="s">
        <v>41</v>
      </c>
      <c r="I1007">
        <v>2</v>
      </c>
      <c r="J1007">
        <v>3</v>
      </c>
      <c r="K1007" s="1" t="s">
        <v>62</v>
      </c>
      <c r="L1007">
        <v>1</v>
      </c>
      <c r="M1007" s="1" t="s">
        <v>35</v>
      </c>
      <c r="N1007">
        <v>7988</v>
      </c>
      <c r="O1007">
        <v>1</v>
      </c>
      <c r="P1007" s="1" t="s">
        <v>39</v>
      </c>
      <c r="Q1007">
        <v>13</v>
      </c>
      <c r="R1007">
        <v>1</v>
      </c>
      <c r="S1007">
        <v>0</v>
      </c>
      <c r="T1007">
        <v>10</v>
      </c>
      <c r="U1007">
        <v>3</v>
      </c>
      <c r="V1007">
        <v>2</v>
      </c>
      <c r="W1007">
        <v>10</v>
      </c>
      <c r="X1007">
        <v>9</v>
      </c>
      <c r="Y1007">
        <v>0</v>
      </c>
      <c r="Z1007">
        <v>9</v>
      </c>
      <c r="AA1007">
        <v>0</v>
      </c>
      <c r="AB1007" s="1" t="s">
        <v>48</v>
      </c>
      <c r="AC1007" t="s">
        <v>37</v>
      </c>
      <c r="AD1007" t="s">
        <v>38</v>
      </c>
      <c r="AE1007" s="2">
        <v>798.8</v>
      </c>
    </row>
    <row r="1008" spans="1:31" x14ac:dyDescent="0.35">
      <c r="A1008">
        <v>49</v>
      </c>
      <c r="B1008" s="1" t="s">
        <v>30</v>
      </c>
      <c r="C1008" s="1" t="s">
        <v>40</v>
      </c>
      <c r="D1008">
        <v>28</v>
      </c>
      <c r="E1008">
        <v>2</v>
      </c>
      <c r="F1008" s="1" t="s">
        <v>32</v>
      </c>
      <c r="G1008">
        <v>1</v>
      </c>
      <c r="H1008" s="1" t="s">
        <v>41</v>
      </c>
      <c r="I1008">
        <v>2</v>
      </c>
      <c r="J1008">
        <v>2</v>
      </c>
      <c r="K1008" s="1" t="s">
        <v>45</v>
      </c>
      <c r="L1008">
        <v>1</v>
      </c>
      <c r="M1008" s="1" t="s">
        <v>35</v>
      </c>
      <c r="N1008">
        <v>4284</v>
      </c>
      <c r="O1008">
        <v>3</v>
      </c>
      <c r="P1008" s="1" t="s">
        <v>39</v>
      </c>
      <c r="Q1008">
        <v>20</v>
      </c>
      <c r="R1008">
        <v>1</v>
      </c>
      <c r="S1008">
        <v>0</v>
      </c>
      <c r="T1008">
        <v>20</v>
      </c>
      <c r="U1008">
        <v>2</v>
      </c>
      <c r="V1008">
        <v>3</v>
      </c>
      <c r="W1008">
        <v>4</v>
      </c>
      <c r="X1008">
        <v>3</v>
      </c>
      <c r="Y1008">
        <v>1</v>
      </c>
      <c r="Z1008">
        <v>3</v>
      </c>
      <c r="AA1008">
        <v>1</v>
      </c>
      <c r="AB1008" s="1" t="s">
        <v>82</v>
      </c>
      <c r="AC1008" t="s">
        <v>37</v>
      </c>
      <c r="AD1008" t="s">
        <v>53</v>
      </c>
      <c r="AE1008" s="2">
        <v>1071</v>
      </c>
    </row>
    <row r="1009" spans="1:31" x14ac:dyDescent="0.35">
      <c r="A1009">
        <v>29</v>
      </c>
      <c r="B1009" s="1" t="s">
        <v>30</v>
      </c>
      <c r="C1009" s="1" t="s">
        <v>40</v>
      </c>
      <c r="D1009">
        <v>14</v>
      </c>
      <c r="E1009">
        <v>1</v>
      </c>
      <c r="F1009" s="1" t="s">
        <v>44</v>
      </c>
      <c r="G1009">
        <v>3</v>
      </c>
      <c r="H1009" s="1" t="s">
        <v>33</v>
      </c>
      <c r="I1009">
        <v>3</v>
      </c>
      <c r="J1009">
        <v>3</v>
      </c>
      <c r="K1009" s="1" t="s">
        <v>52</v>
      </c>
      <c r="L1009">
        <v>4</v>
      </c>
      <c r="M1009" s="1" t="s">
        <v>35</v>
      </c>
      <c r="N1009">
        <v>7553</v>
      </c>
      <c r="O1009">
        <v>0</v>
      </c>
      <c r="P1009" s="1" t="s">
        <v>30</v>
      </c>
      <c r="Q1009">
        <v>12</v>
      </c>
      <c r="R1009">
        <v>1</v>
      </c>
      <c r="S1009">
        <v>0</v>
      </c>
      <c r="T1009">
        <v>9</v>
      </c>
      <c r="U1009">
        <v>1</v>
      </c>
      <c r="V1009">
        <v>3</v>
      </c>
      <c r="W1009">
        <v>8</v>
      </c>
      <c r="X1009">
        <v>7</v>
      </c>
      <c r="Y1009">
        <v>7</v>
      </c>
      <c r="Z1009">
        <v>7</v>
      </c>
      <c r="AA1009">
        <v>1</v>
      </c>
      <c r="AB1009" s="1" t="s">
        <v>48</v>
      </c>
      <c r="AC1009" t="s">
        <v>37</v>
      </c>
      <c r="AD1009" t="s">
        <v>38</v>
      </c>
      <c r="AE1009" s="2">
        <v>944.125</v>
      </c>
    </row>
    <row r="1010" spans="1:31" x14ac:dyDescent="0.35">
      <c r="A1010">
        <v>54</v>
      </c>
      <c r="B1010" s="1" t="s">
        <v>39</v>
      </c>
      <c r="C1010" s="1" t="s">
        <v>40</v>
      </c>
      <c r="D1010">
        <v>1</v>
      </c>
      <c r="E1010">
        <v>3</v>
      </c>
      <c r="F1010" s="1" t="s">
        <v>49</v>
      </c>
      <c r="G1010">
        <v>4</v>
      </c>
      <c r="H1010" s="1" t="s">
        <v>33</v>
      </c>
      <c r="I1010">
        <v>3</v>
      </c>
      <c r="J1010">
        <v>4</v>
      </c>
      <c r="K1010" s="1" t="s">
        <v>59</v>
      </c>
      <c r="L1010">
        <v>4</v>
      </c>
      <c r="M1010" s="1" t="s">
        <v>35</v>
      </c>
      <c r="N1010">
        <v>17328</v>
      </c>
      <c r="O1010">
        <v>6</v>
      </c>
      <c r="P1010" s="1" t="s">
        <v>39</v>
      </c>
      <c r="Q1010">
        <v>19</v>
      </c>
      <c r="R1010">
        <v>4</v>
      </c>
      <c r="S1010">
        <v>0</v>
      </c>
      <c r="T1010">
        <v>29</v>
      </c>
      <c r="U1010">
        <v>3</v>
      </c>
      <c r="V1010">
        <v>2</v>
      </c>
      <c r="W1010">
        <v>20</v>
      </c>
      <c r="X1010">
        <v>7</v>
      </c>
      <c r="Y1010">
        <v>12</v>
      </c>
      <c r="Z1010">
        <v>7</v>
      </c>
      <c r="AA1010">
        <v>0</v>
      </c>
      <c r="AB1010" s="1" t="s">
        <v>82</v>
      </c>
      <c r="AC1010" t="s">
        <v>56</v>
      </c>
      <c r="AD1010" t="s">
        <v>57</v>
      </c>
      <c r="AE1010" s="2">
        <v>866.4</v>
      </c>
    </row>
    <row r="1011" spans="1:31" x14ac:dyDescent="0.35">
      <c r="A1011">
        <v>58</v>
      </c>
      <c r="B1011" s="1" t="s">
        <v>39</v>
      </c>
      <c r="C1011" s="1" t="s">
        <v>40</v>
      </c>
      <c r="D1011">
        <v>1</v>
      </c>
      <c r="E1011">
        <v>3</v>
      </c>
      <c r="F1011" s="1" t="s">
        <v>49</v>
      </c>
      <c r="G1011">
        <v>4</v>
      </c>
      <c r="H1011" s="1" t="s">
        <v>33</v>
      </c>
      <c r="I1011">
        <v>3</v>
      </c>
      <c r="J1011">
        <v>5</v>
      </c>
      <c r="K1011" s="1" t="s">
        <v>59</v>
      </c>
      <c r="L1011">
        <v>1</v>
      </c>
      <c r="M1011" s="1" t="s">
        <v>43</v>
      </c>
      <c r="N1011">
        <v>19701</v>
      </c>
      <c r="O1011">
        <v>3</v>
      </c>
      <c r="P1011" s="1" t="s">
        <v>30</v>
      </c>
      <c r="Q1011">
        <v>21</v>
      </c>
      <c r="R1011">
        <v>3</v>
      </c>
      <c r="S1011">
        <v>1</v>
      </c>
      <c r="T1011">
        <v>32</v>
      </c>
      <c r="U1011">
        <v>3</v>
      </c>
      <c r="V1011">
        <v>3</v>
      </c>
      <c r="W1011">
        <v>9</v>
      </c>
      <c r="X1011">
        <v>8</v>
      </c>
      <c r="Y1011">
        <v>1</v>
      </c>
      <c r="Z1011">
        <v>5</v>
      </c>
      <c r="AA1011">
        <v>0</v>
      </c>
      <c r="AB1011" s="1" t="s">
        <v>82</v>
      </c>
      <c r="AC1011" t="s">
        <v>56</v>
      </c>
      <c r="AD1011" t="s">
        <v>38</v>
      </c>
      <c r="AE1011" s="2">
        <v>2189</v>
      </c>
    </row>
    <row r="1012" spans="1:31" x14ac:dyDescent="0.35">
      <c r="A1012">
        <v>55</v>
      </c>
      <c r="B1012" s="1" t="s">
        <v>39</v>
      </c>
      <c r="C1012" s="1" t="s">
        <v>40</v>
      </c>
      <c r="D1012">
        <v>1</v>
      </c>
      <c r="E1012">
        <v>4</v>
      </c>
      <c r="F1012" s="1" t="s">
        <v>49</v>
      </c>
      <c r="G1012">
        <v>2</v>
      </c>
      <c r="H1012" s="1" t="s">
        <v>41</v>
      </c>
      <c r="I1012">
        <v>4</v>
      </c>
      <c r="J1012">
        <v>4</v>
      </c>
      <c r="K1012" s="1" t="s">
        <v>59</v>
      </c>
      <c r="L1012">
        <v>4</v>
      </c>
      <c r="M1012" s="1" t="s">
        <v>50</v>
      </c>
      <c r="N1012">
        <v>14732</v>
      </c>
      <c r="O1012">
        <v>2</v>
      </c>
      <c r="P1012" s="1" t="s">
        <v>39</v>
      </c>
      <c r="Q1012">
        <v>13</v>
      </c>
      <c r="R1012">
        <v>4</v>
      </c>
      <c r="S1012">
        <v>2</v>
      </c>
      <c r="T1012">
        <v>31</v>
      </c>
      <c r="U1012">
        <v>4</v>
      </c>
      <c r="V1012">
        <v>4</v>
      </c>
      <c r="W1012">
        <v>7</v>
      </c>
      <c r="X1012">
        <v>7</v>
      </c>
      <c r="Y1012">
        <v>0</v>
      </c>
      <c r="Z1012">
        <v>0</v>
      </c>
      <c r="AA1012">
        <v>0</v>
      </c>
      <c r="AB1012" s="1" t="s">
        <v>82</v>
      </c>
      <c r="AC1012" t="s">
        <v>56</v>
      </c>
      <c r="AD1012" t="s">
        <v>38</v>
      </c>
      <c r="AE1012" s="2">
        <v>2104.5714285714284</v>
      </c>
    </row>
    <row r="1013" spans="1:31" x14ac:dyDescent="0.35">
      <c r="A1013">
        <v>36</v>
      </c>
      <c r="B1013" s="1" t="s">
        <v>39</v>
      </c>
      <c r="C1013" s="1" t="s">
        <v>31</v>
      </c>
      <c r="D1013">
        <v>3</v>
      </c>
      <c r="E1013">
        <v>4</v>
      </c>
      <c r="F1013" s="1" t="s">
        <v>60</v>
      </c>
      <c r="G1013">
        <v>1</v>
      </c>
      <c r="H1013" s="1" t="s">
        <v>33</v>
      </c>
      <c r="I1013">
        <v>3</v>
      </c>
      <c r="J1013">
        <v>2</v>
      </c>
      <c r="K1013" s="1" t="s">
        <v>34</v>
      </c>
      <c r="L1013">
        <v>2</v>
      </c>
      <c r="M1013" s="1" t="s">
        <v>35</v>
      </c>
      <c r="N1013">
        <v>9278</v>
      </c>
      <c r="O1013">
        <v>3</v>
      </c>
      <c r="P1013" s="1" t="s">
        <v>30</v>
      </c>
      <c r="Q1013">
        <v>16</v>
      </c>
      <c r="R1013">
        <v>4</v>
      </c>
      <c r="S1013">
        <v>0</v>
      </c>
      <c r="T1013">
        <v>15</v>
      </c>
      <c r="U1013">
        <v>3</v>
      </c>
      <c r="V1013">
        <v>3</v>
      </c>
      <c r="W1013">
        <v>5</v>
      </c>
      <c r="X1013">
        <v>4</v>
      </c>
      <c r="Y1013">
        <v>0</v>
      </c>
      <c r="Z1013">
        <v>1</v>
      </c>
      <c r="AA1013">
        <v>0</v>
      </c>
      <c r="AB1013" s="1" t="s">
        <v>36</v>
      </c>
      <c r="AC1013" t="s">
        <v>37</v>
      </c>
      <c r="AD1013" t="s">
        <v>53</v>
      </c>
      <c r="AE1013" s="2">
        <v>1855.6</v>
      </c>
    </row>
    <row r="1014" spans="1:31" x14ac:dyDescent="0.35">
      <c r="A1014">
        <v>31</v>
      </c>
      <c r="B1014" s="1" t="s">
        <v>30</v>
      </c>
      <c r="C1014" s="1" t="s">
        <v>31</v>
      </c>
      <c r="D1014">
        <v>1</v>
      </c>
      <c r="E1014">
        <v>4</v>
      </c>
      <c r="F1014" s="1" t="s">
        <v>32</v>
      </c>
      <c r="G1014">
        <v>2</v>
      </c>
      <c r="H1014" s="1" t="s">
        <v>33</v>
      </c>
      <c r="I1014">
        <v>1</v>
      </c>
      <c r="J1014">
        <v>1</v>
      </c>
      <c r="K1014" s="1" t="s">
        <v>58</v>
      </c>
      <c r="L1014">
        <v>3</v>
      </c>
      <c r="M1014" s="1" t="s">
        <v>35</v>
      </c>
      <c r="N1014">
        <v>1359</v>
      </c>
      <c r="O1014">
        <v>1</v>
      </c>
      <c r="P1014" s="1" t="s">
        <v>39</v>
      </c>
      <c r="Q1014">
        <v>12</v>
      </c>
      <c r="R1014">
        <v>2</v>
      </c>
      <c r="S1014">
        <v>0</v>
      </c>
      <c r="T1014">
        <v>1</v>
      </c>
      <c r="U1014">
        <v>3</v>
      </c>
      <c r="V1014">
        <v>3</v>
      </c>
      <c r="W1014">
        <v>1</v>
      </c>
      <c r="X1014">
        <v>0</v>
      </c>
      <c r="Y1014">
        <v>0</v>
      </c>
      <c r="Z1014">
        <v>0</v>
      </c>
      <c r="AA1014">
        <v>1</v>
      </c>
      <c r="AB1014" s="1" t="s">
        <v>48</v>
      </c>
      <c r="AC1014" t="s">
        <v>46</v>
      </c>
      <c r="AD1014" t="s">
        <v>47</v>
      </c>
      <c r="AE1014" s="2">
        <v>1359</v>
      </c>
    </row>
    <row r="1015" spans="1:31" x14ac:dyDescent="0.35">
      <c r="A1015">
        <v>30</v>
      </c>
      <c r="B1015" s="1" t="s">
        <v>39</v>
      </c>
      <c r="C1015" s="1" t="s">
        <v>31</v>
      </c>
      <c r="D1015">
        <v>7</v>
      </c>
      <c r="E1015">
        <v>4</v>
      </c>
      <c r="F1015" s="1" t="s">
        <v>60</v>
      </c>
      <c r="G1015">
        <v>4</v>
      </c>
      <c r="H1015" s="1" t="s">
        <v>33</v>
      </c>
      <c r="I1015">
        <v>3</v>
      </c>
      <c r="J1015">
        <v>2</v>
      </c>
      <c r="K1015" s="1" t="s">
        <v>34</v>
      </c>
      <c r="L1015">
        <v>1</v>
      </c>
      <c r="M1015" s="1" t="s">
        <v>50</v>
      </c>
      <c r="N1015">
        <v>4779</v>
      </c>
      <c r="O1015">
        <v>7</v>
      </c>
      <c r="P1015" s="1" t="s">
        <v>39</v>
      </c>
      <c r="Q1015">
        <v>14</v>
      </c>
      <c r="R1015">
        <v>2</v>
      </c>
      <c r="S1015">
        <v>2</v>
      </c>
      <c r="T1015">
        <v>8</v>
      </c>
      <c r="U1015">
        <v>3</v>
      </c>
      <c r="V1015">
        <v>3</v>
      </c>
      <c r="W1015">
        <v>3</v>
      </c>
      <c r="X1015">
        <v>2</v>
      </c>
      <c r="Y1015">
        <v>0</v>
      </c>
      <c r="Z1015">
        <v>2</v>
      </c>
      <c r="AA1015">
        <v>0</v>
      </c>
      <c r="AB1015" s="1" t="s">
        <v>48</v>
      </c>
      <c r="AC1015" t="s">
        <v>37</v>
      </c>
      <c r="AD1015" t="s">
        <v>53</v>
      </c>
      <c r="AE1015" s="2">
        <v>1593</v>
      </c>
    </row>
    <row r="1016" spans="1:31" x14ac:dyDescent="0.35">
      <c r="A1016">
        <v>31</v>
      </c>
      <c r="B1016" s="1" t="s">
        <v>39</v>
      </c>
      <c r="C1016" s="1" t="s">
        <v>40</v>
      </c>
      <c r="D1016">
        <v>8</v>
      </c>
      <c r="E1016">
        <v>5</v>
      </c>
      <c r="F1016" s="1" t="s">
        <v>32</v>
      </c>
      <c r="G1016">
        <v>1</v>
      </c>
      <c r="H1016" s="1" t="s">
        <v>33</v>
      </c>
      <c r="I1016">
        <v>3</v>
      </c>
      <c r="J1016">
        <v>4</v>
      </c>
      <c r="K1016" s="1" t="s">
        <v>59</v>
      </c>
      <c r="L1016">
        <v>2</v>
      </c>
      <c r="M1016" s="1" t="s">
        <v>35</v>
      </c>
      <c r="N1016">
        <v>16422</v>
      </c>
      <c r="O1016">
        <v>3</v>
      </c>
      <c r="P1016" s="1" t="s">
        <v>39</v>
      </c>
      <c r="Q1016">
        <v>11</v>
      </c>
      <c r="R1016">
        <v>3</v>
      </c>
      <c r="S1016">
        <v>0</v>
      </c>
      <c r="T1016">
        <v>9</v>
      </c>
      <c r="U1016">
        <v>3</v>
      </c>
      <c r="V1016">
        <v>4</v>
      </c>
      <c r="W1016">
        <v>3</v>
      </c>
      <c r="X1016">
        <v>2</v>
      </c>
      <c r="Y1016">
        <v>1</v>
      </c>
      <c r="Z1016">
        <v>0</v>
      </c>
      <c r="AA1016">
        <v>0</v>
      </c>
      <c r="AB1016" s="1" t="s">
        <v>48</v>
      </c>
      <c r="AC1016" t="s">
        <v>56</v>
      </c>
      <c r="AD1016" t="s">
        <v>53</v>
      </c>
      <c r="AE1016" s="2">
        <v>5474</v>
      </c>
    </row>
    <row r="1017" spans="1:31" x14ac:dyDescent="0.35">
      <c r="A1017">
        <v>34</v>
      </c>
      <c r="B1017" s="1" t="s">
        <v>39</v>
      </c>
      <c r="C1017" s="1" t="s">
        <v>40</v>
      </c>
      <c r="D1017">
        <v>1</v>
      </c>
      <c r="E1017">
        <v>4</v>
      </c>
      <c r="F1017" s="1" t="s">
        <v>44</v>
      </c>
      <c r="G1017">
        <v>4</v>
      </c>
      <c r="H1017" s="1" t="s">
        <v>41</v>
      </c>
      <c r="I1017">
        <v>3</v>
      </c>
      <c r="J1017">
        <v>1</v>
      </c>
      <c r="K1017" s="1" t="s">
        <v>42</v>
      </c>
      <c r="L1017">
        <v>1</v>
      </c>
      <c r="M1017" s="1" t="s">
        <v>50</v>
      </c>
      <c r="N1017">
        <v>2996</v>
      </c>
      <c r="O1017">
        <v>5</v>
      </c>
      <c r="P1017" s="1" t="s">
        <v>39</v>
      </c>
      <c r="Q1017">
        <v>14</v>
      </c>
      <c r="R1017">
        <v>3</v>
      </c>
      <c r="S1017">
        <v>2</v>
      </c>
      <c r="T1017">
        <v>10</v>
      </c>
      <c r="U1017">
        <v>2</v>
      </c>
      <c r="V1017">
        <v>3</v>
      </c>
      <c r="W1017">
        <v>4</v>
      </c>
      <c r="X1017">
        <v>3</v>
      </c>
      <c r="Y1017">
        <v>1</v>
      </c>
      <c r="Z1017">
        <v>3</v>
      </c>
      <c r="AA1017">
        <v>0</v>
      </c>
      <c r="AB1017" s="1" t="s">
        <v>48</v>
      </c>
      <c r="AC1017" t="s">
        <v>46</v>
      </c>
      <c r="AD1017" t="s">
        <v>53</v>
      </c>
      <c r="AE1017" s="2">
        <v>749</v>
      </c>
    </row>
    <row r="1018" spans="1:31" x14ac:dyDescent="0.35">
      <c r="A1018">
        <v>31</v>
      </c>
      <c r="B1018" s="1" t="s">
        <v>30</v>
      </c>
      <c r="C1018" s="1" t="s">
        <v>40</v>
      </c>
      <c r="D1018">
        <v>8</v>
      </c>
      <c r="E1018">
        <v>3</v>
      </c>
      <c r="F1018" s="1" t="s">
        <v>32</v>
      </c>
      <c r="G1018">
        <v>1</v>
      </c>
      <c r="H1018" s="1" t="s">
        <v>33</v>
      </c>
      <c r="I1018">
        <v>2</v>
      </c>
      <c r="J1018">
        <v>1</v>
      </c>
      <c r="K1018" s="1" t="s">
        <v>42</v>
      </c>
      <c r="L1018">
        <v>2</v>
      </c>
      <c r="M1018" s="1" t="s">
        <v>35</v>
      </c>
      <c r="N1018">
        <v>1261</v>
      </c>
      <c r="O1018">
        <v>1</v>
      </c>
      <c r="P1018" s="1" t="s">
        <v>39</v>
      </c>
      <c r="Q1018">
        <v>12</v>
      </c>
      <c r="R1018">
        <v>3</v>
      </c>
      <c r="S1018">
        <v>0</v>
      </c>
      <c r="T1018">
        <v>1</v>
      </c>
      <c r="U1018">
        <v>3</v>
      </c>
      <c r="V1018">
        <v>4</v>
      </c>
      <c r="W1018">
        <v>1</v>
      </c>
      <c r="X1018">
        <v>0</v>
      </c>
      <c r="Y1018">
        <v>0</v>
      </c>
      <c r="Z1018">
        <v>0</v>
      </c>
      <c r="AA1018">
        <v>1</v>
      </c>
      <c r="AB1018" s="1" t="s">
        <v>48</v>
      </c>
      <c r="AC1018" t="s">
        <v>46</v>
      </c>
      <c r="AD1018" t="s">
        <v>47</v>
      </c>
      <c r="AE1018" s="2">
        <v>1261</v>
      </c>
    </row>
    <row r="1019" spans="1:31" x14ac:dyDescent="0.35">
      <c r="A1019">
        <v>27</v>
      </c>
      <c r="B1019" s="1" t="s">
        <v>39</v>
      </c>
      <c r="C1019" s="1" t="s">
        <v>40</v>
      </c>
      <c r="D1019">
        <v>11</v>
      </c>
      <c r="E1019">
        <v>1</v>
      </c>
      <c r="F1019" s="1" t="s">
        <v>32</v>
      </c>
      <c r="G1019">
        <v>2</v>
      </c>
      <c r="H1019" s="1" t="s">
        <v>41</v>
      </c>
      <c r="I1019">
        <v>3</v>
      </c>
      <c r="J1019">
        <v>1</v>
      </c>
      <c r="K1019" s="1" t="s">
        <v>45</v>
      </c>
      <c r="L1019">
        <v>1</v>
      </c>
      <c r="M1019" s="1" t="s">
        <v>43</v>
      </c>
      <c r="N1019">
        <v>2099</v>
      </c>
      <c r="O1019">
        <v>0</v>
      </c>
      <c r="P1019" s="1" t="s">
        <v>39</v>
      </c>
      <c r="Q1019">
        <v>14</v>
      </c>
      <c r="R1019">
        <v>2</v>
      </c>
      <c r="S1019">
        <v>0</v>
      </c>
      <c r="T1019">
        <v>6</v>
      </c>
      <c r="U1019">
        <v>3</v>
      </c>
      <c r="V1019">
        <v>4</v>
      </c>
      <c r="W1019">
        <v>5</v>
      </c>
      <c r="X1019">
        <v>0</v>
      </c>
      <c r="Y1019">
        <v>1</v>
      </c>
      <c r="Z1019">
        <v>4</v>
      </c>
      <c r="AA1019">
        <v>0</v>
      </c>
      <c r="AB1019" s="1" t="s">
        <v>48</v>
      </c>
      <c r="AC1019" t="s">
        <v>46</v>
      </c>
      <c r="AD1019" t="s">
        <v>53</v>
      </c>
      <c r="AE1019" s="2">
        <v>419.8</v>
      </c>
    </row>
    <row r="1020" spans="1:31" x14ac:dyDescent="0.35">
      <c r="A1020">
        <v>36</v>
      </c>
      <c r="B1020" s="1" t="s">
        <v>39</v>
      </c>
      <c r="C1020" s="1" t="s">
        <v>40</v>
      </c>
      <c r="D1020">
        <v>4</v>
      </c>
      <c r="E1020">
        <v>4</v>
      </c>
      <c r="F1020" s="1" t="s">
        <v>32</v>
      </c>
      <c r="G1020">
        <v>1</v>
      </c>
      <c r="H1020" s="1" t="s">
        <v>41</v>
      </c>
      <c r="I1020">
        <v>2</v>
      </c>
      <c r="J1020">
        <v>2</v>
      </c>
      <c r="K1020" s="1" t="s">
        <v>45</v>
      </c>
      <c r="L1020">
        <v>4</v>
      </c>
      <c r="M1020" s="1" t="s">
        <v>35</v>
      </c>
      <c r="N1020">
        <v>5810</v>
      </c>
      <c r="O1020">
        <v>1</v>
      </c>
      <c r="P1020" s="1" t="s">
        <v>39</v>
      </c>
      <c r="Q1020">
        <v>16</v>
      </c>
      <c r="R1020">
        <v>3</v>
      </c>
      <c r="S1020">
        <v>0</v>
      </c>
      <c r="T1020">
        <v>10</v>
      </c>
      <c r="U1020">
        <v>2</v>
      </c>
      <c r="V1020">
        <v>2</v>
      </c>
      <c r="W1020">
        <v>10</v>
      </c>
      <c r="X1020">
        <v>4</v>
      </c>
      <c r="Y1020">
        <v>1</v>
      </c>
      <c r="Z1020">
        <v>8</v>
      </c>
      <c r="AA1020">
        <v>0</v>
      </c>
      <c r="AB1020" s="1" t="s">
        <v>36</v>
      </c>
      <c r="AC1020" t="s">
        <v>37</v>
      </c>
      <c r="AD1020" t="s">
        <v>38</v>
      </c>
      <c r="AE1020" s="2">
        <v>581</v>
      </c>
    </row>
    <row r="1021" spans="1:31" x14ac:dyDescent="0.35">
      <c r="A1021">
        <v>36</v>
      </c>
      <c r="B1021" s="1" t="s">
        <v>39</v>
      </c>
      <c r="C1021" s="1" t="s">
        <v>31</v>
      </c>
      <c r="D1021">
        <v>16</v>
      </c>
      <c r="E1021">
        <v>4</v>
      </c>
      <c r="F1021" s="1" t="s">
        <v>60</v>
      </c>
      <c r="G1021">
        <v>3</v>
      </c>
      <c r="H1021" s="1" t="s">
        <v>33</v>
      </c>
      <c r="I1021">
        <v>2</v>
      </c>
      <c r="J1021">
        <v>2</v>
      </c>
      <c r="K1021" s="1" t="s">
        <v>34</v>
      </c>
      <c r="L1021">
        <v>1</v>
      </c>
      <c r="M1021" s="1" t="s">
        <v>43</v>
      </c>
      <c r="N1021">
        <v>5647</v>
      </c>
      <c r="O1021">
        <v>4</v>
      </c>
      <c r="P1021" s="1" t="s">
        <v>39</v>
      </c>
      <c r="Q1021">
        <v>13</v>
      </c>
      <c r="R1021">
        <v>1</v>
      </c>
      <c r="S1021">
        <v>2</v>
      </c>
      <c r="T1021">
        <v>11</v>
      </c>
      <c r="U1021">
        <v>3</v>
      </c>
      <c r="V1021">
        <v>2</v>
      </c>
      <c r="W1021">
        <v>3</v>
      </c>
      <c r="X1021">
        <v>2</v>
      </c>
      <c r="Y1021">
        <v>0</v>
      </c>
      <c r="Z1021">
        <v>2</v>
      </c>
      <c r="AA1021">
        <v>0</v>
      </c>
      <c r="AB1021" s="1" t="s">
        <v>36</v>
      </c>
      <c r="AC1021" t="s">
        <v>37</v>
      </c>
      <c r="AD1021" t="s">
        <v>53</v>
      </c>
      <c r="AE1021" s="2">
        <v>1882.3333333333333</v>
      </c>
    </row>
    <row r="1022" spans="1:31" x14ac:dyDescent="0.35">
      <c r="A1022">
        <v>47</v>
      </c>
      <c r="B1022" s="1" t="s">
        <v>39</v>
      </c>
      <c r="C1022" s="1" t="s">
        <v>40</v>
      </c>
      <c r="D1022">
        <v>1</v>
      </c>
      <c r="E1022">
        <v>3</v>
      </c>
      <c r="F1022" s="1" t="s">
        <v>61</v>
      </c>
      <c r="G1022">
        <v>1</v>
      </c>
      <c r="H1022" s="1" t="s">
        <v>41</v>
      </c>
      <c r="I1022">
        <v>3</v>
      </c>
      <c r="J1022">
        <v>1</v>
      </c>
      <c r="K1022" s="1" t="s">
        <v>42</v>
      </c>
      <c r="L1022">
        <v>4</v>
      </c>
      <c r="M1022" s="1" t="s">
        <v>43</v>
      </c>
      <c r="N1022">
        <v>3420</v>
      </c>
      <c r="O1022">
        <v>7</v>
      </c>
      <c r="P1022" s="1" t="s">
        <v>39</v>
      </c>
      <c r="Q1022">
        <v>12</v>
      </c>
      <c r="R1022">
        <v>3</v>
      </c>
      <c r="S1022">
        <v>1</v>
      </c>
      <c r="T1022">
        <v>17</v>
      </c>
      <c r="U1022">
        <v>2</v>
      </c>
      <c r="V1022">
        <v>2</v>
      </c>
      <c r="W1022">
        <v>6</v>
      </c>
      <c r="X1022">
        <v>5</v>
      </c>
      <c r="Y1022">
        <v>1</v>
      </c>
      <c r="Z1022">
        <v>2</v>
      </c>
      <c r="AA1022">
        <v>0</v>
      </c>
      <c r="AB1022" s="1" t="s">
        <v>82</v>
      </c>
      <c r="AC1022" t="s">
        <v>46</v>
      </c>
      <c r="AD1022" t="s">
        <v>38</v>
      </c>
      <c r="AE1022" s="2">
        <v>570</v>
      </c>
    </row>
    <row r="1023" spans="1:31" x14ac:dyDescent="0.35">
      <c r="A1023">
        <v>25</v>
      </c>
      <c r="B1023" s="1" t="s">
        <v>30</v>
      </c>
      <c r="C1023" s="1" t="s">
        <v>31</v>
      </c>
      <c r="D1023">
        <v>9</v>
      </c>
      <c r="E1023">
        <v>2</v>
      </c>
      <c r="F1023" s="1" t="s">
        <v>32</v>
      </c>
      <c r="G1023">
        <v>1</v>
      </c>
      <c r="H1023" s="1" t="s">
        <v>41</v>
      </c>
      <c r="I1023">
        <v>2</v>
      </c>
      <c r="J1023">
        <v>1</v>
      </c>
      <c r="K1023" s="1" t="s">
        <v>58</v>
      </c>
      <c r="L1023">
        <v>1</v>
      </c>
      <c r="M1023" s="1" t="s">
        <v>43</v>
      </c>
      <c r="N1023">
        <v>4400</v>
      </c>
      <c r="O1023">
        <v>3</v>
      </c>
      <c r="P1023" s="1" t="s">
        <v>39</v>
      </c>
      <c r="Q1023">
        <v>12</v>
      </c>
      <c r="R1023">
        <v>1</v>
      </c>
      <c r="S1023">
        <v>0</v>
      </c>
      <c r="T1023">
        <v>6</v>
      </c>
      <c r="U1023">
        <v>2</v>
      </c>
      <c r="V1023">
        <v>3</v>
      </c>
      <c r="W1023">
        <v>3</v>
      </c>
      <c r="X1023">
        <v>2</v>
      </c>
      <c r="Y1023">
        <v>2</v>
      </c>
      <c r="Z1023">
        <v>2</v>
      </c>
      <c r="AA1023">
        <v>1</v>
      </c>
      <c r="AB1023" s="1" t="s">
        <v>54</v>
      </c>
      <c r="AC1023" t="s">
        <v>37</v>
      </c>
      <c r="AD1023" t="s">
        <v>53</v>
      </c>
      <c r="AE1023" s="2">
        <v>1466.6666666666667</v>
      </c>
    </row>
    <row r="1024" spans="1:31" x14ac:dyDescent="0.35">
      <c r="A1024">
        <v>37</v>
      </c>
      <c r="B1024" s="1" t="s">
        <v>39</v>
      </c>
      <c r="C1024" s="1" t="s">
        <v>40</v>
      </c>
      <c r="D1024">
        <v>5</v>
      </c>
      <c r="E1024">
        <v>2</v>
      </c>
      <c r="F1024" s="1" t="s">
        <v>61</v>
      </c>
      <c r="G1024">
        <v>3</v>
      </c>
      <c r="H1024" s="1" t="s">
        <v>41</v>
      </c>
      <c r="I1024">
        <v>4</v>
      </c>
      <c r="J1024">
        <v>1</v>
      </c>
      <c r="K1024" s="1" t="s">
        <v>45</v>
      </c>
      <c r="L1024">
        <v>3</v>
      </c>
      <c r="M1024" s="1" t="s">
        <v>35</v>
      </c>
      <c r="N1024">
        <v>3500</v>
      </c>
      <c r="O1024">
        <v>0</v>
      </c>
      <c r="P1024" s="1" t="s">
        <v>39</v>
      </c>
      <c r="Q1024">
        <v>14</v>
      </c>
      <c r="R1024">
        <v>1</v>
      </c>
      <c r="S1024">
        <v>0</v>
      </c>
      <c r="T1024">
        <v>7</v>
      </c>
      <c r="U1024">
        <v>2</v>
      </c>
      <c r="V1024">
        <v>1</v>
      </c>
      <c r="W1024">
        <v>6</v>
      </c>
      <c r="X1024">
        <v>5</v>
      </c>
      <c r="Y1024">
        <v>1</v>
      </c>
      <c r="Z1024">
        <v>3</v>
      </c>
      <c r="AA1024">
        <v>0</v>
      </c>
      <c r="AB1024" s="1" t="s">
        <v>36</v>
      </c>
      <c r="AC1024" t="s">
        <v>46</v>
      </c>
      <c r="AD1024" t="s">
        <v>38</v>
      </c>
      <c r="AE1024" s="2">
        <v>583.33333333333337</v>
      </c>
    </row>
    <row r="1025" spans="1:31" x14ac:dyDescent="0.35">
      <c r="A1025">
        <v>56</v>
      </c>
      <c r="B1025" s="1" t="s">
        <v>39</v>
      </c>
      <c r="C1025" s="1" t="s">
        <v>40</v>
      </c>
      <c r="D1025">
        <v>1</v>
      </c>
      <c r="E1025">
        <v>2</v>
      </c>
      <c r="F1025" s="1" t="s">
        <v>32</v>
      </c>
      <c r="G1025">
        <v>1</v>
      </c>
      <c r="H1025" s="1" t="s">
        <v>33</v>
      </c>
      <c r="I1025">
        <v>3</v>
      </c>
      <c r="J1025">
        <v>1</v>
      </c>
      <c r="K1025" s="1" t="s">
        <v>42</v>
      </c>
      <c r="L1025">
        <v>1</v>
      </c>
      <c r="M1025" s="1" t="s">
        <v>43</v>
      </c>
      <c r="N1025">
        <v>2066</v>
      </c>
      <c r="O1025">
        <v>2</v>
      </c>
      <c r="P1025" s="1" t="s">
        <v>39</v>
      </c>
      <c r="Q1025">
        <v>22</v>
      </c>
      <c r="R1025">
        <v>4</v>
      </c>
      <c r="S1025">
        <v>1</v>
      </c>
      <c r="T1025">
        <v>5</v>
      </c>
      <c r="U1025">
        <v>3</v>
      </c>
      <c r="V1025">
        <v>4</v>
      </c>
      <c r="W1025">
        <v>3</v>
      </c>
      <c r="X1025">
        <v>2</v>
      </c>
      <c r="Y1025">
        <v>1</v>
      </c>
      <c r="Z1025">
        <v>0</v>
      </c>
      <c r="AA1025">
        <v>0</v>
      </c>
      <c r="AB1025" s="1" t="s">
        <v>82</v>
      </c>
      <c r="AC1025" t="s">
        <v>46</v>
      </c>
      <c r="AD1025" t="s">
        <v>53</v>
      </c>
      <c r="AE1025" s="2">
        <v>688.66666666666663</v>
      </c>
    </row>
    <row r="1026" spans="1:31" x14ac:dyDescent="0.35">
      <c r="A1026">
        <v>47</v>
      </c>
      <c r="B1026" s="1" t="s">
        <v>39</v>
      </c>
      <c r="C1026" s="1" t="s">
        <v>40</v>
      </c>
      <c r="D1026">
        <v>2</v>
      </c>
      <c r="E1026">
        <v>4</v>
      </c>
      <c r="F1026" s="1" t="s">
        <v>49</v>
      </c>
      <c r="G1026">
        <v>1</v>
      </c>
      <c r="H1026" s="1" t="s">
        <v>33</v>
      </c>
      <c r="I1026">
        <v>3</v>
      </c>
      <c r="J1026">
        <v>4</v>
      </c>
      <c r="K1026" s="1" t="s">
        <v>59</v>
      </c>
      <c r="L1026">
        <v>3</v>
      </c>
      <c r="M1026" s="1" t="s">
        <v>43</v>
      </c>
      <c r="N1026">
        <v>17169</v>
      </c>
      <c r="O1026">
        <v>3</v>
      </c>
      <c r="P1026" s="1" t="s">
        <v>39</v>
      </c>
      <c r="Q1026">
        <v>19</v>
      </c>
      <c r="R1026">
        <v>2</v>
      </c>
      <c r="S1026">
        <v>2</v>
      </c>
      <c r="T1026">
        <v>26</v>
      </c>
      <c r="U1026">
        <v>2</v>
      </c>
      <c r="V1026">
        <v>4</v>
      </c>
      <c r="W1026">
        <v>20</v>
      </c>
      <c r="X1026">
        <v>17</v>
      </c>
      <c r="Y1026">
        <v>5</v>
      </c>
      <c r="Z1026">
        <v>6</v>
      </c>
      <c r="AA1026">
        <v>0</v>
      </c>
      <c r="AB1026" s="1" t="s">
        <v>82</v>
      </c>
      <c r="AC1026" t="s">
        <v>56</v>
      </c>
      <c r="AD1026" t="s">
        <v>57</v>
      </c>
      <c r="AE1026" s="2">
        <v>858.45</v>
      </c>
    </row>
    <row r="1027" spans="1:31" x14ac:dyDescent="0.35">
      <c r="A1027">
        <v>24</v>
      </c>
      <c r="B1027" s="1" t="s">
        <v>39</v>
      </c>
      <c r="C1027" s="1" t="s">
        <v>31</v>
      </c>
      <c r="D1027">
        <v>4</v>
      </c>
      <c r="E1027">
        <v>1</v>
      </c>
      <c r="F1027" s="1" t="s">
        <v>49</v>
      </c>
      <c r="G1027">
        <v>4</v>
      </c>
      <c r="H1027" s="1" t="s">
        <v>33</v>
      </c>
      <c r="I1027">
        <v>3</v>
      </c>
      <c r="J1027">
        <v>2</v>
      </c>
      <c r="K1027" s="1" t="s">
        <v>34</v>
      </c>
      <c r="L1027">
        <v>3</v>
      </c>
      <c r="M1027" s="1" t="s">
        <v>43</v>
      </c>
      <c r="N1027">
        <v>4162</v>
      </c>
      <c r="O1027">
        <v>1</v>
      </c>
      <c r="P1027" s="1" t="s">
        <v>30</v>
      </c>
      <c r="Q1027">
        <v>12</v>
      </c>
      <c r="R1027">
        <v>3</v>
      </c>
      <c r="S1027">
        <v>2</v>
      </c>
      <c r="T1027">
        <v>5</v>
      </c>
      <c r="U1027">
        <v>3</v>
      </c>
      <c r="V1027">
        <v>3</v>
      </c>
      <c r="W1027">
        <v>5</v>
      </c>
      <c r="X1027">
        <v>4</v>
      </c>
      <c r="Y1027">
        <v>0</v>
      </c>
      <c r="Z1027">
        <v>3</v>
      </c>
      <c r="AA1027">
        <v>0</v>
      </c>
      <c r="AB1027" s="1" t="s">
        <v>54</v>
      </c>
      <c r="AC1027" t="s">
        <v>37</v>
      </c>
      <c r="AD1027" t="s">
        <v>53</v>
      </c>
      <c r="AE1027" s="2">
        <v>832.4</v>
      </c>
    </row>
    <row r="1028" spans="1:31" x14ac:dyDescent="0.35">
      <c r="A1028">
        <v>32</v>
      </c>
      <c r="B1028" s="1" t="s">
        <v>39</v>
      </c>
      <c r="C1028" s="1" t="s">
        <v>31</v>
      </c>
      <c r="D1028">
        <v>7</v>
      </c>
      <c r="E1028">
        <v>5</v>
      </c>
      <c r="F1028" s="1" t="s">
        <v>60</v>
      </c>
      <c r="G1028">
        <v>4</v>
      </c>
      <c r="H1028" s="1" t="s">
        <v>41</v>
      </c>
      <c r="I1028">
        <v>3</v>
      </c>
      <c r="J1028">
        <v>2</v>
      </c>
      <c r="K1028" s="1" t="s">
        <v>34</v>
      </c>
      <c r="L1028">
        <v>4</v>
      </c>
      <c r="M1028" s="1" t="s">
        <v>43</v>
      </c>
      <c r="N1028">
        <v>9204</v>
      </c>
      <c r="O1028">
        <v>4</v>
      </c>
      <c r="P1028" s="1" t="s">
        <v>39</v>
      </c>
      <c r="Q1028">
        <v>12</v>
      </c>
      <c r="R1028">
        <v>3</v>
      </c>
      <c r="S1028">
        <v>1</v>
      </c>
      <c r="T1028">
        <v>7</v>
      </c>
      <c r="U1028">
        <v>3</v>
      </c>
      <c r="V1028">
        <v>2</v>
      </c>
      <c r="W1028">
        <v>4</v>
      </c>
      <c r="X1028">
        <v>3</v>
      </c>
      <c r="Y1028">
        <v>0</v>
      </c>
      <c r="Z1028">
        <v>3</v>
      </c>
      <c r="AA1028">
        <v>0</v>
      </c>
      <c r="AB1028" s="1" t="s">
        <v>48</v>
      </c>
      <c r="AC1028" t="s">
        <v>37</v>
      </c>
      <c r="AD1028" t="s">
        <v>53</v>
      </c>
      <c r="AE1028" s="2">
        <v>2301</v>
      </c>
    </row>
    <row r="1029" spans="1:31" x14ac:dyDescent="0.35">
      <c r="A1029">
        <v>34</v>
      </c>
      <c r="B1029" s="1" t="s">
        <v>39</v>
      </c>
      <c r="C1029" s="1" t="s">
        <v>40</v>
      </c>
      <c r="D1029">
        <v>1</v>
      </c>
      <c r="E1029">
        <v>3</v>
      </c>
      <c r="F1029" s="1" t="s">
        <v>32</v>
      </c>
      <c r="G1029">
        <v>4</v>
      </c>
      <c r="H1029" s="1" t="s">
        <v>33</v>
      </c>
      <c r="I1029">
        <v>2</v>
      </c>
      <c r="J1029">
        <v>1</v>
      </c>
      <c r="K1029" s="1" t="s">
        <v>45</v>
      </c>
      <c r="L1029">
        <v>2</v>
      </c>
      <c r="M1029" s="1" t="s">
        <v>43</v>
      </c>
      <c r="N1029">
        <v>3294</v>
      </c>
      <c r="O1029">
        <v>5</v>
      </c>
      <c r="P1029" s="1" t="s">
        <v>39</v>
      </c>
      <c r="Q1029">
        <v>17</v>
      </c>
      <c r="R1029">
        <v>1</v>
      </c>
      <c r="S1029">
        <v>1</v>
      </c>
      <c r="T1029">
        <v>7</v>
      </c>
      <c r="U1029">
        <v>2</v>
      </c>
      <c r="V1029">
        <v>2</v>
      </c>
      <c r="W1029">
        <v>5</v>
      </c>
      <c r="X1029">
        <v>4</v>
      </c>
      <c r="Y1029">
        <v>0</v>
      </c>
      <c r="Z1029">
        <v>2</v>
      </c>
      <c r="AA1029">
        <v>0</v>
      </c>
      <c r="AB1029" s="1" t="s">
        <v>48</v>
      </c>
      <c r="AC1029" t="s">
        <v>46</v>
      </c>
      <c r="AD1029" t="s">
        <v>53</v>
      </c>
      <c r="AE1029" s="2">
        <v>658.8</v>
      </c>
    </row>
    <row r="1030" spans="1:31" x14ac:dyDescent="0.35">
      <c r="A1030">
        <v>41</v>
      </c>
      <c r="B1030" s="1" t="s">
        <v>39</v>
      </c>
      <c r="C1030" s="1" t="s">
        <v>40</v>
      </c>
      <c r="D1030">
        <v>5</v>
      </c>
      <c r="E1030">
        <v>5</v>
      </c>
      <c r="F1030" s="1" t="s">
        <v>49</v>
      </c>
      <c r="G1030">
        <v>2</v>
      </c>
      <c r="H1030" s="1" t="s">
        <v>41</v>
      </c>
      <c r="I1030">
        <v>4</v>
      </c>
      <c r="J1030">
        <v>1</v>
      </c>
      <c r="K1030" s="1" t="s">
        <v>42</v>
      </c>
      <c r="L1030">
        <v>3</v>
      </c>
      <c r="M1030" s="1" t="s">
        <v>43</v>
      </c>
      <c r="N1030">
        <v>2127</v>
      </c>
      <c r="O1030">
        <v>2</v>
      </c>
      <c r="P1030" s="1" t="s">
        <v>30</v>
      </c>
      <c r="Q1030">
        <v>12</v>
      </c>
      <c r="R1030">
        <v>1</v>
      </c>
      <c r="S1030">
        <v>0</v>
      </c>
      <c r="T1030">
        <v>7</v>
      </c>
      <c r="U1030">
        <v>5</v>
      </c>
      <c r="V1030">
        <v>2</v>
      </c>
      <c r="W1030">
        <v>4</v>
      </c>
      <c r="X1030">
        <v>2</v>
      </c>
      <c r="Y1030">
        <v>0</v>
      </c>
      <c r="Z1030">
        <v>3</v>
      </c>
      <c r="AA1030">
        <v>0</v>
      </c>
      <c r="AB1030" s="1" t="s">
        <v>36</v>
      </c>
      <c r="AC1030" t="s">
        <v>46</v>
      </c>
      <c r="AD1030" t="s">
        <v>53</v>
      </c>
      <c r="AE1030" s="2">
        <v>531.75</v>
      </c>
    </row>
    <row r="1031" spans="1:31" x14ac:dyDescent="0.35">
      <c r="A1031">
        <v>40</v>
      </c>
      <c r="B1031" s="1" t="s">
        <v>39</v>
      </c>
      <c r="C1031" s="1" t="s">
        <v>40</v>
      </c>
      <c r="D1031">
        <v>9</v>
      </c>
      <c r="E1031">
        <v>4</v>
      </c>
      <c r="F1031" s="1" t="s">
        <v>44</v>
      </c>
      <c r="G1031">
        <v>3</v>
      </c>
      <c r="H1031" s="1" t="s">
        <v>41</v>
      </c>
      <c r="I1031">
        <v>3</v>
      </c>
      <c r="J1031">
        <v>2</v>
      </c>
      <c r="K1031" s="1" t="s">
        <v>45</v>
      </c>
      <c r="L1031">
        <v>3</v>
      </c>
      <c r="M1031" s="1" t="s">
        <v>50</v>
      </c>
      <c r="N1031">
        <v>3975</v>
      </c>
      <c r="O1031">
        <v>3</v>
      </c>
      <c r="P1031" s="1" t="s">
        <v>39</v>
      </c>
      <c r="Q1031">
        <v>11</v>
      </c>
      <c r="R1031">
        <v>3</v>
      </c>
      <c r="S1031">
        <v>2</v>
      </c>
      <c r="T1031">
        <v>11</v>
      </c>
      <c r="U1031">
        <v>2</v>
      </c>
      <c r="V1031">
        <v>4</v>
      </c>
      <c r="W1031">
        <v>8</v>
      </c>
      <c r="X1031">
        <v>7</v>
      </c>
      <c r="Y1031">
        <v>0</v>
      </c>
      <c r="Z1031">
        <v>7</v>
      </c>
      <c r="AA1031">
        <v>0</v>
      </c>
      <c r="AB1031" s="1" t="s">
        <v>36</v>
      </c>
      <c r="AC1031" t="s">
        <v>46</v>
      </c>
      <c r="AD1031" t="s">
        <v>38</v>
      </c>
      <c r="AE1031" s="2">
        <v>496.875</v>
      </c>
    </row>
    <row r="1032" spans="1:31" x14ac:dyDescent="0.35">
      <c r="A1032">
        <v>31</v>
      </c>
      <c r="B1032" s="1" t="s">
        <v>39</v>
      </c>
      <c r="C1032" s="1" t="s">
        <v>31</v>
      </c>
      <c r="D1032">
        <v>8</v>
      </c>
      <c r="E1032">
        <v>2</v>
      </c>
      <c r="F1032" s="1" t="s">
        <v>32</v>
      </c>
      <c r="G1032">
        <v>1</v>
      </c>
      <c r="H1032" s="1" t="s">
        <v>41</v>
      </c>
      <c r="I1032">
        <v>3</v>
      </c>
      <c r="J1032">
        <v>3</v>
      </c>
      <c r="K1032" s="1" t="s">
        <v>34</v>
      </c>
      <c r="L1032">
        <v>4</v>
      </c>
      <c r="M1032" s="1" t="s">
        <v>50</v>
      </c>
      <c r="N1032">
        <v>10793</v>
      </c>
      <c r="O1032">
        <v>1</v>
      </c>
      <c r="P1032" s="1" t="s">
        <v>39</v>
      </c>
      <c r="Q1032">
        <v>18</v>
      </c>
      <c r="R1032">
        <v>1</v>
      </c>
      <c r="S1032">
        <v>1</v>
      </c>
      <c r="T1032">
        <v>13</v>
      </c>
      <c r="U1032">
        <v>5</v>
      </c>
      <c r="V1032">
        <v>3</v>
      </c>
      <c r="W1032">
        <v>13</v>
      </c>
      <c r="X1032">
        <v>7</v>
      </c>
      <c r="Y1032">
        <v>9</v>
      </c>
      <c r="Z1032">
        <v>9</v>
      </c>
      <c r="AA1032">
        <v>0</v>
      </c>
      <c r="AB1032" s="1" t="s">
        <v>48</v>
      </c>
      <c r="AC1032" t="s">
        <v>56</v>
      </c>
      <c r="AD1032" t="s">
        <v>57</v>
      </c>
      <c r="AE1032" s="2">
        <v>830.23076923076928</v>
      </c>
    </row>
    <row r="1033" spans="1:31" x14ac:dyDescent="0.35">
      <c r="A1033">
        <v>46</v>
      </c>
      <c r="B1033" s="1" t="s">
        <v>30</v>
      </c>
      <c r="C1033" s="1" t="s">
        <v>31</v>
      </c>
      <c r="D1033">
        <v>9</v>
      </c>
      <c r="E1033">
        <v>3</v>
      </c>
      <c r="F1033" s="1" t="s">
        <v>60</v>
      </c>
      <c r="G1033">
        <v>1</v>
      </c>
      <c r="H1033" s="1" t="s">
        <v>41</v>
      </c>
      <c r="I1033">
        <v>3</v>
      </c>
      <c r="J1033">
        <v>3</v>
      </c>
      <c r="K1033" s="1" t="s">
        <v>34</v>
      </c>
      <c r="L1033">
        <v>4</v>
      </c>
      <c r="M1033" s="1" t="s">
        <v>50</v>
      </c>
      <c r="N1033">
        <v>10096</v>
      </c>
      <c r="O1033">
        <v>4</v>
      </c>
      <c r="P1033" s="1" t="s">
        <v>39</v>
      </c>
      <c r="Q1033">
        <v>11</v>
      </c>
      <c r="R1033">
        <v>1</v>
      </c>
      <c r="S1033">
        <v>1</v>
      </c>
      <c r="T1033">
        <v>28</v>
      </c>
      <c r="U1033">
        <v>1</v>
      </c>
      <c r="V1033">
        <v>4</v>
      </c>
      <c r="W1033">
        <v>7</v>
      </c>
      <c r="X1033">
        <v>7</v>
      </c>
      <c r="Y1033">
        <v>4</v>
      </c>
      <c r="Z1033">
        <v>3</v>
      </c>
      <c r="AA1033">
        <v>1</v>
      </c>
      <c r="AB1033" s="1" t="s">
        <v>82</v>
      </c>
      <c r="AC1033" t="s">
        <v>56</v>
      </c>
      <c r="AD1033" t="s">
        <v>38</v>
      </c>
      <c r="AE1033" s="2">
        <v>1442.2857142857142</v>
      </c>
    </row>
    <row r="1034" spans="1:31" x14ac:dyDescent="0.35">
      <c r="A1034">
        <v>39</v>
      </c>
      <c r="B1034" s="1" t="s">
        <v>30</v>
      </c>
      <c r="C1034" s="1" t="s">
        <v>40</v>
      </c>
      <c r="D1034">
        <v>2</v>
      </c>
      <c r="E1034">
        <v>3</v>
      </c>
      <c r="F1034" s="1" t="s">
        <v>32</v>
      </c>
      <c r="G1034">
        <v>1</v>
      </c>
      <c r="H1034" s="1" t="s">
        <v>33</v>
      </c>
      <c r="I1034">
        <v>2</v>
      </c>
      <c r="J1034">
        <v>1</v>
      </c>
      <c r="K1034" s="1" t="s">
        <v>45</v>
      </c>
      <c r="L1034">
        <v>1</v>
      </c>
      <c r="M1034" s="1" t="s">
        <v>35</v>
      </c>
      <c r="N1034">
        <v>3646</v>
      </c>
      <c r="O1034">
        <v>2</v>
      </c>
      <c r="P1034" s="1" t="s">
        <v>30</v>
      </c>
      <c r="Q1034">
        <v>23</v>
      </c>
      <c r="R1034">
        <v>2</v>
      </c>
      <c r="S1034">
        <v>0</v>
      </c>
      <c r="T1034">
        <v>11</v>
      </c>
      <c r="U1034">
        <v>2</v>
      </c>
      <c r="V1034">
        <v>4</v>
      </c>
      <c r="W1034">
        <v>1</v>
      </c>
      <c r="X1034">
        <v>0</v>
      </c>
      <c r="Y1034">
        <v>0</v>
      </c>
      <c r="Z1034">
        <v>0</v>
      </c>
      <c r="AA1034">
        <v>1</v>
      </c>
      <c r="AB1034" s="1" t="s">
        <v>36</v>
      </c>
      <c r="AC1034" t="s">
        <v>46</v>
      </c>
      <c r="AD1034" t="s">
        <v>47</v>
      </c>
      <c r="AE1034" s="2">
        <v>3646</v>
      </c>
    </row>
    <row r="1035" spans="1:31" x14ac:dyDescent="0.35">
      <c r="A1035">
        <v>31</v>
      </c>
      <c r="B1035" s="1" t="s">
        <v>30</v>
      </c>
      <c r="C1035" s="1" t="s">
        <v>40</v>
      </c>
      <c r="D1035">
        <v>1</v>
      </c>
      <c r="E1035">
        <v>5</v>
      </c>
      <c r="F1035" s="1" t="s">
        <v>32</v>
      </c>
      <c r="G1035">
        <v>3</v>
      </c>
      <c r="H1035" s="1" t="s">
        <v>33</v>
      </c>
      <c r="I1035">
        <v>4</v>
      </c>
      <c r="J1035">
        <v>3</v>
      </c>
      <c r="K1035" s="1" t="s">
        <v>51</v>
      </c>
      <c r="L1035">
        <v>2</v>
      </c>
      <c r="M1035" s="1" t="s">
        <v>35</v>
      </c>
      <c r="N1035">
        <v>7446</v>
      </c>
      <c r="O1035">
        <v>1</v>
      </c>
      <c r="P1035" s="1" t="s">
        <v>39</v>
      </c>
      <c r="Q1035">
        <v>11</v>
      </c>
      <c r="R1035">
        <v>1</v>
      </c>
      <c r="S1035">
        <v>0</v>
      </c>
      <c r="T1035">
        <v>10</v>
      </c>
      <c r="U1035">
        <v>2</v>
      </c>
      <c r="V1035">
        <v>3</v>
      </c>
      <c r="W1035">
        <v>10</v>
      </c>
      <c r="X1035">
        <v>8</v>
      </c>
      <c r="Y1035">
        <v>4</v>
      </c>
      <c r="Z1035">
        <v>7</v>
      </c>
      <c r="AA1035">
        <v>1</v>
      </c>
      <c r="AB1035" s="1" t="s">
        <v>48</v>
      </c>
      <c r="AC1035" t="s">
        <v>37</v>
      </c>
      <c r="AD1035" t="s">
        <v>38</v>
      </c>
      <c r="AE1035" s="2">
        <v>744.6</v>
      </c>
    </row>
    <row r="1036" spans="1:31" x14ac:dyDescent="0.35">
      <c r="A1036">
        <v>45</v>
      </c>
      <c r="B1036" s="1" t="s">
        <v>39</v>
      </c>
      <c r="C1036" s="1" t="s">
        <v>40</v>
      </c>
      <c r="D1036">
        <v>20</v>
      </c>
      <c r="E1036">
        <v>3</v>
      </c>
      <c r="F1036" s="1" t="s">
        <v>49</v>
      </c>
      <c r="G1036">
        <v>2</v>
      </c>
      <c r="H1036" s="1" t="s">
        <v>41</v>
      </c>
      <c r="I1036">
        <v>1</v>
      </c>
      <c r="J1036">
        <v>3</v>
      </c>
      <c r="K1036" s="1" t="s">
        <v>52</v>
      </c>
      <c r="L1036">
        <v>1</v>
      </c>
      <c r="M1036" s="1" t="s">
        <v>50</v>
      </c>
      <c r="N1036">
        <v>10851</v>
      </c>
      <c r="O1036">
        <v>2</v>
      </c>
      <c r="P1036" s="1" t="s">
        <v>30</v>
      </c>
      <c r="Q1036">
        <v>18</v>
      </c>
      <c r="R1036">
        <v>2</v>
      </c>
      <c r="S1036">
        <v>1</v>
      </c>
      <c r="T1036">
        <v>24</v>
      </c>
      <c r="U1036">
        <v>2</v>
      </c>
      <c r="V1036">
        <v>3</v>
      </c>
      <c r="W1036">
        <v>7</v>
      </c>
      <c r="X1036">
        <v>7</v>
      </c>
      <c r="Y1036">
        <v>0</v>
      </c>
      <c r="Z1036">
        <v>7</v>
      </c>
      <c r="AA1036">
        <v>0</v>
      </c>
      <c r="AB1036" s="1" t="s">
        <v>36</v>
      </c>
      <c r="AC1036" t="s">
        <v>56</v>
      </c>
      <c r="AD1036" t="s">
        <v>38</v>
      </c>
      <c r="AE1036" s="2">
        <v>1550.1428571428571</v>
      </c>
    </row>
    <row r="1037" spans="1:31" x14ac:dyDescent="0.35">
      <c r="A1037">
        <v>31</v>
      </c>
      <c r="B1037" s="1" t="s">
        <v>39</v>
      </c>
      <c r="C1037" s="1" t="s">
        <v>62</v>
      </c>
      <c r="D1037">
        <v>8</v>
      </c>
      <c r="E1037">
        <v>2</v>
      </c>
      <c r="F1037" s="1" t="s">
        <v>49</v>
      </c>
      <c r="G1037">
        <v>4</v>
      </c>
      <c r="H1037" s="1" t="s">
        <v>33</v>
      </c>
      <c r="I1037">
        <v>4</v>
      </c>
      <c r="J1037">
        <v>1</v>
      </c>
      <c r="K1037" s="1" t="s">
        <v>62</v>
      </c>
      <c r="L1037">
        <v>2</v>
      </c>
      <c r="M1037" s="1" t="s">
        <v>35</v>
      </c>
      <c r="N1037">
        <v>2109</v>
      </c>
      <c r="O1037">
        <v>9</v>
      </c>
      <c r="P1037" s="1" t="s">
        <v>39</v>
      </c>
      <c r="Q1037">
        <v>18</v>
      </c>
      <c r="R1037">
        <v>4</v>
      </c>
      <c r="S1037">
        <v>0</v>
      </c>
      <c r="T1037">
        <v>8</v>
      </c>
      <c r="U1037">
        <v>3</v>
      </c>
      <c r="V1037">
        <v>3</v>
      </c>
      <c r="W1037">
        <v>3</v>
      </c>
      <c r="X1037">
        <v>2</v>
      </c>
      <c r="Y1037">
        <v>0</v>
      </c>
      <c r="Z1037">
        <v>2</v>
      </c>
      <c r="AA1037">
        <v>0</v>
      </c>
      <c r="AB1037" s="1" t="s">
        <v>48</v>
      </c>
      <c r="AC1037" t="s">
        <v>46</v>
      </c>
      <c r="AD1037" t="s">
        <v>53</v>
      </c>
      <c r="AE1037" s="2">
        <v>703</v>
      </c>
    </row>
    <row r="1038" spans="1:31" x14ac:dyDescent="0.35">
      <c r="A1038">
        <v>31</v>
      </c>
      <c r="B1038" s="1" t="s">
        <v>30</v>
      </c>
      <c r="C1038" s="1" t="s">
        <v>40</v>
      </c>
      <c r="D1038">
        <v>2</v>
      </c>
      <c r="E1038">
        <v>3</v>
      </c>
      <c r="F1038" s="1" t="s">
        <v>32</v>
      </c>
      <c r="G1038">
        <v>2</v>
      </c>
      <c r="H1038" s="1" t="s">
        <v>41</v>
      </c>
      <c r="I1038">
        <v>3</v>
      </c>
      <c r="J1038">
        <v>1</v>
      </c>
      <c r="K1038" s="1" t="s">
        <v>45</v>
      </c>
      <c r="L1038">
        <v>4</v>
      </c>
      <c r="M1038" s="1" t="s">
        <v>43</v>
      </c>
      <c r="N1038">
        <v>3722</v>
      </c>
      <c r="O1038">
        <v>6</v>
      </c>
      <c r="P1038" s="1" t="s">
        <v>30</v>
      </c>
      <c r="Q1038">
        <v>13</v>
      </c>
      <c r="R1038">
        <v>3</v>
      </c>
      <c r="S1038">
        <v>1</v>
      </c>
      <c r="T1038">
        <v>7</v>
      </c>
      <c r="U1038">
        <v>2</v>
      </c>
      <c r="V1038">
        <v>1</v>
      </c>
      <c r="W1038">
        <v>2</v>
      </c>
      <c r="X1038">
        <v>2</v>
      </c>
      <c r="Y1038">
        <v>2</v>
      </c>
      <c r="Z1038">
        <v>2</v>
      </c>
      <c r="AA1038">
        <v>1</v>
      </c>
      <c r="AB1038" s="1" t="s">
        <v>48</v>
      </c>
      <c r="AC1038" t="s">
        <v>46</v>
      </c>
      <c r="AD1038" t="s">
        <v>47</v>
      </c>
      <c r="AE1038" s="2">
        <v>1861</v>
      </c>
    </row>
    <row r="1039" spans="1:31" x14ac:dyDescent="0.35">
      <c r="A1039">
        <v>45</v>
      </c>
      <c r="B1039" s="1" t="s">
        <v>39</v>
      </c>
      <c r="C1039" s="1" t="s">
        <v>40</v>
      </c>
      <c r="D1039">
        <v>29</v>
      </c>
      <c r="E1039">
        <v>3</v>
      </c>
      <c r="F1039" s="1" t="s">
        <v>61</v>
      </c>
      <c r="G1039">
        <v>2</v>
      </c>
      <c r="H1039" s="1" t="s">
        <v>41</v>
      </c>
      <c r="I1039">
        <v>3</v>
      </c>
      <c r="J1039">
        <v>3</v>
      </c>
      <c r="K1039" s="1" t="s">
        <v>51</v>
      </c>
      <c r="L1039">
        <v>4</v>
      </c>
      <c r="M1039" s="1" t="s">
        <v>43</v>
      </c>
      <c r="N1039">
        <v>9380</v>
      </c>
      <c r="O1039">
        <v>4</v>
      </c>
      <c r="P1039" s="1" t="s">
        <v>30</v>
      </c>
      <c r="Q1039">
        <v>18</v>
      </c>
      <c r="R1039">
        <v>4</v>
      </c>
      <c r="S1039">
        <v>2</v>
      </c>
      <c r="T1039">
        <v>10</v>
      </c>
      <c r="U1039">
        <v>4</v>
      </c>
      <c r="V1039">
        <v>4</v>
      </c>
      <c r="W1039">
        <v>3</v>
      </c>
      <c r="X1039">
        <v>1</v>
      </c>
      <c r="Y1039">
        <v>1</v>
      </c>
      <c r="Z1039">
        <v>2</v>
      </c>
      <c r="AA1039">
        <v>0</v>
      </c>
      <c r="AB1039" s="1" t="s">
        <v>36</v>
      </c>
      <c r="AC1039" t="s">
        <v>37</v>
      </c>
      <c r="AD1039" t="s">
        <v>53</v>
      </c>
      <c r="AE1039" s="2">
        <v>3126.6666666666665</v>
      </c>
    </row>
    <row r="1040" spans="1:31" x14ac:dyDescent="0.35">
      <c r="A1040">
        <v>48</v>
      </c>
      <c r="B1040" s="1" t="s">
        <v>39</v>
      </c>
      <c r="C1040" s="1" t="s">
        <v>31</v>
      </c>
      <c r="D1040">
        <v>7</v>
      </c>
      <c r="E1040">
        <v>3</v>
      </c>
      <c r="F1040" s="1" t="s">
        <v>60</v>
      </c>
      <c r="G1040">
        <v>3</v>
      </c>
      <c r="H1040" s="1" t="s">
        <v>41</v>
      </c>
      <c r="I1040">
        <v>3</v>
      </c>
      <c r="J1040">
        <v>2</v>
      </c>
      <c r="K1040" s="1" t="s">
        <v>34</v>
      </c>
      <c r="L1040">
        <v>1</v>
      </c>
      <c r="M1040" s="1" t="s">
        <v>50</v>
      </c>
      <c r="N1040">
        <v>5486</v>
      </c>
      <c r="O1040">
        <v>4</v>
      </c>
      <c r="P1040" s="1" t="s">
        <v>39</v>
      </c>
      <c r="Q1040">
        <v>11</v>
      </c>
      <c r="R1040">
        <v>1</v>
      </c>
      <c r="S1040">
        <v>3</v>
      </c>
      <c r="T1040">
        <v>15</v>
      </c>
      <c r="U1040">
        <v>3</v>
      </c>
      <c r="V1040">
        <v>3</v>
      </c>
      <c r="W1040">
        <v>2</v>
      </c>
      <c r="X1040">
        <v>2</v>
      </c>
      <c r="Y1040">
        <v>2</v>
      </c>
      <c r="Z1040">
        <v>2</v>
      </c>
      <c r="AA1040">
        <v>0</v>
      </c>
      <c r="AB1040" s="1" t="s">
        <v>82</v>
      </c>
      <c r="AC1040" t="s">
        <v>37</v>
      </c>
      <c r="AD1040" t="s">
        <v>47</v>
      </c>
      <c r="AE1040" s="2">
        <v>2743</v>
      </c>
    </row>
    <row r="1041" spans="1:31" x14ac:dyDescent="0.35">
      <c r="A1041">
        <v>34</v>
      </c>
      <c r="B1041" s="1" t="s">
        <v>30</v>
      </c>
      <c r="C1041" s="1" t="s">
        <v>62</v>
      </c>
      <c r="D1041">
        <v>9</v>
      </c>
      <c r="E1041">
        <v>4</v>
      </c>
      <c r="F1041" s="1" t="s">
        <v>61</v>
      </c>
      <c r="G1041">
        <v>1</v>
      </c>
      <c r="H1041" s="1" t="s">
        <v>33</v>
      </c>
      <c r="I1041">
        <v>3</v>
      </c>
      <c r="J1041">
        <v>1</v>
      </c>
      <c r="K1041" s="1" t="s">
        <v>62</v>
      </c>
      <c r="L1041">
        <v>3</v>
      </c>
      <c r="M1041" s="1" t="s">
        <v>43</v>
      </c>
      <c r="N1041">
        <v>2742</v>
      </c>
      <c r="O1041">
        <v>1</v>
      </c>
      <c r="P1041" s="1" t="s">
        <v>39</v>
      </c>
      <c r="Q1041">
        <v>15</v>
      </c>
      <c r="R1041">
        <v>4</v>
      </c>
      <c r="S1041">
        <v>0</v>
      </c>
      <c r="T1041">
        <v>2</v>
      </c>
      <c r="U1041">
        <v>0</v>
      </c>
      <c r="V1041">
        <v>3</v>
      </c>
      <c r="W1041">
        <v>2</v>
      </c>
      <c r="X1041">
        <v>2</v>
      </c>
      <c r="Y1041">
        <v>2</v>
      </c>
      <c r="Z1041">
        <v>2</v>
      </c>
      <c r="AA1041">
        <v>1</v>
      </c>
      <c r="AB1041" s="1" t="s">
        <v>48</v>
      </c>
      <c r="AC1041" t="s">
        <v>46</v>
      </c>
      <c r="AD1041" t="s">
        <v>47</v>
      </c>
      <c r="AE1041" s="2">
        <v>1371</v>
      </c>
    </row>
    <row r="1042" spans="1:31" x14ac:dyDescent="0.35">
      <c r="A1042">
        <v>40</v>
      </c>
      <c r="B1042" s="1" t="s">
        <v>39</v>
      </c>
      <c r="C1042" s="1" t="s">
        <v>40</v>
      </c>
      <c r="D1042">
        <v>8</v>
      </c>
      <c r="E1042">
        <v>1</v>
      </c>
      <c r="F1042" s="1" t="s">
        <v>49</v>
      </c>
      <c r="G1042">
        <v>4</v>
      </c>
      <c r="H1042" s="1" t="s">
        <v>41</v>
      </c>
      <c r="I1042">
        <v>2</v>
      </c>
      <c r="J1042">
        <v>3</v>
      </c>
      <c r="K1042" s="1" t="s">
        <v>59</v>
      </c>
      <c r="L1042">
        <v>2</v>
      </c>
      <c r="M1042" s="1" t="s">
        <v>50</v>
      </c>
      <c r="N1042">
        <v>13757</v>
      </c>
      <c r="O1042">
        <v>2</v>
      </c>
      <c r="P1042" s="1" t="s">
        <v>39</v>
      </c>
      <c r="Q1042">
        <v>11</v>
      </c>
      <c r="R1042">
        <v>3</v>
      </c>
      <c r="S1042">
        <v>1</v>
      </c>
      <c r="T1042">
        <v>16</v>
      </c>
      <c r="U1042">
        <v>5</v>
      </c>
      <c r="V1042">
        <v>3</v>
      </c>
      <c r="W1042">
        <v>9</v>
      </c>
      <c r="X1042">
        <v>8</v>
      </c>
      <c r="Y1042">
        <v>4</v>
      </c>
      <c r="Z1042">
        <v>8</v>
      </c>
      <c r="AA1042">
        <v>0</v>
      </c>
      <c r="AB1042" s="1" t="s">
        <v>36</v>
      </c>
      <c r="AC1042" t="s">
        <v>56</v>
      </c>
      <c r="AD1042" t="s">
        <v>38</v>
      </c>
      <c r="AE1042" s="2">
        <v>1528.5555555555557</v>
      </c>
    </row>
    <row r="1043" spans="1:31" x14ac:dyDescent="0.35">
      <c r="A1043">
        <v>28</v>
      </c>
      <c r="B1043" s="1" t="s">
        <v>39</v>
      </c>
      <c r="C1043" s="1" t="s">
        <v>31</v>
      </c>
      <c r="D1043">
        <v>5</v>
      </c>
      <c r="E1043">
        <v>3</v>
      </c>
      <c r="F1043" s="1" t="s">
        <v>49</v>
      </c>
      <c r="G1043">
        <v>4</v>
      </c>
      <c r="H1043" s="1" t="s">
        <v>41</v>
      </c>
      <c r="I1043">
        <v>3</v>
      </c>
      <c r="J1043">
        <v>2</v>
      </c>
      <c r="K1043" s="1" t="s">
        <v>34</v>
      </c>
      <c r="L1043">
        <v>1</v>
      </c>
      <c r="M1043" s="1" t="s">
        <v>35</v>
      </c>
      <c r="N1043">
        <v>8463</v>
      </c>
      <c r="O1043">
        <v>0</v>
      </c>
      <c r="P1043" s="1" t="s">
        <v>39</v>
      </c>
      <c r="Q1043">
        <v>18</v>
      </c>
      <c r="R1043">
        <v>4</v>
      </c>
      <c r="S1043">
        <v>0</v>
      </c>
      <c r="T1043">
        <v>6</v>
      </c>
      <c r="U1043">
        <v>4</v>
      </c>
      <c r="V1043">
        <v>3</v>
      </c>
      <c r="W1043">
        <v>5</v>
      </c>
      <c r="X1043">
        <v>4</v>
      </c>
      <c r="Y1043">
        <v>1</v>
      </c>
      <c r="Z1043">
        <v>3</v>
      </c>
      <c r="AA1043">
        <v>0</v>
      </c>
      <c r="AB1043" s="1" t="s">
        <v>48</v>
      </c>
      <c r="AC1043" t="s">
        <v>37</v>
      </c>
      <c r="AD1043" t="s">
        <v>53</v>
      </c>
      <c r="AE1043" s="2">
        <v>1692.6</v>
      </c>
    </row>
    <row r="1044" spans="1:31" x14ac:dyDescent="0.35">
      <c r="A1044">
        <v>44</v>
      </c>
      <c r="B1044" s="1" t="s">
        <v>39</v>
      </c>
      <c r="C1044" s="1" t="s">
        <v>40</v>
      </c>
      <c r="D1044">
        <v>5</v>
      </c>
      <c r="E1044">
        <v>3</v>
      </c>
      <c r="F1044" s="1" t="s">
        <v>32</v>
      </c>
      <c r="G1044">
        <v>3</v>
      </c>
      <c r="H1044" s="1" t="s">
        <v>41</v>
      </c>
      <c r="I1044">
        <v>2</v>
      </c>
      <c r="J1044">
        <v>1</v>
      </c>
      <c r="K1044" s="1" t="s">
        <v>45</v>
      </c>
      <c r="L1044">
        <v>3</v>
      </c>
      <c r="M1044" s="1" t="s">
        <v>35</v>
      </c>
      <c r="N1044">
        <v>3162</v>
      </c>
      <c r="O1044">
        <v>3</v>
      </c>
      <c r="P1044" s="1" t="s">
        <v>39</v>
      </c>
      <c r="Q1044">
        <v>14</v>
      </c>
      <c r="R1044">
        <v>4</v>
      </c>
      <c r="S1044">
        <v>0</v>
      </c>
      <c r="T1044">
        <v>7</v>
      </c>
      <c r="U1044">
        <v>5</v>
      </c>
      <c r="V1044">
        <v>3</v>
      </c>
      <c r="W1044">
        <v>5</v>
      </c>
      <c r="X1044">
        <v>2</v>
      </c>
      <c r="Y1044">
        <v>0</v>
      </c>
      <c r="Z1044">
        <v>3</v>
      </c>
      <c r="AA1044">
        <v>0</v>
      </c>
      <c r="AB1044" s="1" t="s">
        <v>36</v>
      </c>
      <c r="AC1044" t="s">
        <v>46</v>
      </c>
      <c r="AD1044" t="s">
        <v>53</v>
      </c>
      <c r="AE1044" s="2">
        <v>632.4</v>
      </c>
    </row>
    <row r="1045" spans="1:31" x14ac:dyDescent="0.35">
      <c r="A1045">
        <v>53</v>
      </c>
      <c r="B1045" s="1" t="s">
        <v>39</v>
      </c>
      <c r="C1045" s="1" t="s">
        <v>40</v>
      </c>
      <c r="D1045">
        <v>2</v>
      </c>
      <c r="E1045">
        <v>3</v>
      </c>
      <c r="F1045" s="1" t="s">
        <v>49</v>
      </c>
      <c r="G1045">
        <v>4</v>
      </c>
      <c r="H1045" s="1" t="s">
        <v>41</v>
      </c>
      <c r="I1045">
        <v>4</v>
      </c>
      <c r="J1045">
        <v>4</v>
      </c>
      <c r="K1045" s="1" t="s">
        <v>59</v>
      </c>
      <c r="L1045">
        <v>2</v>
      </c>
      <c r="M1045" s="1" t="s">
        <v>35</v>
      </c>
      <c r="N1045">
        <v>16598</v>
      </c>
      <c r="O1045">
        <v>4</v>
      </c>
      <c r="P1045" s="1" t="s">
        <v>39</v>
      </c>
      <c r="Q1045">
        <v>12</v>
      </c>
      <c r="R1045">
        <v>2</v>
      </c>
      <c r="S1045">
        <v>0</v>
      </c>
      <c r="T1045">
        <v>35</v>
      </c>
      <c r="U1045">
        <v>2</v>
      </c>
      <c r="V1045">
        <v>2</v>
      </c>
      <c r="W1045">
        <v>9</v>
      </c>
      <c r="X1045">
        <v>8</v>
      </c>
      <c r="Y1045">
        <v>8</v>
      </c>
      <c r="Z1045">
        <v>8</v>
      </c>
      <c r="AA1045">
        <v>0</v>
      </c>
      <c r="AB1045" s="1" t="s">
        <v>82</v>
      </c>
      <c r="AC1045" t="s">
        <v>56</v>
      </c>
      <c r="AD1045" t="s">
        <v>38</v>
      </c>
      <c r="AE1045" s="2">
        <v>1844.2222222222222</v>
      </c>
    </row>
    <row r="1046" spans="1:31" x14ac:dyDescent="0.35">
      <c r="A1046">
        <v>49</v>
      </c>
      <c r="B1046" s="1" t="s">
        <v>39</v>
      </c>
      <c r="C1046" s="1" t="s">
        <v>40</v>
      </c>
      <c r="D1046">
        <v>5</v>
      </c>
      <c r="E1046">
        <v>4</v>
      </c>
      <c r="F1046" s="1" t="s">
        <v>61</v>
      </c>
      <c r="G1046">
        <v>1</v>
      </c>
      <c r="H1046" s="1" t="s">
        <v>41</v>
      </c>
      <c r="I1046">
        <v>3</v>
      </c>
      <c r="J1046">
        <v>2</v>
      </c>
      <c r="K1046" s="1" t="s">
        <v>52</v>
      </c>
      <c r="L1046">
        <v>3</v>
      </c>
      <c r="M1046" s="1" t="s">
        <v>43</v>
      </c>
      <c r="N1046">
        <v>6651</v>
      </c>
      <c r="O1046">
        <v>2</v>
      </c>
      <c r="P1046" s="1" t="s">
        <v>39</v>
      </c>
      <c r="Q1046">
        <v>14</v>
      </c>
      <c r="R1046">
        <v>2</v>
      </c>
      <c r="S1046">
        <v>1</v>
      </c>
      <c r="T1046">
        <v>20</v>
      </c>
      <c r="U1046">
        <v>0</v>
      </c>
      <c r="V1046">
        <v>2</v>
      </c>
      <c r="W1046">
        <v>3</v>
      </c>
      <c r="X1046">
        <v>2</v>
      </c>
      <c r="Y1046">
        <v>1</v>
      </c>
      <c r="Z1046">
        <v>2</v>
      </c>
      <c r="AA1046">
        <v>0</v>
      </c>
      <c r="AB1046" s="1" t="s">
        <v>82</v>
      </c>
      <c r="AC1046" t="s">
        <v>37</v>
      </c>
      <c r="AD1046" t="s">
        <v>53</v>
      </c>
      <c r="AE1046" s="2">
        <v>2217</v>
      </c>
    </row>
    <row r="1047" spans="1:31" x14ac:dyDescent="0.35">
      <c r="A1047">
        <v>40</v>
      </c>
      <c r="B1047" s="1" t="s">
        <v>39</v>
      </c>
      <c r="C1047" s="1" t="s">
        <v>40</v>
      </c>
      <c r="D1047">
        <v>2</v>
      </c>
      <c r="E1047">
        <v>3</v>
      </c>
      <c r="F1047" s="1" t="s">
        <v>49</v>
      </c>
      <c r="G1047">
        <v>3</v>
      </c>
      <c r="H1047" s="1" t="s">
        <v>41</v>
      </c>
      <c r="I1047">
        <v>3</v>
      </c>
      <c r="J1047">
        <v>1</v>
      </c>
      <c r="K1047" s="1" t="s">
        <v>42</v>
      </c>
      <c r="L1047">
        <v>3</v>
      </c>
      <c r="M1047" s="1" t="s">
        <v>50</v>
      </c>
      <c r="N1047">
        <v>2345</v>
      </c>
      <c r="O1047">
        <v>2</v>
      </c>
      <c r="P1047" s="1" t="s">
        <v>39</v>
      </c>
      <c r="Q1047">
        <v>14</v>
      </c>
      <c r="R1047">
        <v>3</v>
      </c>
      <c r="S1047">
        <v>1</v>
      </c>
      <c r="T1047">
        <v>8</v>
      </c>
      <c r="U1047">
        <v>3</v>
      </c>
      <c r="V1047">
        <v>4</v>
      </c>
      <c r="W1047">
        <v>3</v>
      </c>
      <c r="X1047">
        <v>1</v>
      </c>
      <c r="Y1047">
        <v>1</v>
      </c>
      <c r="Z1047">
        <v>2</v>
      </c>
      <c r="AA1047">
        <v>0</v>
      </c>
      <c r="AB1047" s="1" t="s">
        <v>36</v>
      </c>
      <c r="AC1047" t="s">
        <v>46</v>
      </c>
      <c r="AD1047" t="s">
        <v>53</v>
      </c>
      <c r="AE1047" s="2">
        <v>781.66666666666663</v>
      </c>
    </row>
    <row r="1048" spans="1:31" x14ac:dyDescent="0.35">
      <c r="A1048">
        <v>44</v>
      </c>
      <c r="B1048" s="1" t="s">
        <v>39</v>
      </c>
      <c r="C1048" s="1" t="s">
        <v>40</v>
      </c>
      <c r="D1048">
        <v>20</v>
      </c>
      <c r="E1048">
        <v>3</v>
      </c>
      <c r="F1048" s="1" t="s">
        <v>32</v>
      </c>
      <c r="G1048">
        <v>4</v>
      </c>
      <c r="H1048" s="1" t="s">
        <v>41</v>
      </c>
      <c r="I1048">
        <v>3</v>
      </c>
      <c r="J1048">
        <v>1</v>
      </c>
      <c r="K1048" s="1" t="s">
        <v>42</v>
      </c>
      <c r="L1048">
        <v>2</v>
      </c>
      <c r="M1048" s="1" t="s">
        <v>35</v>
      </c>
      <c r="N1048">
        <v>3420</v>
      </c>
      <c r="O1048">
        <v>1</v>
      </c>
      <c r="P1048" s="1" t="s">
        <v>39</v>
      </c>
      <c r="Q1048">
        <v>13</v>
      </c>
      <c r="R1048">
        <v>3</v>
      </c>
      <c r="S1048">
        <v>0</v>
      </c>
      <c r="T1048">
        <v>6</v>
      </c>
      <c r="U1048">
        <v>3</v>
      </c>
      <c r="V1048">
        <v>2</v>
      </c>
      <c r="W1048">
        <v>5</v>
      </c>
      <c r="X1048">
        <v>2</v>
      </c>
      <c r="Y1048">
        <v>1</v>
      </c>
      <c r="Z1048">
        <v>3</v>
      </c>
      <c r="AA1048">
        <v>0</v>
      </c>
      <c r="AB1048" s="1" t="s">
        <v>36</v>
      </c>
      <c r="AC1048" t="s">
        <v>46</v>
      </c>
      <c r="AD1048" t="s">
        <v>53</v>
      </c>
      <c r="AE1048" s="2">
        <v>684</v>
      </c>
    </row>
    <row r="1049" spans="1:31" x14ac:dyDescent="0.35">
      <c r="A1049">
        <v>33</v>
      </c>
      <c r="B1049" s="1" t="s">
        <v>39</v>
      </c>
      <c r="C1049" s="1" t="s">
        <v>31</v>
      </c>
      <c r="D1049">
        <v>7</v>
      </c>
      <c r="E1049">
        <v>3</v>
      </c>
      <c r="F1049" s="1" t="s">
        <v>49</v>
      </c>
      <c r="G1049">
        <v>4</v>
      </c>
      <c r="H1049" s="1" t="s">
        <v>41</v>
      </c>
      <c r="I1049">
        <v>3</v>
      </c>
      <c r="J1049">
        <v>2</v>
      </c>
      <c r="K1049" s="1" t="s">
        <v>34</v>
      </c>
      <c r="L1049">
        <v>1</v>
      </c>
      <c r="M1049" s="1" t="s">
        <v>43</v>
      </c>
      <c r="N1049">
        <v>4373</v>
      </c>
      <c r="O1049">
        <v>0</v>
      </c>
      <c r="P1049" s="1" t="s">
        <v>39</v>
      </c>
      <c r="Q1049">
        <v>14</v>
      </c>
      <c r="R1049">
        <v>1</v>
      </c>
      <c r="S1049">
        <v>2</v>
      </c>
      <c r="T1049">
        <v>5</v>
      </c>
      <c r="U1049">
        <v>2</v>
      </c>
      <c r="V1049">
        <v>3</v>
      </c>
      <c r="W1049">
        <v>4</v>
      </c>
      <c r="X1049">
        <v>3</v>
      </c>
      <c r="Y1049">
        <v>0</v>
      </c>
      <c r="Z1049">
        <v>3</v>
      </c>
      <c r="AA1049">
        <v>0</v>
      </c>
      <c r="AB1049" s="1" t="s">
        <v>48</v>
      </c>
      <c r="AC1049" t="s">
        <v>37</v>
      </c>
      <c r="AD1049" t="s">
        <v>53</v>
      </c>
      <c r="AE1049" s="2">
        <v>1093.25</v>
      </c>
    </row>
    <row r="1050" spans="1:31" x14ac:dyDescent="0.35">
      <c r="A1050">
        <v>34</v>
      </c>
      <c r="B1050" s="1" t="s">
        <v>39</v>
      </c>
      <c r="C1050" s="1" t="s">
        <v>31</v>
      </c>
      <c r="D1050">
        <v>3</v>
      </c>
      <c r="E1050">
        <v>3</v>
      </c>
      <c r="F1050" s="1" t="s">
        <v>44</v>
      </c>
      <c r="G1050">
        <v>4</v>
      </c>
      <c r="H1050" s="1" t="s">
        <v>41</v>
      </c>
      <c r="I1050">
        <v>1</v>
      </c>
      <c r="J1050">
        <v>2</v>
      </c>
      <c r="K1050" s="1" t="s">
        <v>34</v>
      </c>
      <c r="L1050">
        <v>1</v>
      </c>
      <c r="M1050" s="1" t="s">
        <v>35</v>
      </c>
      <c r="N1050">
        <v>4759</v>
      </c>
      <c r="O1050">
        <v>3</v>
      </c>
      <c r="P1050" s="1" t="s">
        <v>39</v>
      </c>
      <c r="Q1050">
        <v>18</v>
      </c>
      <c r="R1050">
        <v>4</v>
      </c>
      <c r="S1050">
        <v>0</v>
      </c>
      <c r="T1050">
        <v>15</v>
      </c>
      <c r="U1050">
        <v>2</v>
      </c>
      <c r="V1050">
        <v>3</v>
      </c>
      <c r="W1050">
        <v>13</v>
      </c>
      <c r="X1050">
        <v>9</v>
      </c>
      <c r="Y1050">
        <v>3</v>
      </c>
      <c r="Z1050">
        <v>12</v>
      </c>
      <c r="AA1050">
        <v>0</v>
      </c>
      <c r="AB1050" s="1" t="s">
        <v>48</v>
      </c>
      <c r="AC1050" t="s">
        <v>37</v>
      </c>
      <c r="AD1050" t="s">
        <v>57</v>
      </c>
      <c r="AE1050" s="2">
        <v>366.07692307692309</v>
      </c>
    </row>
    <row r="1051" spans="1:31" x14ac:dyDescent="0.35">
      <c r="A1051">
        <v>30</v>
      </c>
      <c r="B1051" s="1" t="s">
        <v>39</v>
      </c>
      <c r="C1051" s="1" t="s">
        <v>31</v>
      </c>
      <c r="D1051">
        <v>16</v>
      </c>
      <c r="E1051">
        <v>1</v>
      </c>
      <c r="F1051" s="1" t="s">
        <v>32</v>
      </c>
      <c r="G1051">
        <v>4</v>
      </c>
      <c r="H1051" s="1" t="s">
        <v>41</v>
      </c>
      <c r="I1051">
        <v>3</v>
      </c>
      <c r="J1051">
        <v>2</v>
      </c>
      <c r="K1051" s="1" t="s">
        <v>34</v>
      </c>
      <c r="L1051">
        <v>3</v>
      </c>
      <c r="M1051" s="1" t="s">
        <v>43</v>
      </c>
      <c r="N1051">
        <v>5301</v>
      </c>
      <c r="O1051">
        <v>8</v>
      </c>
      <c r="P1051" s="1" t="s">
        <v>39</v>
      </c>
      <c r="Q1051">
        <v>15</v>
      </c>
      <c r="R1051">
        <v>3</v>
      </c>
      <c r="S1051">
        <v>2</v>
      </c>
      <c r="T1051">
        <v>4</v>
      </c>
      <c r="U1051">
        <v>2</v>
      </c>
      <c r="V1051">
        <v>2</v>
      </c>
      <c r="W1051">
        <v>2</v>
      </c>
      <c r="X1051">
        <v>1</v>
      </c>
      <c r="Y1051">
        <v>2</v>
      </c>
      <c r="Z1051">
        <v>2</v>
      </c>
      <c r="AA1051">
        <v>0</v>
      </c>
      <c r="AB1051" s="1" t="s">
        <v>48</v>
      </c>
      <c r="AC1051" t="s">
        <v>37</v>
      </c>
      <c r="AD1051" t="s">
        <v>47</v>
      </c>
      <c r="AE1051" s="2">
        <v>2650.5</v>
      </c>
    </row>
    <row r="1052" spans="1:31" x14ac:dyDescent="0.35">
      <c r="A1052">
        <v>42</v>
      </c>
      <c r="B1052" s="1" t="s">
        <v>39</v>
      </c>
      <c r="C1052" s="1" t="s">
        <v>40</v>
      </c>
      <c r="D1052">
        <v>9</v>
      </c>
      <c r="E1052">
        <v>2</v>
      </c>
      <c r="F1052" s="1" t="s">
        <v>49</v>
      </c>
      <c r="G1052">
        <v>1</v>
      </c>
      <c r="H1052" s="1" t="s">
        <v>33</v>
      </c>
      <c r="I1052">
        <v>3</v>
      </c>
      <c r="J1052">
        <v>1</v>
      </c>
      <c r="K1052" s="1" t="s">
        <v>45</v>
      </c>
      <c r="L1052">
        <v>4</v>
      </c>
      <c r="M1052" s="1" t="s">
        <v>35</v>
      </c>
      <c r="N1052">
        <v>3673</v>
      </c>
      <c r="O1052">
        <v>1</v>
      </c>
      <c r="P1052" s="1" t="s">
        <v>39</v>
      </c>
      <c r="Q1052">
        <v>13</v>
      </c>
      <c r="R1052">
        <v>3</v>
      </c>
      <c r="S1052">
        <v>0</v>
      </c>
      <c r="T1052">
        <v>12</v>
      </c>
      <c r="U1052">
        <v>3</v>
      </c>
      <c r="V1052">
        <v>3</v>
      </c>
      <c r="W1052">
        <v>12</v>
      </c>
      <c r="X1052">
        <v>9</v>
      </c>
      <c r="Y1052">
        <v>5</v>
      </c>
      <c r="Z1052">
        <v>8</v>
      </c>
      <c r="AA1052">
        <v>0</v>
      </c>
      <c r="AB1052" s="1" t="s">
        <v>36</v>
      </c>
      <c r="AC1052" t="s">
        <v>46</v>
      </c>
      <c r="AD1052" t="s">
        <v>57</v>
      </c>
      <c r="AE1052" s="2">
        <v>306.08333333333331</v>
      </c>
    </row>
    <row r="1053" spans="1:31" x14ac:dyDescent="0.35">
      <c r="A1053">
        <v>44</v>
      </c>
      <c r="B1053" s="1" t="s">
        <v>39</v>
      </c>
      <c r="C1053" s="1" t="s">
        <v>31</v>
      </c>
      <c r="D1053">
        <v>1</v>
      </c>
      <c r="E1053">
        <v>5</v>
      </c>
      <c r="F1053" s="1" t="s">
        <v>60</v>
      </c>
      <c r="G1053">
        <v>1</v>
      </c>
      <c r="H1053" s="1" t="s">
        <v>33</v>
      </c>
      <c r="I1053">
        <v>3</v>
      </c>
      <c r="J1053">
        <v>2</v>
      </c>
      <c r="K1053" s="1" t="s">
        <v>34</v>
      </c>
      <c r="L1053">
        <v>3</v>
      </c>
      <c r="M1053" s="1" t="s">
        <v>43</v>
      </c>
      <c r="N1053">
        <v>4768</v>
      </c>
      <c r="O1053">
        <v>7</v>
      </c>
      <c r="P1053" s="1" t="s">
        <v>39</v>
      </c>
      <c r="Q1053">
        <v>12</v>
      </c>
      <c r="R1053">
        <v>3</v>
      </c>
      <c r="S1053">
        <v>1</v>
      </c>
      <c r="T1053">
        <v>11</v>
      </c>
      <c r="U1053">
        <v>4</v>
      </c>
      <c r="V1053">
        <v>2</v>
      </c>
      <c r="W1053">
        <v>1</v>
      </c>
      <c r="X1053">
        <v>0</v>
      </c>
      <c r="Y1053">
        <v>0</v>
      </c>
      <c r="Z1053">
        <v>0</v>
      </c>
      <c r="AA1053">
        <v>0</v>
      </c>
      <c r="AB1053" s="1" t="s">
        <v>36</v>
      </c>
      <c r="AC1053" t="s">
        <v>37</v>
      </c>
      <c r="AD1053" t="s">
        <v>47</v>
      </c>
      <c r="AE1053" s="2">
        <v>4768</v>
      </c>
    </row>
    <row r="1054" spans="1:31" x14ac:dyDescent="0.35">
      <c r="A1054">
        <v>30</v>
      </c>
      <c r="B1054" s="1" t="s">
        <v>39</v>
      </c>
      <c r="C1054" s="1" t="s">
        <v>40</v>
      </c>
      <c r="D1054">
        <v>7</v>
      </c>
      <c r="E1054">
        <v>3</v>
      </c>
      <c r="F1054" s="1" t="s">
        <v>61</v>
      </c>
      <c r="G1054">
        <v>3</v>
      </c>
      <c r="H1054" s="1" t="s">
        <v>41</v>
      </c>
      <c r="I1054">
        <v>3</v>
      </c>
      <c r="J1054">
        <v>1</v>
      </c>
      <c r="K1054" s="1" t="s">
        <v>42</v>
      </c>
      <c r="L1054">
        <v>3</v>
      </c>
      <c r="M1054" s="1" t="s">
        <v>50</v>
      </c>
      <c r="N1054">
        <v>1274</v>
      </c>
      <c r="O1054">
        <v>1</v>
      </c>
      <c r="P1054" s="1" t="s">
        <v>39</v>
      </c>
      <c r="Q1054">
        <v>13</v>
      </c>
      <c r="R1054">
        <v>2</v>
      </c>
      <c r="S1054">
        <v>2</v>
      </c>
      <c r="T1054">
        <v>1</v>
      </c>
      <c r="U1054">
        <v>2</v>
      </c>
      <c r="V1054">
        <v>2</v>
      </c>
      <c r="W1054">
        <v>1</v>
      </c>
      <c r="X1054">
        <v>0</v>
      </c>
      <c r="Y1054">
        <v>0</v>
      </c>
      <c r="Z1054">
        <v>0</v>
      </c>
      <c r="AA1054">
        <v>0</v>
      </c>
      <c r="AB1054" s="1" t="s">
        <v>48</v>
      </c>
      <c r="AC1054" t="s">
        <v>46</v>
      </c>
      <c r="AD1054" t="s">
        <v>47</v>
      </c>
      <c r="AE1054" s="2">
        <v>1274</v>
      </c>
    </row>
    <row r="1055" spans="1:31" x14ac:dyDescent="0.35">
      <c r="A1055">
        <v>57</v>
      </c>
      <c r="B1055" s="1" t="s">
        <v>39</v>
      </c>
      <c r="C1055" s="1" t="s">
        <v>40</v>
      </c>
      <c r="D1055">
        <v>1</v>
      </c>
      <c r="E1055">
        <v>2</v>
      </c>
      <c r="F1055" s="1" t="s">
        <v>32</v>
      </c>
      <c r="G1055">
        <v>2</v>
      </c>
      <c r="H1055" s="1" t="s">
        <v>41</v>
      </c>
      <c r="I1055">
        <v>4</v>
      </c>
      <c r="J1055">
        <v>2</v>
      </c>
      <c r="K1055" s="1" t="s">
        <v>42</v>
      </c>
      <c r="L1055">
        <v>3</v>
      </c>
      <c r="M1055" s="1" t="s">
        <v>43</v>
      </c>
      <c r="N1055">
        <v>4900</v>
      </c>
      <c r="O1055">
        <v>0</v>
      </c>
      <c r="P1055" s="1" t="s">
        <v>39</v>
      </c>
      <c r="Q1055">
        <v>24</v>
      </c>
      <c r="R1055">
        <v>1</v>
      </c>
      <c r="S1055">
        <v>1</v>
      </c>
      <c r="T1055">
        <v>13</v>
      </c>
      <c r="U1055">
        <v>2</v>
      </c>
      <c r="V1055">
        <v>2</v>
      </c>
      <c r="W1055">
        <v>12</v>
      </c>
      <c r="X1055">
        <v>9</v>
      </c>
      <c r="Y1055">
        <v>2</v>
      </c>
      <c r="Z1055">
        <v>8</v>
      </c>
      <c r="AA1055">
        <v>0</v>
      </c>
      <c r="AB1055" s="1" t="s">
        <v>82</v>
      </c>
      <c r="AC1055" t="s">
        <v>37</v>
      </c>
      <c r="AD1055" t="s">
        <v>57</v>
      </c>
      <c r="AE1055" s="2">
        <v>408.33333333333331</v>
      </c>
    </row>
    <row r="1056" spans="1:31" x14ac:dyDescent="0.35">
      <c r="A1056">
        <v>49</v>
      </c>
      <c r="B1056" s="1" t="s">
        <v>39</v>
      </c>
      <c r="C1056" s="1" t="s">
        <v>40</v>
      </c>
      <c r="D1056">
        <v>7</v>
      </c>
      <c r="E1056">
        <v>4</v>
      </c>
      <c r="F1056" s="1" t="s">
        <v>32</v>
      </c>
      <c r="G1056">
        <v>3</v>
      </c>
      <c r="H1056" s="1" t="s">
        <v>41</v>
      </c>
      <c r="I1056">
        <v>3</v>
      </c>
      <c r="J1056">
        <v>3</v>
      </c>
      <c r="K1056" s="1" t="s">
        <v>52</v>
      </c>
      <c r="L1056">
        <v>2</v>
      </c>
      <c r="M1056" s="1" t="s">
        <v>50</v>
      </c>
      <c r="N1056">
        <v>10466</v>
      </c>
      <c r="O1056">
        <v>3</v>
      </c>
      <c r="P1056" s="1" t="s">
        <v>39</v>
      </c>
      <c r="Q1056">
        <v>14</v>
      </c>
      <c r="R1056">
        <v>2</v>
      </c>
      <c r="S1056">
        <v>2</v>
      </c>
      <c r="T1056">
        <v>29</v>
      </c>
      <c r="U1056">
        <v>3</v>
      </c>
      <c r="V1056">
        <v>3</v>
      </c>
      <c r="W1056">
        <v>8</v>
      </c>
      <c r="X1056">
        <v>7</v>
      </c>
      <c r="Y1056">
        <v>0</v>
      </c>
      <c r="Z1056">
        <v>7</v>
      </c>
      <c r="AA1056">
        <v>0</v>
      </c>
      <c r="AB1056" s="1" t="s">
        <v>82</v>
      </c>
      <c r="AC1056" t="s">
        <v>56</v>
      </c>
      <c r="AD1056" t="s">
        <v>38</v>
      </c>
      <c r="AE1056" s="2">
        <v>1308.25</v>
      </c>
    </row>
    <row r="1057" spans="1:31" x14ac:dyDescent="0.35">
      <c r="A1057">
        <v>34</v>
      </c>
      <c r="B1057" s="1" t="s">
        <v>39</v>
      </c>
      <c r="C1057" s="1" t="s">
        <v>40</v>
      </c>
      <c r="D1057">
        <v>15</v>
      </c>
      <c r="E1057">
        <v>3</v>
      </c>
      <c r="F1057" s="1" t="s">
        <v>49</v>
      </c>
      <c r="G1057">
        <v>2</v>
      </c>
      <c r="H1057" s="1" t="s">
        <v>41</v>
      </c>
      <c r="I1057">
        <v>3</v>
      </c>
      <c r="J1057">
        <v>4</v>
      </c>
      <c r="K1057" s="1" t="s">
        <v>59</v>
      </c>
      <c r="L1057">
        <v>1</v>
      </c>
      <c r="M1057" s="1" t="s">
        <v>50</v>
      </c>
      <c r="N1057">
        <v>17007</v>
      </c>
      <c r="O1057">
        <v>7</v>
      </c>
      <c r="P1057" s="1" t="s">
        <v>39</v>
      </c>
      <c r="Q1057">
        <v>14</v>
      </c>
      <c r="R1057">
        <v>4</v>
      </c>
      <c r="S1057">
        <v>2</v>
      </c>
      <c r="T1057">
        <v>16</v>
      </c>
      <c r="U1057">
        <v>3</v>
      </c>
      <c r="V1057">
        <v>2</v>
      </c>
      <c r="W1057">
        <v>14</v>
      </c>
      <c r="X1057">
        <v>8</v>
      </c>
      <c r="Y1057">
        <v>6</v>
      </c>
      <c r="Z1057">
        <v>9</v>
      </c>
      <c r="AA1057">
        <v>0</v>
      </c>
      <c r="AB1057" s="1" t="s">
        <v>48</v>
      </c>
      <c r="AC1057" t="s">
        <v>56</v>
      </c>
      <c r="AD1057" t="s">
        <v>57</v>
      </c>
      <c r="AE1057" s="2">
        <v>1214.7857142857142</v>
      </c>
    </row>
    <row r="1058" spans="1:31" x14ac:dyDescent="0.35">
      <c r="A1058">
        <v>28</v>
      </c>
      <c r="B1058" s="1" t="s">
        <v>30</v>
      </c>
      <c r="C1058" s="1" t="s">
        <v>31</v>
      </c>
      <c r="D1058">
        <v>1</v>
      </c>
      <c r="E1058">
        <v>3</v>
      </c>
      <c r="F1058" s="1" t="s">
        <v>61</v>
      </c>
      <c r="G1058">
        <v>1</v>
      </c>
      <c r="H1058" s="1" t="s">
        <v>41</v>
      </c>
      <c r="I1058">
        <v>3</v>
      </c>
      <c r="J1058">
        <v>1</v>
      </c>
      <c r="K1058" s="1" t="s">
        <v>58</v>
      </c>
      <c r="L1058">
        <v>3</v>
      </c>
      <c r="M1058" s="1" t="s">
        <v>43</v>
      </c>
      <c r="N1058">
        <v>2909</v>
      </c>
      <c r="O1058">
        <v>3</v>
      </c>
      <c r="P1058" s="1" t="s">
        <v>39</v>
      </c>
      <c r="Q1058">
        <v>15</v>
      </c>
      <c r="R1058">
        <v>4</v>
      </c>
      <c r="S1058">
        <v>1</v>
      </c>
      <c r="T1058">
        <v>5</v>
      </c>
      <c r="U1058">
        <v>3</v>
      </c>
      <c r="V1058">
        <v>4</v>
      </c>
      <c r="W1058">
        <v>3</v>
      </c>
      <c r="X1058">
        <v>2</v>
      </c>
      <c r="Y1058">
        <v>1</v>
      </c>
      <c r="Z1058">
        <v>2</v>
      </c>
      <c r="AA1058">
        <v>1</v>
      </c>
      <c r="AB1058" s="1" t="s">
        <v>48</v>
      </c>
      <c r="AC1058" t="s">
        <v>46</v>
      </c>
      <c r="AD1058" t="s">
        <v>53</v>
      </c>
      <c r="AE1058" s="2">
        <v>969.66666666666663</v>
      </c>
    </row>
    <row r="1059" spans="1:31" x14ac:dyDescent="0.35">
      <c r="A1059">
        <v>29</v>
      </c>
      <c r="B1059" s="1" t="s">
        <v>30</v>
      </c>
      <c r="C1059" s="1" t="s">
        <v>31</v>
      </c>
      <c r="D1059">
        <v>13</v>
      </c>
      <c r="E1059">
        <v>3</v>
      </c>
      <c r="F1059" s="1" t="s">
        <v>61</v>
      </c>
      <c r="G1059">
        <v>1</v>
      </c>
      <c r="H1059" s="1" t="s">
        <v>33</v>
      </c>
      <c r="I1059">
        <v>3</v>
      </c>
      <c r="J1059">
        <v>2</v>
      </c>
      <c r="K1059" s="1" t="s">
        <v>34</v>
      </c>
      <c r="L1059">
        <v>2</v>
      </c>
      <c r="M1059" s="1" t="s">
        <v>35</v>
      </c>
      <c r="N1059">
        <v>5765</v>
      </c>
      <c r="O1059">
        <v>5</v>
      </c>
      <c r="P1059" s="1" t="s">
        <v>39</v>
      </c>
      <c r="Q1059">
        <v>11</v>
      </c>
      <c r="R1059">
        <v>1</v>
      </c>
      <c r="S1059">
        <v>0</v>
      </c>
      <c r="T1059">
        <v>7</v>
      </c>
      <c r="U1059">
        <v>4</v>
      </c>
      <c r="V1059">
        <v>1</v>
      </c>
      <c r="W1059">
        <v>5</v>
      </c>
      <c r="X1059">
        <v>3</v>
      </c>
      <c r="Y1059">
        <v>0</v>
      </c>
      <c r="Z1059">
        <v>0</v>
      </c>
      <c r="AA1059">
        <v>1</v>
      </c>
      <c r="AB1059" s="1" t="s">
        <v>48</v>
      </c>
      <c r="AC1059" t="s">
        <v>37</v>
      </c>
      <c r="AD1059" t="s">
        <v>53</v>
      </c>
      <c r="AE1059" s="2">
        <v>1153</v>
      </c>
    </row>
    <row r="1060" spans="1:31" x14ac:dyDescent="0.35">
      <c r="A1060">
        <v>34</v>
      </c>
      <c r="B1060" s="1" t="s">
        <v>30</v>
      </c>
      <c r="C1060" s="1" t="s">
        <v>31</v>
      </c>
      <c r="D1060">
        <v>24</v>
      </c>
      <c r="E1060">
        <v>4</v>
      </c>
      <c r="F1060" s="1" t="s">
        <v>49</v>
      </c>
      <c r="G1060">
        <v>1</v>
      </c>
      <c r="H1060" s="1" t="s">
        <v>33</v>
      </c>
      <c r="I1060">
        <v>2</v>
      </c>
      <c r="J1060">
        <v>2</v>
      </c>
      <c r="K1060" s="1" t="s">
        <v>34</v>
      </c>
      <c r="L1060">
        <v>2</v>
      </c>
      <c r="M1060" s="1" t="s">
        <v>35</v>
      </c>
      <c r="N1060">
        <v>4599</v>
      </c>
      <c r="O1060">
        <v>0</v>
      </c>
      <c r="P1060" s="1" t="s">
        <v>30</v>
      </c>
      <c r="Q1060">
        <v>23</v>
      </c>
      <c r="R1060">
        <v>3</v>
      </c>
      <c r="S1060">
        <v>0</v>
      </c>
      <c r="T1060">
        <v>16</v>
      </c>
      <c r="U1060">
        <v>2</v>
      </c>
      <c r="V1060">
        <v>4</v>
      </c>
      <c r="W1060">
        <v>15</v>
      </c>
      <c r="X1060">
        <v>9</v>
      </c>
      <c r="Y1060">
        <v>10</v>
      </c>
      <c r="Z1060">
        <v>10</v>
      </c>
      <c r="AA1060">
        <v>1</v>
      </c>
      <c r="AB1060" s="1" t="s">
        <v>48</v>
      </c>
      <c r="AC1060" t="s">
        <v>37</v>
      </c>
      <c r="AD1060" t="s">
        <v>57</v>
      </c>
      <c r="AE1060" s="2">
        <v>306.60000000000002</v>
      </c>
    </row>
    <row r="1061" spans="1:31" x14ac:dyDescent="0.35">
      <c r="A1061">
        <v>35</v>
      </c>
      <c r="B1061" s="1" t="s">
        <v>39</v>
      </c>
      <c r="C1061" s="1" t="s">
        <v>31</v>
      </c>
      <c r="D1061">
        <v>7</v>
      </c>
      <c r="E1061">
        <v>1</v>
      </c>
      <c r="F1061" s="1" t="s">
        <v>32</v>
      </c>
      <c r="G1061">
        <v>4</v>
      </c>
      <c r="H1061" s="1" t="s">
        <v>41</v>
      </c>
      <c r="I1061">
        <v>3</v>
      </c>
      <c r="J1061">
        <v>1</v>
      </c>
      <c r="K1061" s="1" t="s">
        <v>58</v>
      </c>
      <c r="L1061">
        <v>3</v>
      </c>
      <c r="M1061" s="1" t="s">
        <v>43</v>
      </c>
      <c r="N1061">
        <v>2404</v>
      </c>
      <c r="O1061">
        <v>1</v>
      </c>
      <c r="P1061" s="1" t="s">
        <v>39</v>
      </c>
      <c r="Q1061">
        <v>13</v>
      </c>
      <c r="R1061">
        <v>1</v>
      </c>
      <c r="S1061">
        <v>1</v>
      </c>
      <c r="T1061">
        <v>1</v>
      </c>
      <c r="U1061">
        <v>3</v>
      </c>
      <c r="V1061">
        <v>3</v>
      </c>
      <c r="W1061">
        <v>1</v>
      </c>
      <c r="X1061">
        <v>0</v>
      </c>
      <c r="Y1061">
        <v>0</v>
      </c>
      <c r="Z1061">
        <v>0</v>
      </c>
      <c r="AA1061">
        <v>0</v>
      </c>
      <c r="AB1061" s="1" t="s">
        <v>48</v>
      </c>
      <c r="AC1061" t="s">
        <v>46</v>
      </c>
      <c r="AD1061" t="s">
        <v>47</v>
      </c>
      <c r="AE1061" s="2">
        <v>2404</v>
      </c>
    </row>
    <row r="1062" spans="1:31" x14ac:dyDescent="0.35">
      <c r="A1062">
        <v>24</v>
      </c>
      <c r="B1062" s="1" t="s">
        <v>30</v>
      </c>
      <c r="C1062" s="1" t="s">
        <v>40</v>
      </c>
      <c r="D1062">
        <v>9</v>
      </c>
      <c r="E1062">
        <v>3</v>
      </c>
      <c r="F1062" s="1" t="s">
        <v>49</v>
      </c>
      <c r="G1062">
        <v>2</v>
      </c>
      <c r="H1062" s="1" t="s">
        <v>41</v>
      </c>
      <c r="I1062">
        <v>3</v>
      </c>
      <c r="J1062">
        <v>1</v>
      </c>
      <c r="K1062" s="1" t="s">
        <v>45</v>
      </c>
      <c r="L1062">
        <v>1</v>
      </c>
      <c r="M1062" s="1" t="s">
        <v>35</v>
      </c>
      <c r="N1062">
        <v>3172</v>
      </c>
      <c r="O1062">
        <v>2</v>
      </c>
      <c r="P1062" s="1" t="s">
        <v>30</v>
      </c>
      <c r="Q1062">
        <v>11</v>
      </c>
      <c r="R1062">
        <v>3</v>
      </c>
      <c r="S1062">
        <v>0</v>
      </c>
      <c r="T1062">
        <v>4</v>
      </c>
      <c r="U1062">
        <v>2</v>
      </c>
      <c r="V1062">
        <v>2</v>
      </c>
      <c r="W1062">
        <v>0</v>
      </c>
      <c r="X1062">
        <v>0</v>
      </c>
      <c r="Y1062">
        <v>0</v>
      </c>
      <c r="Z1062">
        <v>0</v>
      </c>
      <c r="AA1062">
        <v>1</v>
      </c>
      <c r="AB1062" s="1" t="s">
        <v>54</v>
      </c>
      <c r="AC1062" t="s">
        <v>46</v>
      </c>
      <c r="AD1062" t="s">
        <v>47</v>
      </c>
      <c r="AE1062" s="2">
        <v>3172</v>
      </c>
    </row>
    <row r="1063" spans="1:31" x14ac:dyDescent="0.35">
      <c r="A1063">
        <v>24</v>
      </c>
      <c r="B1063" s="1" t="s">
        <v>39</v>
      </c>
      <c r="C1063" s="1" t="s">
        <v>31</v>
      </c>
      <c r="D1063">
        <v>13</v>
      </c>
      <c r="E1063">
        <v>2</v>
      </c>
      <c r="F1063" s="1" t="s">
        <v>32</v>
      </c>
      <c r="G1063">
        <v>4</v>
      </c>
      <c r="H1063" s="1" t="s">
        <v>33</v>
      </c>
      <c r="I1063">
        <v>3</v>
      </c>
      <c r="J1063">
        <v>1</v>
      </c>
      <c r="K1063" s="1" t="s">
        <v>58</v>
      </c>
      <c r="L1063">
        <v>2</v>
      </c>
      <c r="M1063" s="1" t="s">
        <v>43</v>
      </c>
      <c r="N1063">
        <v>2033</v>
      </c>
      <c r="O1063">
        <v>1</v>
      </c>
      <c r="P1063" s="1" t="s">
        <v>39</v>
      </c>
      <c r="Q1063">
        <v>13</v>
      </c>
      <c r="R1063">
        <v>3</v>
      </c>
      <c r="S1063">
        <v>1</v>
      </c>
      <c r="T1063">
        <v>1</v>
      </c>
      <c r="U1063">
        <v>2</v>
      </c>
      <c r="V1063">
        <v>3</v>
      </c>
      <c r="W1063">
        <v>1</v>
      </c>
      <c r="X1063">
        <v>0</v>
      </c>
      <c r="Y1063">
        <v>0</v>
      </c>
      <c r="Z1063">
        <v>0</v>
      </c>
      <c r="AA1063">
        <v>0</v>
      </c>
      <c r="AB1063" s="1" t="s">
        <v>54</v>
      </c>
      <c r="AC1063" t="s">
        <v>46</v>
      </c>
      <c r="AD1063" t="s">
        <v>47</v>
      </c>
      <c r="AE1063" s="2">
        <v>2033</v>
      </c>
    </row>
    <row r="1064" spans="1:31" x14ac:dyDescent="0.35">
      <c r="A1064">
        <v>44</v>
      </c>
      <c r="B1064" s="1" t="s">
        <v>39</v>
      </c>
      <c r="C1064" s="1" t="s">
        <v>40</v>
      </c>
      <c r="D1064">
        <v>2</v>
      </c>
      <c r="E1064">
        <v>1</v>
      </c>
      <c r="F1064" s="1" t="s">
        <v>49</v>
      </c>
      <c r="G1064">
        <v>2</v>
      </c>
      <c r="H1064" s="1" t="s">
        <v>41</v>
      </c>
      <c r="I1064">
        <v>3</v>
      </c>
      <c r="J1064">
        <v>3</v>
      </c>
      <c r="K1064" s="1" t="s">
        <v>51</v>
      </c>
      <c r="L1064">
        <v>3</v>
      </c>
      <c r="M1064" s="1" t="s">
        <v>35</v>
      </c>
      <c r="N1064">
        <v>10209</v>
      </c>
      <c r="O1064">
        <v>5</v>
      </c>
      <c r="P1064" s="1" t="s">
        <v>30</v>
      </c>
      <c r="Q1064">
        <v>18</v>
      </c>
      <c r="R1064">
        <v>2</v>
      </c>
      <c r="S1064">
        <v>0</v>
      </c>
      <c r="T1064">
        <v>16</v>
      </c>
      <c r="U1064">
        <v>2</v>
      </c>
      <c r="V1064">
        <v>2</v>
      </c>
      <c r="W1064">
        <v>2</v>
      </c>
      <c r="X1064">
        <v>2</v>
      </c>
      <c r="Y1064">
        <v>2</v>
      </c>
      <c r="Z1064">
        <v>2</v>
      </c>
      <c r="AA1064">
        <v>0</v>
      </c>
      <c r="AB1064" s="1" t="s">
        <v>36</v>
      </c>
      <c r="AC1064" t="s">
        <v>56</v>
      </c>
      <c r="AD1064" t="s">
        <v>47</v>
      </c>
      <c r="AE1064" s="2">
        <v>5104.5</v>
      </c>
    </row>
    <row r="1065" spans="1:31" x14ac:dyDescent="0.35">
      <c r="A1065">
        <v>29</v>
      </c>
      <c r="B1065" s="1" t="s">
        <v>39</v>
      </c>
      <c r="C1065" s="1" t="s">
        <v>31</v>
      </c>
      <c r="D1065">
        <v>19</v>
      </c>
      <c r="E1065">
        <v>3</v>
      </c>
      <c r="F1065" s="1" t="s">
        <v>32</v>
      </c>
      <c r="G1065">
        <v>3</v>
      </c>
      <c r="H1065" s="1" t="s">
        <v>41</v>
      </c>
      <c r="I1065">
        <v>2</v>
      </c>
      <c r="J1065">
        <v>2</v>
      </c>
      <c r="K1065" s="1" t="s">
        <v>34</v>
      </c>
      <c r="L1065">
        <v>3</v>
      </c>
      <c r="M1065" s="1" t="s">
        <v>50</v>
      </c>
      <c r="N1065">
        <v>8620</v>
      </c>
      <c r="O1065">
        <v>1</v>
      </c>
      <c r="P1065" s="1" t="s">
        <v>39</v>
      </c>
      <c r="Q1065">
        <v>14</v>
      </c>
      <c r="R1065">
        <v>3</v>
      </c>
      <c r="S1065">
        <v>2</v>
      </c>
      <c r="T1065">
        <v>10</v>
      </c>
      <c r="U1065">
        <v>3</v>
      </c>
      <c r="V1065">
        <v>3</v>
      </c>
      <c r="W1065">
        <v>10</v>
      </c>
      <c r="X1065">
        <v>7</v>
      </c>
      <c r="Y1065">
        <v>0</v>
      </c>
      <c r="Z1065">
        <v>4</v>
      </c>
      <c r="AA1065">
        <v>0</v>
      </c>
      <c r="AB1065" s="1" t="s">
        <v>48</v>
      </c>
      <c r="AC1065" t="s">
        <v>37</v>
      </c>
      <c r="AD1065" t="s">
        <v>38</v>
      </c>
      <c r="AE1065" s="2">
        <v>862</v>
      </c>
    </row>
    <row r="1066" spans="1:31" x14ac:dyDescent="0.35">
      <c r="A1066">
        <v>30</v>
      </c>
      <c r="B1066" s="1" t="s">
        <v>39</v>
      </c>
      <c r="C1066" s="1" t="s">
        <v>62</v>
      </c>
      <c r="D1066">
        <v>1</v>
      </c>
      <c r="E1066">
        <v>3</v>
      </c>
      <c r="F1066" s="1" t="s">
        <v>32</v>
      </c>
      <c r="G1066">
        <v>3</v>
      </c>
      <c r="H1066" s="1" t="s">
        <v>41</v>
      </c>
      <c r="I1066">
        <v>3</v>
      </c>
      <c r="J1066">
        <v>1</v>
      </c>
      <c r="K1066" s="1" t="s">
        <v>62</v>
      </c>
      <c r="L1066">
        <v>3</v>
      </c>
      <c r="M1066" s="1" t="s">
        <v>50</v>
      </c>
      <c r="N1066">
        <v>2064</v>
      </c>
      <c r="O1066">
        <v>0</v>
      </c>
      <c r="P1066" s="1" t="s">
        <v>39</v>
      </c>
      <c r="Q1066">
        <v>21</v>
      </c>
      <c r="R1066">
        <v>1</v>
      </c>
      <c r="S1066">
        <v>1</v>
      </c>
      <c r="T1066">
        <v>6</v>
      </c>
      <c r="U1066">
        <v>3</v>
      </c>
      <c r="V1066">
        <v>4</v>
      </c>
      <c r="W1066">
        <v>5</v>
      </c>
      <c r="X1066">
        <v>3</v>
      </c>
      <c r="Y1066">
        <v>1</v>
      </c>
      <c r="Z1066">
        <v>3</v>
      </c>
      <c r="AA1066">
        <v>0</v>
      </c>
      <c r="AB1066" s="1" t="s">
        <v>48</v>
      </c>
      <c r="AC1066" t="s">
        <v>46</v>
      </c>
      <c r="AD1066" t="s">
        <v>53</v>
      </c>
      <c r="AE1066" s="2">
        <v>412.8</v>
      </c>
    </row>
    <row r="1067" spans="1:31" x14ac:dyDescent="0.35">
      <c r="A1067">
        <v>55</v>
      </c>
      <c r="B1067" s="1" t="s">
        <v>39</v>
      </c>
      <c r="C1067" s="1" t="s">
        <v>40</v>
      </c>
      <c r="D1067">
        <v>4</v>
      </c>
      <c r="E1067">
        <v>4</v>
      </c>
      <c r="F1067" s="1" t="s">
        <v>32</v>
      </c>
      <c r="G1067">
        <v>4</v>
      </c>
      <c r="H1067" s="1" t="s">
        <v>41</v>
      </c>
      <c r="I1067">
        <v>3</v>
      </c>
      <c r="J1067">
        <v>2</v>
      </c>
      <c r="K1067" s="1" t="s">
        <v>52</v>
      </c>
      <c r="L1067">
        <v>3</v>
      </c>
      <c r="M1067" s="1" t="s">
        <v>43</v>
      </c>
      <c r="N1067">
        <v>4035</v>
      </c>
      <c r="O1067">
        <v>0</v>
      </c>
      <c r="P1067" s="1" t="s">
        <v>30</v>
      </c>
      <c r="Q1067">
        <v>16</v>
      </c>
      <c r="R1067">
        <v>2</v>
      </c>
      <c r="S1067">
        <v>0</v>
      </c>
      <c r="T1067">
        <v>4</v>
      </c>
      <c r="U1067">
        <v>2</v>
      </c>
      <c r="V1067">
        <v>3</v>
      </c>
      <c r="W1067">
        <v>3</v>
      </c>
      <c r="X1067">
        <v>2</v>
      </c>
      <c r="Y1067">
        <v>1</v>
      </c>
      <c r="Z1067">
        <v>2</v>
      </c>
      <c r="AA1067">
        <v>0</v>
      </c>
      <c r="AB1067" s="1" t="s">
        <v>82</v>
      </c>
      <c r="AC1067" t="s">
        <v>37</v>
      </c>
      <c r="AD1067" t="s">
        <v>53</v>
      </c>
      <c r="AE1067" s="2">
        <v>1345</v>
      </c>
    </row>
    <row r="1068" spans="1:31" x14ac:dyDescent="0.35">
      <c r="A1068">
        <v>33</v>
      </c>
      <c r="B1068" s="1" t="s">
        <v>39</v>
      </c>
      <c r="C1068" s="1" t="s">
        <v>40</v>
      </c>
      <c r="D1068">
        <v>4</v>
      </c>
      <c r="E1068">
        <v>4</v>
      </c>
      <c r="F1068" s="1" t="s">
        <v>49</v>
      </c>
      <c r="G1068">
        <v>1</v>
      </c>
      <c r="H1068" s="1" t="s">
        <v>33</v>
      </c>
      <c r="I1068">
        <v>2</v>
      </c>
      <c r="J1068">
        <v>1</v>
      </c>
      <c r="K1068" s="1" t="s">
        <v>45</v>
      </c>
      <c r="L1068">
        <v>2</v>
      </c>
      <c r="M1068" s="1" t="s">
        <v>43</v>
      </c>
      <c r="N1068">
        <v>3838</v>
      </c>
      <c r="O1068">
        <v>8</v>
      </c>
      <c r="P1068" s="1" t="s">
        <v>39</v>
      </c>
      <c r="Q1068">
        <v>11</v>
      </c>
      <c r="R1068">
        <v>4</v>
      </c>
      <c r="S1068">
        <v>0</v>
      </c>
      <c r="T1068">
        <v>8</v>
      </c>
      <c r="U1068">
        <v>5</v>
      </c>
      <c r="V1068">
        <v>3</v>
      </c>
      <c r="W1068">
        <v>5</v>
      </c>
      <c r="X1068">
        <v>4</v>
      </c>
      <c r="Y1068">
        <v>0</v>
      </c>
      <c r="Z1068">
        <v>2</v>
      </c>
      <c r="AA1068">
        <v>0</v>
      </c>
      <c r="AB1068" s="1" t="s">
        <v>48</v>
      </c>
      <c r="AC1068" t="s">
        <v>46</v>
      </c>
      <c r="AD1068" t="s">
        <v>53</v>
      </c>
      <c r="AE1068" s="2">
        <v>767.6</v>
      </c>
    </row>
    <row r="1069" spans="1:31" x14ac:dyDescent="0.35">
      <c r="A1069">
        <v>47</v>
      </c>
      <c r="B1069" s="1" t="s">
        <v>39</v>
      </c>
      <c r="C1069" s="1" t="s">
        <v>31</v>
      </c>
      <c r="D1069">
        <v>14</v>
      </c>
      <c r="E1069">
        <v>3</v>
      </c>
      <c r="F1069" s="1" t="s">
        <v>49</v>
      </c>
      <c r="G1069">
        <v>3</v>
      </c>
      <c r="H1069" s="1" t="s">
        <v>33</v>
      </c>
      <c r="I1069">
        <v>3</v>
      </c>
      <c r="J1069">
        <v>2</v>
      </c>
      <c r="K1069" s="1" t="s">
        <v>34</v>
      </c>
      <c r="L1069">
        <v>3</v>
      </c>
      <c r="M1069" s="1" t="s">
        <v>43</v>
      </c>
      <c r="N1069">
        <v>4591</v>
      </c>
      <c r="O1069">
        <v>3</v>
      </c>
      <c r="P1069" s="1" t="s">
        <v>30</v>
      </c>
      <c r="Q1069">
        <v>17</v>
      </c>
      <c r="R1069">
        <v>3</v>
      </c>
      <c r="S1069">
        <v>1</v>
      </c>
      <c r="T1069">
        <v>11</v>
      </c>
      <c r="U1069">
        <v>4</v>
      </c>
      <c r="V1069">
        <v>2</v>
      </c>
      <c r="W1069">
        <v>5</v>
      </c>
      <c r="X1069">
        <v>4</v>
      </c>
      <c r="Y1069">
        <v>1</v>
      </c>
      <c r="Z1069">
        <v>2</v>
      </c>
      <c r="AA1069">
        <v>0</v>
      </c>
      <c r="AB1069" s="1" t="s">
        <v>82</v>
      </c>
      <c r="AC1069" t="s">
        <v>37</v>
      </c>
      <c r="AD1069" t="s">
        <v>53</v>
      </c>
      <c r="AE1069" s="2">
        <v>918.2</v>
      </c>
    </row>
    <row r="1070" spans="1:31" x14ac:dyDescent="0.35">
      <c r="A1070">
        <v>28</v>
      </c>
      <c r="B1070" s="1" t="s">
        <v>30</v>
      </c>
      <c r="C1070" s="1" t="s">
        <v>40</v>
      </c>
      <c r="D1070">
        <v>2</v>
      </c>
      <c r="E1070">
        <v>2</v>
      </c>
      <c r="F1070" s="1" t="s">
        <v>49</v>
      </c>
      <c r="G1070">
        <v>3</v>
      </c>
      <c r="H1070" s="1" t="s">
        <v>41</v>
      </c>
      <c r="I1070">
        <v>2</v>
      </c>
      <c r="J1070">
        <v>1</v>
      </c>
      <c r="K1070" s="1" t="s">
        <v>45</v>
      </c>
      <c r="L1070">
        <v>1</v>
      </c>
      <c r="M1070" s="1" t="s">
        <v>35</v>
      </c>
      <c r="N1070">
        <v>2561</v>
      </c>
      <c r="O1070">
        <v>7</v>
      </c>
      <c r="P1070" s="1" t="s">
        <v>39</v>
      </c>
      <c r="Q1070">
        <v>11</v>
      </c>
      <c r="R1070">
        <v>3</v>
      </c>
      <c r="S1070">
        <v>0</v>
      </c>
      <c r="T1070">
        <v>8</v>
      </c>
      <c r="U1070">
        <v>2</v>
      </c>
      <c r="V1070">
        <v>2</v>
      </c>
      <c r="W1070">
        <v>0</v>
      </c>
      <c r="X1070">
        <v>0</v>
      </c>
      <c r="Y1070">
        <v>0</v>
      </c>
      <c r="Z1070">
        <v>0</v>
      </c>
      <c r="AA1070">
        <v>1</v>
      </c>
      <c r="AB1070" s="1" t="s">
        <v>48</v>
      </c>
      <c r="AC1070" t="s">
        <v>46</v>
      </c>
      <c r="AD1070" t="s">
        <v>47</v>
      </c>
      <c r="AE1070" s="2">
        <v>2561</v>
      </c>
    </row>
    <row r="1071" spans="1:31" x14ac:dyDescent="0.35">
      <c r="A1071">
        <v>28</v>
      </c>
      <c r="B1071" s="1" t="s">
        <v>39</v>
      </c>
      <c r="C1071" s="1" t="s">
        <v>40</v>
      </c>
      <c r="D1071">
        <v>1</v>
      </c>
      <c r="E1071">
        <v>3</v>
      </c>
      <c r="F1071" s="1" t="s">
        <v>32</v>
      </c>
      <c r="G1071">
        <v>1</v>
      </c>
      <c r="H1071" s="1" t="s">
        <v>41</v>
      </c>
      <c r="I1071">
        <v>2</v>
      </c>
      <c r="J1071">
        <v>1</v>
      </c>
      <c r="K1071" s="1" t="s">
        <v>42</v>
      </c>
      <c r="L1071">
        <v>3</v>
      </c>
      <c r="M1071" s="1" t="s">
        <v>50</v>
      </c>
      <c r="N1071">
        <v>1563</v>
      </c>
      <c r="O1071">
        <v>1</v>
      </c>
      <c r="P1071" s="1" t="s">
        <v>39</v>
      </c>
      <c r="Q1071">
        <v>14</v>
      </c>
      <c r="R1071">
        <v>4</v>
      </c>
      <c r="S1071">
        <v>1</v>
      </c>
      <c r="T1071">
        <v>1</v>
      </c>
      <c r="U1071">
        <v>2</v>
      </c>
      <c r="V1071">
        <v>1</v>
      </c>
      <c r="W1071">
        <v>1</v>
      </c>
      <c r="X1071">
        <v>0</v>
      </c>
      <c r="Y1071">
        <v>0</v>
      </c>
      <c r="Z1071">
        <v>0</v>
      </c>
      <c r="AA1071">
        <v>0</v>
      </c>
      <c r="AB1071" s="1" t="s">
        <v>48</v>
      </c>
      <c r="AC1071" t="s">
        <v>46</v>
      </c>
      <c r="AD1071" t="s">
        <v>47</v>
      </c>
      <c r="AE1071" s="2">
        <v>1563</v>
      </c>
    </row>
    <row r="1072" spans="1:31" x14ac:dyDescent="0.35">
      <c r="A1072">
        <v>28</v>
      </c>
      <c r="B1072" s="1" t="s">
        <v>39</v>
      </c>
      <c r="C1072" s="1" t="s">
        <v>31</v>
      </c>
      <c r="D1072">
        <v>7</v>
      </c>
      <c r="E1072">
        <v>3</v>
      </c>
      <c r="F1072" s="1" t="s">
        <v>32</v>
      </c>
      <c r="G1072">
        <v>3</v>
      </c>
      <c r="H1072" s="1" t="s">
        <v>41</v>
      </c>
      <c r="I1072">
        <v>3</v>
      </c>
      <c r="J1072">
        <v>2</v>
      </c>
      <c r="K1072" s="1" t="s">
        <v>34</v>
      </c>
      <c r="L1072">
        <v>1</v>
      </c>
      <c r="M1072" s="1" t="s">
        <v>35</v>
      </c>
      <c r="N1072">
        <v>4898</v>
      </c>
      <c r="O1072">
        <v>0</v>
      </c>
      <c r="P1072" s="1" t="s">
        <v>39</v>
      </c>
      <c r="Q1072">
        <v>14</v>
      </c>
      <c r="R1072">
        <v>4</v>
      </c>
      <c r="S1072">
        <v>0</v>
      </c>
      <c r="T1072">
        <v>5</v>
      </c>
      <c r="U1072">
        <v>5</v>
      </c>
      <c r="V1072">
        <v>3</v>
      </c>
      <c r="W1072">
        <v>4</v>
      </c>
      <c r="X1072">
        <v>2</v>
      </c>
      <c r="Y1072">
        <v>1</v>
      </c>
      <c r="Z1072">
        <v>3</v>
      </c>
      <c r="AA1072">
        <v>0</v>
      </c>
      <c r="AB1072" s="1" t="s">
        <v>48</v>
      </c>
      <c r="AC1072" t="s">
        <v>37</v>
      </c>
      <c r="AD1072" t="s">
        <v>53</v>
      </c>
      <c r="AE1072" s="2">
        <v>1224.5</v>
      </c>
    </row>
    <row r="1073" spans="1:31" x14ac:dyDescent="0.35">
      <c r="A1073">
        <v>49</v>
      </c>
      <c r="B1073" s="1" t="s">
        <v>39</v>
      </c>
      <c r="C1073" s="1" t="s">
        <v>40</v>
      </c>
      <c r="D1073">
        <v>3</v>
      </c>
      <c r="E1073">
        <v>2</v>
      </c>
      <c r="F1073" s="1" t="s">
        <v>49</v>
      </c>
      <c r="G1073">
        <v>3</v>
      </c>
      <c r="H1073" s="1" t="s">
        <v>33</v>
      </c>
      <c r="I1073">
        <v>2</v>
      </c>
      <c r="J1073">
        <v>2</v>
      </c>
      <c r="K1073" s="1" t="s">
        <v>45</v>
      </c>
      <c r="L1073">
        <v>1</v>
      </c>
      <c r="M1073" s="1" t="s">
        <v>43</v>
      </c>
      <c r="N1073">
        <v>4789</v>
      </c>
      <c r="O1073">
        <v>4</v>
      </c>
      <c r="P1073" s="1" t="s">
        <v>39</v>
      </c>
      <c r="Q1073">
        <v>25</v>
      </c>
      <c r="R1073">
        <v>1</v>
      </c>
      <c r="S1073">
        <v>1</v>
      </c>
      <c r="T1073">
        <v>10</v>
      </c>
      <c r="U1073">
        <v>3</v>
      </c>
      <c r="V1073">
        <v>3</v>
      </c>
      <c r="W1073">
        <v>3</v>
      </c>
      <c r="X1073">
        <v>2</v>
      </c>
      <c r="Y1073">
        <v>1</v>
      </c>
      <c r="Z1073">
        <v>2</v>
      </c>
      <c r="AA1073">
        <v>0</v>
      </c>
      <c r="AB1073" s="1" t="s">
        <v>82</v>
      </c>
      <c r="AC1073" t="s">
        <v>37</v>
      </c>
      <c r="AD1073" t="s">
        <v>53</v>
      </c>
      <c r="AE1073" s="2">
        <v>1596.3333333333333</v>
      </c>
    </row>
    <row r="1074" spans="1:31" x14ac:dyDescent="0.35">
      <c r="A1074">
        <v>29</v>
      </c>
      <c r="B1074" s="1" t="s">
        <v>39</v>
      </c>
      <c r="C1074" s="1" t="s">
        <v>40</v>
      </c>
      <c r="D1074">
        <v>2</v>
      </c>
      <c r="E1074">
        <v>1</v>
      </c>
      <c r="F1074" s="1" t="s">
        <v>32</v>
      </c>
      <c r="G1074">
        <v>4</v>
      </c>
      <c r="H1074" s="1" t="s">
        <v>33</v>
      </c>
      <c r="I1074">
        <v>3</v>
      </c>
      <c r="J1074">
        <v>1</v>
      </c>
      <c r="K1074" s="1" t="s">
        <v>45</v>
      </c>
      <c r="L1074">
        <v>2</v>
      </c>
      <c r="M1074" s="1" t="s">
        <v>43</v>
      </c>
      <c r="N1074">
        <v>3180</v>
      </c>
      <c r="O1074">
        <v>0</v>
      </c>
      <c r="P1074" s="1" t="s">
        <v>39</v>
      </c>
      <c r="Q1074">
        <v>13</v>
      </c>
      <c r="R1074">
        <v>3</v>
      </c>
      <c r="S1074">
        <v>3</v>
      </c>
      <c r="T1074">
        <v>4</v>
      </c>
      <c r="U1074">
        <v>3</v>
      </c>
      <c r="V1074">
        <v>3</v>
      </c>
      <c r="W1074">
        <v>3</v>
      </c>
      <c r="X1074">
        <v>2</v>
      </c>
      <c r="Y1074">
        <v>0</v>
      </c>
      <c r="Z1074">
        <v>2</v>
      </c>
      <c r="AA1074">
        <v>0</v>
      </c>
      <c r="AB1074" s="1" t="s">
        <v>48</v>
      </c>
      <c r="AC1074" t="s">
        <v>46</v>
      </c>
      <c r="AD1074" t="s">
        <v>53</v>
      </c>
      <c r="AE1074" s="2">
        <v>1060</v>
      </c>
    </row>
    <row r="1075" spans="1:31" x14ac:dyDescent="0.35">
      <c r="A1075">
        <v>28</v>
      </c>
      <c r="B1075" s="1" t="s">
        <v>39</v>
      </c>
      <c r="C1075" s="1" t="s">
        <v>40</v>
      </c>
      <c r="D1075">
        <v>29</v>
      </c>
      <c r="E1075">
        <v>1</v>
      </c>
      <c r="F1075" s="1" t="s">
        <v>32</v>
      </c>
      <c r="G1075">
        <v>3</v>
      </c>
      <c r="H1075" s="1" t="s">
        <v>41</v>
      </c>
      <c r="I1075">
        <v>1</v>
      </c>
      <c r="J1075">
        <v>2</v>
      </c>
      <c r="K1075" s="1" t="s">
        <v>51</v>
      </c>
      <c r="L1075">
        <v>2</v>
      </c>
      <c r="M1075" s="1" t="s">
        <v>43</v>
      </c>
      <c r="N1075">
        <v>6549</v>
      </c>
      <c r="O1075">
        <v>1</v>
      </c>
      <c r="P1075" s="1" t="s">
        <v>39</v>
      </c>
      <c r="Q1075">
        <v>14</v>
      </c>
      <c r="R1075">
        <v>2</v>
      </c>
      <c r="S1075">
        <v>2</v>
      </c>
      <c r="T1075">
        <v>8</v>
      </c>
      <c r="U1075">
        <v>2</v>
      </c>
      <c r="V1075">
        <v>2</v>
      </c>
      <c r="W1075">
        <v>8</v>
      </c>
      <c r="X1075">
        <v>6</v>
      </c>
      <c r="Y1075">
        <v>1</v>
      </c>
      <c r="Z1075">
        <v>7</v>
      </c>
      <c r="AA1075">
        <v>0</v>
      </c>
      <c r="AB1075" s="1" t="s">
        <v>48</v>
      </c>
      <c r="AC1075" t="s">
        <v>37</v>
      </c>
      <c r="AD1075" t="s">
        <v>38</v>
      </c>
      <c r="AE1075" s="2">
        <v>818.625</v>
      </c>
    </row>
    <row r="1076" spans="1:31" x14ac:dyDescent="0.35">
      <c r="A1076">
        <v>33</v>
      </c>
      <c r="B1076" s="1" t="s">
        <v>39</v>
      </c>
      <c r="C1076" s="1" t="s">
        <v>40</v>
      </c>
      <c r="D1076">
        <v>8</v>
      </c>
      <c r="E1076">
        <v>5</v>
      </c>
      <c r="F1076" s="1" t="s">
        <v>32</v>
      </c>
      <c r="G1076">
        <v>4</v>
      </c>
      <c r="H1076" s="1" t="s">
        <v>41</v>
      </c>
      <c r="I1076">
        <v>3</v>
      </c>
      <c r="J1076">
        <v>2</v>
      </c>
      <c r="K1076" s="1" t="s">
        <v>52</v>
      </c>
      <c r="L1076">
        <v>3</v>
      </c>
      <c r="M1076" s="1" t="s">
        <v>35</v>
      </c>
      <c r="N1076">
        <v>6388</v>
      </c>
      <c r="O1076">
        <v>2</v>
      </c>
      <c r="P1076" s="1" t="s">
        <v>30</v>
      </c>
      <c r="Q1076">
        <v>17</v>
      </c>
      <c r="R1076">
        <v>1</v>
      </c>
      <c r="S1076">
        <v>0</v>
      </c>
      <c r="T1076">
        <v>14</v>
      </c>
      <c r="U1076">
        <v>6</v>
      </c>
      <c r="V1076">
        <v>3</v>
      </c>
      <c r="W1076">
        <v>0</v>
      </c>
      <c r="X1076">
        <v>0</v>
      </c>
      <c r="Y1076">
        <v>0</v>
      </c>
      <c r="Z1076">
        <v>0</v>
      </c>
      <c r="AA1076">
        <v>0</v>
      </c>
      <c r="AB1076" s="1" t="s">
        <v>48</v>
      </c>
      <c r="AC1076" t="s">
        <v>37</v>
      </c>
      <c r="AD1076" t="s">
        <v>47</v>
      </c>
      <c r="AE1076" s="2">
        <v>6388</v>
      </c>
    </row>
    <row r="1077" spans="1:31" x14ac:dyDescent="0.35">
      <c r="A1077">
        <v>32</v>
      </c>
      <c r="B1077" s="1" t="s">
        <v>39</v>
      </c>
      <c r="C1077" s="1" t="s">
        <v>40</v>
      </c>
      <c r="D1077">
        <v>10</v>
      </c>
      <c r="E1077">
        <v>3</v>
      </c>
      <c r="F1077" s="1" t="s">
        <v>49</v>
      </c>
      <c r="G1077">
        <v>3</v>
      </c>
      <c r="H1077" s="1" t="s">
        <v>41</v>
      </c>
      <c r="I1077">
        <v>3</v>
      </c>
      <c r="J1077">
        <v>3</v>
      </c>
      <c r="K1077" s="1" t="s">
        <v>55</v>
      </c>
      <c r="L1077">
        <v>4</v>
      </c>
      <c r="M1077" s="1" t="s">
        <v>35</v>
      </c>
      <c r="N1077">
        <v>11244</v>
      </c>
      <c r="O1077">
        <v>2</v>
      </c>
      <c r="P1077" s="1" t="s">
        <v>39</v>
      </c>
      <c r="Q1077">
        <v>25</v>
      </c>
      <c r="R1077">
        <v>2</v>
      </c>
      <c r="S1077">
        <v>0</v>
      </c>
      <c r="T1077">
        <v>10</v>
      </c>
      <c r="U1077">
        <v>5</v>
      </c>
      <c r="V1077">
        <v>4</v>
      </c>
      <c r="W1077">
        <v>5</v>
      </c>
      <c r="X1077">
        <v>2</v>
      </c>
      <c r="Y1077">
        <v>0</v>
      </c>
      <c r="Z1077">
        <v>0</v>
      </c>
      <c r="AA1077">
        <v>0</v>
      </c>
      <c r="AB1077" s="1" t="s">
        <v>48</v>
      </c>
      <c r="AC1077" t="s">
        <v>56</v>
      </c>
      <c r="AD1077" t="s">
        <v>53</v>
      </c>
      <c r="AE1077" s="2">
        <v>2248.8000000000002</v>
      </c>
    </row>
    <row r="1078" spans="1:31" x14ac:dyDescent="0.35">
      <c r="A1078">
        <v>54</v>
      </c>
      <c r="B1078" s="1" t="s">
        <v>39</v>
      </c>
      <c r="C1078" s="1" t="s">
        <v>40</v>
      </c>
      <c r="D1078">
        <v>11</v>
      </c>
      <c r="E1078">
        <v>4</v>
      </c>
      <c r="F1078" s="1" t="s">
        <v>49</v>
      </c>
      <c r="G1078">
        <v>2</v>
      </c>
      <c r="H1078" s="1" t="s">
        <v>33</v>
      </c>
      <c r="I1078">
        <v>3</v>
      </c>
      <c r="J1078">
        <v>4</v>
      </c>
      <c r="K1078" s="1" t="s">
        <v>55</v>
      </c>
      <c r="L1078">
        <v>4</v>
      </c>
      <c r="M1078" s="1" t="s">
        <v>50</v>
      </c>
      <c r="N1078">
        <v>16032</v>
      </c>
      <c r="O1078">
        <v>3</v>
      </c>
      <c r="P1078" s="1" t="s">
        <v>39</v>
      </c>
      <c r="Q1078">
        <v>20</v>
      </c>
      <c r="R1078">
        <v>1</v>
      </c>
      <c r="S1078">
        <v>1</v>
      </c>
      <c r="T1078">
        <v>26</v>
      </c>
      <c r="U1078">
        <v>2</v>
      </c>
      <c r="V1078">
        <v>3</v>
      </c>
      <c r="W1078">
        <v>14</v>
      </c>
      <c r="X1078">
        <v>9</v>
      </c>
      <c r="Y1078">
        <v>1</v>
      </c>
      <c r="Z1078">
        <v>12</v>
      </c>
      <c r="AA1078">
        <v>0</v>
      </c>
      <c r="AB1078" s="1" t="s">
        <v>82</v>
      </c>
      <c r="AC1078" t="s">
        <v>56</v>
      </c>
      <c r="AD1078" t="s">
        <v>57</v>
      </c>
      <c r="AE1078" s="2">
        <v>1145.1428571428571</v>
      </c>
    </row>
    <row r="1079" spans="1:31" x14ac:dyDescent="0.35">
      <c r="A1079">
        <v>29</v>
      </c>
      <c r="B1079" s="1" t="s">
        <v>30</v>
      </c>
      <c r="C1079" s="1" t="s">
        <v>40</v>
      </c>
      <c r="D1079">
        <v>1</v>
      </c>
      <c r="E1079">
        <v>4</v>
      </c>
      <c r="F1079" s="1" t="s">
        <v>61</v>
      </c>
      <c r="G1079">
        <v>1</v>
      </c>
      <c r="H1079" s="1" t="s">
        <v>41</v>
      </c>
      <c r="I1079">
        <v>2</v>
      </c>
      <c r="J1079">
        <v>1</v>
      </c>
      <c r="K1079" s="1" t="s">
        <v>42</v>
      </c>
      <c r="L1079">
        <v>1</v>
      </c>
      <c r="M1079" s="1" t="s">
        <v>35</v>
      </c>
      <c r="N1079">
        <v>2362</v>
      </c>
      <c r="O1079">
        <v>6</v>
      </c>
      <c r="P1079" s="1" t="s">
        <v>39</v>
      </c>
      <c r="Q1079">
        <v>13</v>
      </c>
      <c r="R1079">
        <v>3</v>
      </c>
      <c r="S1079">
        <v>0</v>
      </c>
      <c r="T1079">
        <v>11</v>
      </c>
      <c r="U1079">
        <v>2</v>
      </c>
      <c r="V1079">
        <v>1</v>
      </c>
      <c r="W1079">
        <v>9</v>
      </c>
      <c r="X1079">
        <v>7</v>
      </c>
      <c r="Y1079">
        <v>0</v>
      </c>
      <c r="Z1079">
        <v>7</v>
      </c>
      <c r="AA1079">
        <v>1</v>
      </c>
      <c r="AB1079" s="1" t="s">
        <v>48</v>
      </c>
      <c r="AC1079" t="s">
        <v>46</v>
      </c>
      <c r="AD1079" t="s">
        <v>38</v>
      </c>
      <c r="AE1079" s="2">
        <v>262.44444444444446</v>
      </c>
    </row>
    <row r="1080" spans="1:31" x14ac:dyDescent="0.35">
      <c r="A1080">
        <v>44</v>
      </c>
      <c r="B1080" s="1" t="s">
        <v>39</v>
      </c>
      <c r="C1080" s="1" t="s">
        <v>40</v>
      </c>
      <c r="D1080">
        <v>28</v>
      </c>
      <c r="E1080">
        <v>3</v>
      </c>
      <c r="F1080" s="1" t="s">
        <v>32</v>
      </c>
      <c r="G1080">
        <v>4</v>
      </c>
      <c r="H1080" s="1" t="s">
        <v>41</v>
      </c>
      <c r="I1080">
        <v>3</v>
      </c>
      <c r="J1080">
        <v>4</v>
      </c>
      <c r="K1080" s="1" t="s">
        <v>59</v>
      </c>
      <c r="L1080">
        <v>1</v>
      </c>
      <c r="M1080" s="1" t="s">
        <v>43</v>
      </c>
      <c r="N1080">
        <v>16328</v>
      </c>
      <c r="O1080">
        <v>3</v>
      </c>
      <c r="P1080" s="1" t="s">
        <v>39</v>
      </c>
      <c r="Q1080">
        <v>13</v>
      </c>
      <c r="R1080">
        <v>3</v>
      </c>
      <c r="S1080">
        <v>1</v>
      </c>
      <c r="T1080">
        <v>24</v>
      </c>
      <c r="U1080">
        <v>1</v>
      </c>
      <c r="V1080">
        <v>4</v>
      </c>
      <c r="W1080">
        <v>20</v>
      </c>
      <c r="X1080">
        <v>6</v>
      </c>
      <c r="Y1080">
        <v>14</v>
      </c>
      <c r="Z1080">
        <v>17</v>
      </c>
      <c r="AA1080">
        <v>0</v>
      </c>
      <c r="AB1080" s="1" t="s">
        <v>36</v>
      </c>
      <c r="AC1080" t="s">
        <v>56</v>
      </c>
      <c r="AD1080" t="s">
        <v>57</v>
      </c>
      <c r="AE1080" s="2">
        <v>816.4</v>
      </c>
    </row>
    <row r="1081" spans="1:31" x14ac:dyDescent="0.35">
      <c r="A1081">
        <v>39</v>
      </c>
      <c r="B1081" s="1" t="s">
        <v>39</v>
      </c>
      <c r="C1081" s="1" t="s">
        <v>40</v>
      </c>
      <c r="D1081">
        <v>6</v>
      </c>
      <c r="E1081">
        <v>3</v>
      </c>
      <c r="F1081" s="1" t="s">
        <v>32</v>
      </c>
      <c r="G1081">
        <v>2</v>
      </c>
      <c r="H1081" s="1" t="s">
        <v>33</v>
      </c>
      <c r="I1081">
        <v>3</v>
      </c>
      <c r="J1081">
        <v>3</v>
      </c>
      <c r="K1081" s="1" t="s">
        <v>51</v>
      </c>
      <c r="L1081">
        <v>2</v>
      </c>
      <c r="M1081" s="1" t="s">
        <v>35</v>
      </c>
      <c r="N1081">
        <v>8376</v>
      </c>
      <c r="O1081">
        <v>4</v>
      </c>
      <c r="P1081" s="1" t="s">
        <v>39</v>
      </c>
      <c r="Q1081">
        <v>18</v>
      </c>
      <c r="R1081">
        <v>4</v>
      </c>
      <c r="S1081">
        <v>0</v>
      </c>
      <c r="T1081">
        <v>9</v>
      </c>
      <c r="U1081">
        <v>3</v>
      </c>
      <c r="V1081">
        <v>3</v>
      </c>
      <c r="W1081">
        <v>2</v>
      </c>
      <c r="X1081">
        <v>0</v>
      </c>
      <c r="Y1081">
        <v>2</v>
      </c>
      <c r="Z1081">
        <v>2</v>
      </c>
      <c r="AA1081">
        <v>0</v>
      </c>
      <c r="AB1081" s="1" t="s">
        <v>36</v>
      </c>
      <c r="AC1081" t="s">
        <v>37</v>
      </c>
      <c r="AD1081" t="s">
        <v>47</v>
      </c>
      <c r="AE1081" s="2">
        <v>4188</v>
      </c>
    </row>
    <row r="1082" spans="1:31" x14ac:dyDescent="0.35">
      <c r="A1082">
        <v>46</v>
      </c>
      <c r="B1082" s="1" t="s">
        <v>39</v>
      </c>
      <c r="C1082" s="1" t="s">
        <v>31</v>
      </c>
      <c r="D1082">
        <v>3</v>
      </c>
      <c r="E1082">
        <v>3</v>
      </c>
      <c r="F1082" s="1" t="s">
        <v>32</v>
      </c>
      <c r="G1082">
        <v>3</v>
      </c>
      <c r="H1082" s="1" t="s">
        <v>33</v>
      </c>
      <c r="I1082">
        <v>3</v>
      </c>
      <c r="J1082">
        <v>4</v>
      </c>
      <c r="K1082" s="1" t="s">
        <v>55</v>
      </c>
      <c r="L1082">
        <v>2</v>
      </c>
      <c r="M1082" s="1" t="s">
        <v>43</v>
      </c>
      <c r="N1082">
        <v>16606</v>
      </c>
      <c r="O1082">
        <v>8</v>
      </c>
      <c r="P1082" s="1" t="s">
        <v>39</v>
      </c>
      <c r="Q1082">
        <v>12</v>
      </c>
      <c r="R1082">
        <v>4</v>
      </c>
      <c r="S1082">
        <v>1</v>
      </c>
      <c r="T1082">
        <v>23</v>
      </c>
      <c r="U1082">
        <v>2</v>
      </c>
      <c r="V1082">
        <v>4</v>
      </c>
      <c r="W1082">
        <v>13</v>
      </c>
      <c r="X1082">
        <v>12</v>
      </c>
      <c r="Y1082">
        <v>5</v>
      </c>
      <c r="Z1082">
        <v>1</v>
      </c>
      <c r="AA1082">
        <v>0</v>
      </c>
      <c r="AB1082" s="1" t="s">
        <v>82</v>
      </c>
      <c r="AC1082" t="s">
        <v>56</v>
      </c>
      <c r="AD1082" t="s">
        <v>57</v>
      </c>
      <c r="AE1082" s="2">
        <v>1277.3846153846155</v>
      </c>
    </row>
    <row r="1083" spans="1:31" x14ac:dyDescent="0.35">
      <c r="A1083">
        <v>35</v>
      </c>
      <c r="B1083" s="1" t="s">
        <v>39</v>
      </c>
      <c r="C1083" s="1" t="s">
        <v>40</v>
      </c>
      <c r="D1083">
        <v>16</v>
      </c>
      <c r="E1083">
        <v>3</v>
      </c>
      <c r="F1083" s="1" t="s">
        <v>32</v>
      </c>
      <c r="G1083">
        <v>4</v>
      </c>
      <c r="H1083" s="1" t="s">
        <v>33</v>
      </c>
      <c r="I1083">
        <v>2</v>
      </c>
      <c r="J1083">
        <v>3</v>
      </c>
      <c r="K1083" s="1" t="s">
        <v>52</v>
      </c>
      <c r="L1083">
        <v>2</v>
      </c>
      <c r="M1083" s="1" t="s">
        <v>35</v>
      </c>
      <c r="N1083">
        <v>8606</v>
      </c>
      <c r="O1083">
        <v>1</v>
      </c>
      <c r="P1083" s="1" t="s">
        <v>39</v>
      </c>
      <c r="Q1083">
        <v>19</v>
      </c>
      <c r="R1083">
        <v>4</v>
      </c>
      <c r="S1083">
        <v>0</v>
      </c>
      <c r="T1083">
        <v>11</v>
      </c>
      <c r="U1083">
        <v>3</v>
      </c>
      <c r="V1083">
        <v>1</v>
      </c>
      <c r="W1083">
        <v>11</v>
      </c>
      <c r="X1083">
        <v>8</v>
      </c>
      <c r="Y1083">
        <v>3</v>
      </c>
      <c r="Z1083">
        <v>3</v>
      </c>
      <c r="AA1083">
        <v>0</v>
      </c>
      <c r="AB1083" s="1" t="s">
        <v>48</v>
      </c>
      <c r="AC1083" t="s">
        <v>37</v>
      </c>
      <c r="AD1083" t="s">
        <v>57</v>
      </c>
      <c r="AE1083" s="2">
        <v>782.36363636363637</v>
      </c>
    </row>
    <row r="1084" spans="1:31" x14ac:dyDescent="0.35">
      <c r="A1084">
        <v>23</v>
      </c>
      <c r="B1084" s="1" t="s">
        <v>39</v>
      </c>
      <c r="C1084" s="1" t="s">
        <v>40</v>
      </c>
      <c r="D1084">
        <v>20</v>
      </c>
      <c r="E1084">
        <v>1</v>
      </c>
      <c r="F1084" s="1" t="s">
        <v>32</v>
      </c>
      <c r="G1084">
        <v>1</v>
      </c>
      <c r="H1084" s="1" t="s">
        <v>41</v>
      </c>
      <c r="I1084">
        <v>3</v>
      </c>
      <c r="J1084">
        <v>2</v>
      </c>
      <c r="K1084" s="1" t="s">
        <v>45</v>
      </c>
      <c r="L1084">
        <v>3</v>
      </c>
      <c r="M1084" s="1" t="s">
        <v>35</v>
      </c>
      <c r="N1084">
        <v>2272</v>
      </c>
      <c r="O1084">
        <v>0</v>
      </c>
      <c r="P1084" s="1" t="s">
        <v>39</v>
      </c>
      <c r="Q1084">
        <v>14</v>
      </c>
      <c r="R1084">
        <v>2</v>
      </c>
      <c r="S1084">
        <v>0</v>
      </c>
      <c r="T1084">
        <v>5</v>
      </c>
      <c r="U1084">
        <v>2</v>
      </c>
      <c r="V1084">
        <v>3</v>
      </c>
      <c r="W1084">
        <v>4</v>
      </c>
      <c r="X1084">
        <v>3</v>
      </c>
      <c r="Y1084">
        <v>1</v>
      </c>
      <c r="Z1084">
        <v>2</v>
      </c>
      <c r="AA1084">
        <v>0</v>
      </c>
      <c r="AB1084" s="1" t="s">
        <v>54</v>
      </c>
      <c r="AC1084" t="s">
        <v>46</v>
      </c>
      <c r="AD1084" t="s">
        <v>53</v>
      </c>
      <c r="AE1084" s="2">
        <v>568</v>
      </c>
    </row>
    <row r="1085" spans="1:31" x14ac:dyDescent="0.35">
      <c r="A1085">
        <v>40</v>
      </c>
      <c r="B1085" s="1" t="s">
        <v>30</v>
      </c>
      <c r="C1085" s="1" t="s">
        <v>40</v>
      </c>
      <c r="D1085">
        <v>9</v>
      </c>
      <c r="E1085">
        <v>4</v>
      </c>
      <c r="F1085" s="1" t="s">
        <v>32</v>
      </c>
      <c r="G1085">
        <v>4</v>
      </c>
      <c r="H1085" s="1" t="s">
        <v>41</v>
      </c>
      <c r="I1085">
        <v>3</v>
      </c>
      <c r="J1085">
        <v>1</v>
      </c>
      <c r="K1085" s="1" t="s">
        <v>45</v>
      </c>
      <c r="L1085">
        <v>1</v>
      </c>
      <c r="M1085" s="1" t="s">
        <v>35</v>
      </c>
      <c r="N1085">
        <v>2018</v>
      </c>
      <c r="O1085">
        <v>3</v>
      </c>
      <c r="P1085" s="1" t="s">
        <v>39</v>
      </c>
      <c r="Q1085">
        <v>14</v>
      </c>
      <c r="R1085">
        <v>2</v>
      </c>
      <c r="S1085">
        <v>0</v>
      </c>
      <c r="T1085">
        <v>15</v>
      </c>
      <c r="U1085">
        <v>3</v>
      </c>
      <c r="V1085">
        <v>1</v>
      </c>
      <c r="W1085">
        <v>5</v>
      </c>
      <c r="X1085">
        <v>4</v>
      </c>
      <c r="Y1085">
        <v>1</v>
      </c>
      <c r="Z1085">
        <v>0</v>
      </c>
      <c r="AA1085">
        <v>1</v>
      </c>
      <c r="AB1085" s="1" t="s">
        <v>36</v>
      </c>
      <c r="AC1085" t="s">
        <v>46</v>
      </c>
      <c r="AD1085" t="s">
        <v>53</v>
      </c>
      <c r="AE1085" s="2">
        <v>403.6</v>
      </c>
    </row>
    <row r="1086" spans="1:31" x14ac:dyDescent="0.35">
      <c r="A1086">
        <v>34</v>
      </c>
      <c r="B1086" s="1" t="s">
        <v>39</v>
      </c>
      <c r="C1086" s="1" t="s">
        <v>31</v>
      </c>
      <c r="D1086">
        <v>1</v>
      </c>
      <c r="E1086">
        <v>3</v>
      </c>
      <c r="F1086" s="1" t="s">
        <v>61</v>
      </c>
      <c r="G1086">
        <v>4</v>
      </c>
      <c r="H1086" s="1" t="s">
        <v>41</v>
      </c>
      <c r="I1086">
        <v>2</v>
      </c>
      <c r="J1086">
        <v>3</v>
      </c>
      <c r="K1086" s="1" t="s">
        <v>34</v>
      </c>
      <c r="L1086">
        <v>3</v>
      </c>
      <c r="M1086" s="1" t="s">
        <v>43</v>
      </c>
      <c r="N1086">
        <v>7083</v>
      </c>
      <c r="O1086">
        <v>1</v>
      </c>
      <c r="P1086" s="1" t="s">
        <v>30</v>
      </c>
      <c r="Q1086">
        <v>14</v>
      </c>
      <c r="R1086">
        <v>4</v>
      </c>
      <c r="S1086">
        <v>0</v>
      </c>
      <c r="T1086">
        <v>10</v>
      </c>
      <c r="U1086">
        <v>3</v>
      </c>
      <c r="V1086">
        <v>3</v>
      </c>
      <c r="W1086">
        <v>10</v>
      </c>
      <c r="X1086">
        <v>9</v>
      </c>
      <c r="Y1086">
        <v>8</v>
      </c>
      <c r="Z1086">
        <v>6</v>
      </c>
      <c r="AA1086">
        <v>0</v>
      </c>
      <c r="AB1086" s="1" t="s">
        <v>48</v>
      </c>
      <c r="AC1086" t="s">
        <v>37</v>
      </c>
      <c r="AD1086" t="s">
        <v>38</v>
      </c>
      <c r="AE1086" s="2">
        <v>708.3</v>
      </c>
    </row>
    <row r="1087" spans="1:31" x14ac:dyDescent="0.35">
      <c r="A1087">
        <v>31</v>
      </c>
      <c r="B1087" s="1" t="s">
        <v>30</v>
      </c>
      <c r="C1087" s="1" t="s">
        <v>40</v>
      </c>
      <c r="D1087">
        <v>3</v>
      </c>
      <c r="E1087">
        <v>3</v>
      </c>
      <c r="F1087" s="1" t="s">
        <v>32</v>
      </c>
      <c r="G1087">
        <v>4</v>
      </c>
      <c r="H1087" s="1" t="s">
        <v>33</v>
      </c>
      <c r="I1087">
        <v>3</v>
      </c>
      <c r="J1087">
        <v>1</v>
      </c>
      <c r="K1087" s="1" t="s">
        <v>42</v>
      </c>
      <c r="L1087">
        <v>3</v>
      </c>
      <c r="M1087" s="1" t="s">
        <v>35</v>
      </c>
      <c r="N1087">
        <v>4084</v>
      </c>
      <c r="O1087">
        <v>1</v>
      </c>
      <c r="P1087" s="1" t="s">
        <v>39</v>
      </c>
      <c r="Q1087">
        <v>12</v>
      </c>
      <c r="R1087">
        <v>1</v>
      </c>
      <c r="S1087">
        <v>0</v>
      </c>
      <c r="T1087">
        <v>7</v>
      </c>
      <c r="U1087">
        <v>2</v>
      </c>
      <c r="V1087">
        <v>1</v>
      </c>
      <c r="W1087">
        <v>7</v>
      </c>
      <c r="X1087">
        <v>2</v>
      </c>
      <c r="Y1087">
        <v>7</v>
      </c>
      <c r="Z1087">
        <v>7</v>
      </c>
      <c r="AA1087">
        <v>1</v>
      </c>
      <c r="AB1087" s="1" t="s">
        <v>48</v>
      </c>
      <c r="AC1087" t="s">
        <v>37</v>
      </c>
      <c r="AD1087" t="s">
        <v>38</v>
      </c>
      <c r="AE1087" s="2">
        <v>583.42857142857144</v>
      </c>
    </row>
    <row r="1088" spans="1:31" x14ac:dyDescent="0.35">
      <c r="A1088">
        <v>50</v>
      </c>
      <c r="B1088" s="1" t="s">
        <v>39</v>
      </c>
      <c r="C1088" s="1" t="s">
        <v>40</v>
      </c>
      <c r="D1088">
        <v>22</v>
      </c>
      <c r="E1088">
        <v>5</v>
      </c>
      <c r="F1088" s="1" t="s">
        <v>49</v>
      </c>
      <c r="G1088">
        <v>3</v>
      </c>
      <c r="H1088" s="1" t="s">
        <v>41</v>
      </c>
      <c r="I1088">
        <v>1</v>
      </c>
      <c r="J1088">
        <v>4</v>
      </c>
      <c r="K1088" s="1" t="s">
        <v>59</v>
      </c>
      <c r="L1088">
        <v>4</v>
      </c>
      <c r="M1088" s="1" t="s">
        <v>35</v>
      </c>
      <c r="N1088">
        <v>14411</v>
      </c>
      <c r="O1088">
        <v>1</v>
      </c>
      <c r="P1088" s="1" t="s">
        <v>30</v>
      </c>
      <c r="Q1088">
        <v>13</v>
      </c>
      <c r="R1088">
        <v>4</v>
      </c>
      <c r="S1088">
        <v>0</v>
      </c>
      <c r="T1088">
        <v>32</v>
      </c>
      <c r="U1088">
        <v>2</v>
      </c>
      <c r="V1088">
        <v>3</v>
      </c>
      <c r="W1088">
        <v>32</v>
      </c>
      <c r="X1088">
        <v>6</v>
      </c>
      <c r="Y1088">
        <v>13</v>
      </c>
      <c r="Z1088">
        <v>9</v>
      </c>
      <c r="AA1088">
        <v>0</v>
      </c>
      <c r="AB1088" s="1" t="s">
        <v>82</v>
      </c>
      <c r="AC1088" t="s">
        <v>56</v>
      </c>
      <c r="AD1088" t="s">
        <v>57</v>
      </c>
      <c r="AE1088" s="2">
        <v>450.34375</v>
      </c>
    </row>
    <row r="1089" spans="1:31" x14ac:dyDescent="0.35">
      <c r="A1089">
        <v>34</v>
      </c>
      <c r="B1089" s="1" t="s">
        <v>39</v>
      </c>
      <c r="C1089" s="1" t="s">
        <v>31</v>
      </c>
      <c r="D1089">
        <v>7</v>
      </c>
      <c r="E1089">
        <v>2</v>
      </c>
      <c r="F1089" s="1" t="s">
        <v>61</v>
      </c>
      <c r="G1089">
        <v>2</v>
      </c>
      <c r="H1089" s="1" t="s">
        <v>41</v>
      </c>
      <c r="I1089">
        <v>3</v>
      </c>
      <c r="J1089">
        <v>1</v>
      </c>
      <c r="K1089" s="1" t="s">
        <v>58</v>
      </c>
      <c r="L1089">
        <v>3</v>
      </c>
      <c r="M1089" s="1" t="s">
        <v>43</v>
      </c>
      <c r="N1089">
        <v>2308</v>
      </c>
      <c r="O1089">
        <v>0</v>
      </c>
      <c r="P1089" s="1" t="s">
        <v>30</v>
      </c>
      <c r="Q1089">
        <v>25</v>
      </c>
      <c r="R1089">
        <v>2</v>
      </c>
      <c r="S1089">
        <v>1</v>
      </c>
      <c r="T1089">
        <v>12</v>
      </c>
      <c r="U1089">
        <v>4</v>
      </c>
      <c r="V1089">
        <v>3</v>
      </c>
      <c r="W1089">
        <v>11</v>
      </c>
      <c r="X1089">
        <v>10</v>
      </c>
      <c r="Y1089">
        <v>5</v>
      </c>
      <c r="Z1089">
        <v>7</v>
      </c>
      <c r="AA1089">
        <v>0</v>
      </c>
      <c r="AB1089" s="1" t="s">
        <v>48</v>
      </c>
      <c r="AC1089" t="s">
        <v>46</v>
      </c>
      <c r="AD1089" t="s">
        <v>57</v>
      </c>
      <c r="AE1089" s="2">
        <v>209.81818181818181</v>
      </c>
    </row>
    <row r="1090" spans="1:31" x14ac:dyDescent="0.35">
      <c r="A1090">
        <v>42</v>
      </c>
      <c r="B1090" s="1" t="s">
        <v>39</v>
      </c>
      <c r="C1090" s="1" t="s">
        <v>40</v>
      </c>
      <c r="D1090">
        <v>2</v>
      </c>
      <c r="E1090">
        <v>3</v>
      </c>
      <c r="F1090" s="1" t="s">
        <v>49</v>
      </c>
      <c r="G1090">
        <v>3</v>
      </c>
      <c r="H1090" s="1" t="s">
        <v>41</v>
      </c>
      <c r="I1090">
        <v>2</v>
      </c>
      <c r="J1090">
        <v>1</v>
      </c>
      <c r="K1090" s="1" t="s">
        <v>45</v>
      </c>
      <c r="L1090">
        <v>2</v>
      </c>
      <c r="M1090" s="1" t="s">
        <v>43</v>
      </c>
      <c r="N1090">
        <v>4841</v>
      </c>
      <c r="O1090">
        <v>4</v>
      </c>
      <c r="P1090" s="1" t="s">
        <v>39</v>
      </c>
      <c r="Q1090">
        <v>14</v>
      </c>
      <c r="R1090">
        <v>2</v>
      </c>
      <c r="S1090">
        <v>1</v>
      </c>
      <c r="T1090">
        <v>4</v>
      </c>
      <c r="U1090">
        <v>3</v>
      </c>
      <c r="V1090">
        <v>3</v>
      </c>
      <c r="W1090">
        <v>1</v>
      </c>
      <c r="X1090">
        <v>0</v>
      </c>
      <c r="Y1090">
        <v>0</v>
      </c>
      <c r="Z1090">
        <v>0</v>
      </c>
      <c r="AA1090">
        <v>0</v>
      </c>
      <c r="AB1090" s="1" t="s">
        <v>36</v>
      </c>
      <c r="AC1090" t="s">
        <v>37</v>
      </c>
      <c r="AD1090" t="s">
        <v>47</v>
      </c>
      <c r="AE1090" s="2">
        <v>4841</v>
      </c>
    </row>
    <row r="1091" spans="1:31" x14ac:dyDescent="0.35">
      <c r="A1091">
        <v>37</v>
      </c>
      <c r="B1091" s="1" t="s">
        <v>39</v>
      </c>
      <c r="C1091" s="1" t="s">
        <v>40</v>
      </c>
      <c r="D1091">
        <v>13</v>
      </c>
      <c r="E1091">
        <v>3</v>
      </c>
      <c r="F1091" s="1" t="s">
        <v>49</v>
      </c>
      <c r="G1091">
        <v>1</v>
      </c>
      <c r="H1091" s="1" t="s">
        <v>41</v>
      </c>
      <c r="I1091">
        <v>3</v>
      </c>
      <c r="J1091">
        <v>2</v>
      </c>
      <c r="K1091" s="1" t="s">
        <v>42</v>
      </c>
      <c r="L1091">
        <v>4</v>
      </c>
      <c r="M1091" s="1" t="s">
        <v>43</v>
      </c>
      <c r="N1091">
        <v>4285</v>
      </c>
      <c r="O1091">
        <v>1</v>
      </c>
      <c r="P1091" s="1" t="s">
        <v>39</v>
      </c>
      <c r="Q1091">
        <v>17</v>
      </c>
      <c r="R1091">
        <v>1</v>
      </c>
      <c r="S1091">
        <v>0</v>
      </c>
      <c r="T1091">
        <v>10</v>
      </c>
      <c r="U1091">
        <v>2</v>
      </c>
      <c r="V1091">
        <v>3</v>
      </c>
      <c r="W1091">
        <v>10</v>
      </c>
      <c r="X1091">
        <v>8</v>
      </c>
      <c r="Y1091">
        <v>3</v>
      </c>
      <c r="Z1091">
        <v>7</v>
      </c>
      <c r="AA1091">
        <v>0</v>
      </c>
      <c r="AB1091" s="1" t="s">
        <v>36</v>
      </c>
      <c r="AC1091" t="s">
        <v>37</v>
      </c>
      <c r="AD1091" t="s">
        <v>38</v>
      </c>
      <c r="AE1091" s="2">
        <v>428.5</v>
      </c>
    </row>
    <row r="1092" spans="1:31" x14ac:dyDescent="0.35">
      <c r="A1092">
        <v>29</v>
      </c>
      <c r="B1092" s="1" t="s">
        <v>39</v>
      </c>
      <c r="C1092" s="1" t="s">
        <v>40</v>
      </c>
      <c r="D1092">
        <v>8</v>
      </c>
      <c r="E1092">
        <v>1</v>
      </c>
      <c r="F1092" s="1" t="s">
        <v>44</v>
      </c>
      <c r="G1092">
        <v>3</v>
      </c>
      <c r="H1092" s="1" t="s">
        <v>33</v>
      </c>
      <c r="I1092">
        <v>1</v>
      </c>
      <c r="J1092">
        <v>2</v>
      </c>
      <c r="K1092" s="1" t="s">
        <v>52</v>
      </c>
      <c r="L1092">
        <v>1</v>
      </c>
      <c r="M1092" s="1" t="s">
        <v>43</v>
      </c>
      <c r="N1092">
        <v>9715</v>
      </c>
      <c r="O1092">
        <v>3</v>
      </c>
      <c r="P1092" s="1" t="s">
        <v>39</v>
      </c>
      <c r="Q1092">
        <v>13</v>
      </c>
      <c r="R1092">
        <v>3</v>
      </c>
      <c r="S1092">
        <v>1</v>
      </c>
      <c r="T1092">
        <v>9</v>
      </c>
      <c r="U1092">
        <v>3</v>
      </c>
      <c r="V1092">
        <v>3</v>
      </c>
      <c r="W1092">
        <v>7</v>
      </c>
      <c r="X1092">
        <v>7</v>
      </c>
      <c r="Y1092">
        <v>0</v>
      </c>
      <c r="Z1092">
        <v>7</v>
      </c>
      <c r="AA1092">
        <v>0</v>
      </c>
      <c r="AB1092" s="1" t="s">
        <v>48</v>
      </c>
      <c r="AC1092" t="s">
        <v>37</v>
      </c>
      <c r="AD1092" t="s">
        <v>38</v>
      </c>
      <c r="AE1092" s="2">
        <v>1387.8571428571429</v>
      </c>
    </row>
    <row r="1093" spans="1:31" x14ac:dyDescent="0.35">
      <c r="A1093">
        <v>33</v>
      </c>
      <c r="B1093" s="1" t="s">
        <v>39</v>
      </c>
      <c r="C1093" s="1" t="s">
        <v>40</v>
      </c>
      <c r="D1093">
        <v>25</v>
      </c>
      <c r="E1093">
        <v>3</v>
      </c>
      <c r="F1093" s="1" t="s">
        <v>32</v>
      </c>
      <c r="G1093">
        <v>4</v>
      </c>
      <c r="H1093" s="1" t="s">
        <v>41</v>
      </c>
      <c r="I1093">
        <v>2</v>
      </c>
      <c r="J1093">
        <v>2</v>
      </c>
      <c r="K1093" s="1" t="s">
        <v>51</v>
      </c>
      <c r="L1093">
        <v>2</v>
      </c>
      <c r="M1093" s="1" t="s">
        <v>35</v>
      </c>
      <c r="N1093">
        <v>4320</v>
      </c>
      <c r="O1093">
        <v>1</v>
      </c>
      <c r="P1093" s="1" t="s">
        <v>39</v>
      </c>
      <c r="Q1093">
        <v>13</v>
      </c>
      <c r="R1093">
        <v>4</v>
      </c>
      <c r="S1093">
        <v>0</v>
      </c>
      <c r="T1093">
        <v>5</v>
      </c>
      <c r="U1093">
        <v>2</v>
      </c>
      <c r="V1093">
        <v>3</v>
      </c>
      <c r="W1093">
        <v>5</v>
      </c>
      <c r="X1093">
        <v>3</v>
      </c>
      <c r="Y1093">
        <v>0</v>
      </c>
      <c r="Z1093">
        <v>2</v>
      </c>
      <c r="AA1093">
        <v>0</v>
      </c>
      <c r="AB1093" s="1" t="s">
        <v>48</v>
      </c>
      <c r="AC1093" t="s">
        <v>37</v>
      </c>
      <c r="AD1093" t="s">
        <v>53</v>
      </c>
      <c r="AE1093" s="2">
        <v>864</v>
      </c>
    </row>
    <row r="1094" spans="1:31" x14ac:dyDescent="0.35">
      <c r="A1094">
        <v>45</v>
      </c>
      <c r="B1094" s="1" t="s">
        <v>39</v>
      </c>
      <c r="C1094" s="1" t="s">
        <v>40</v>
      </c>
      <c r="D1094">
        <v>28</v>
      </c>
      <c r="E1094">
        <v>3</v>
      </c>
      <c r="F1094" s="1" t="s">
        <v>61</v>
      </c>
      <c r="G1094">
        <v>4</v>
      </c>
      <c r="H1094" s="1" t="s">
        <v>41</v>
      </c>
      <c r="I1094">
        <v>3</v>
      </c>
      <c r="J1094">
        <v>1</v>
      </c>
      <c r="K1094" s="1" t="s">
        <v>42</v>
      </c>
      <c r="L1094">
        <v>4</v>
      </c>
      <c r="M1094" s="1" t="s">
        <v>43</v>
      </c>
      <c r="N1094">
        <v>2132</v>
      </c>
      <c r="O1094">
        <v>4</v>
      </c>
      <c r="P1094" s="1" t="s">
        <v>39</v>
      </c>
      <c r="Q1094">
        <v>20</v>
      </c>
      <c r="R1094">
        <v>4</v>
      </c>
      <c r="S1094">
        <v>1</v>
      </c>
      <c r="T1094">
        <v>8</v>
      </c>
      <c r="U1094">
        <v>3</v>
      </c>
      <c r="V1094">
        <v>3</v>
      </c>
      <c r="W1094">
        <v>5</v>
      </c>
      <c r="X1094">
        <v>4</v>
      </c>
      <c r="Y1094">
        <v>0</v>
      </c>
      <c r="Z1094">
        <v>3</v>
      </c>
      <c r="AA1094">
        <v>0</v>
      </c>
      <c r="AB1094" s="1" t="s">
        <v>36</v>
      </c>
      <c r="AC1094" t="s">
        <v>46</v>
      </c>
      <c r="AD1094" t="s">
        <v>53</v>
      </c>
      <c r="AE1094" s="2">
        <v>426.4</v>
      </c>
    </row>
    <row r="1095" spans="1:31" x14ac:dyDescent="0.35">
      <c r="A1095">
        <v>42</v>
      </c>
      <c r="B1095" s="1" t="s">
        <v>39</v>
      </c>
      <c r="C1095" s="1" t="s">
        <v>40</v>
      </c>
      <c r="D1095">
        <v>2</v>
      </c>
      <c r="E1095">
        <v>3</v>
      </c>
      <c r="F1095" s="1" t="s">
        <v>32</v>
      </c>
      <c r="G1095">
        <v>4</v>
      </c>
      <c r="H1095" s="1" t="s">
        <v>41</v>
      </c>
      <c r="I1095">
        <v>3</v>
      </c>
      <c r="J1095">
        <v>3</v>
      </c>
      <c r="K1095" s="1" t="s">
        <v>52</v>
      </c>
      <c r="L1095">
        <v>4</v>
      </c>
      <c r="M1095" s="1" t="s">
        <v>43</v>
      </c>
      <c r="N1095">
        <v>10124</v>
      </c>
      <c r="O1095">
        <v>2</v>
      </c>
      <c r="P1095" s="1" t="s">
        <v>30</v>
      </c>
      <c r="Q1095">
        <v>14</v>
      </c>
      <c r="R1095">
        <v>3</v>
      </c>
      <c r="S1095">
        <v>1</v>
      </c>
      <c r="T1095">
        <v>24</v>
      </c>
      <c r="U1095">
        <v>3</v>
      </c>
      <c r="V1095">
        <v>1</v>
      </c>
      <c r="W1095">
        <v>20</v>
      </c>
      <c r="X1095">
        <v>8</v>
      </c>
      <c r="Y1095">
        <v>13</v>
      </c>
      <c r="Z1095">
        <v>9</v>
      </c>
      <c r="AA1095">
        <v>0</v>
      </c>
      <c r="AB1095" s="1" t="s">
        <v>36</v>
      </c>
      <c r="AC1095" t="s">
        <v>56</v>
      </c>
      <c r="AD1095" t="s">
        <v>57</v>
      </c>
      <c r="AE1095" s="2">
        <v>506.2</v>
      </c>
    </row>
    <row r="1096" spans="1:31" x14ac:dyDescent="0.35">
      <c r="A1096">
        <v>40</v>
      </c>
      <c r="B1096" s="1" t="s">
        <v>39</v>
      </c>
      <c r="C1096" s="1" t="s">
        <v>31</v>
      </c>
      <c r="D1096">
        <v>9</v>
      </c>
      <c r="E1096">
        <v>2</v>
      </c>
      <c r="F1096" s="1" t="s">
        <v>49</v>
      </c>
      <c r="G1096">
        <v>1</v>
      </c>
      <c r="H1096" s="1" t="s">
        <v>41</v>
      </c>
      <c r="I1096">
        <v>3</v>
      </c>
      <c r="J1096">
        <v>2</v>
      </c>
      <c r="K1096" s="1" t="s">
        <v>34</v>
      </c>
      <c r="L1096">
        <v>1</v>
      </c>
      <c r="M1096" s="1" t="s">
        <v>43</v>
      </c>
      <c r="N1096">
        <v>5473</v>
      </c>
      <c r="O1096">
        <v>0</v>
      </c>
      <c r="P1096" s="1" t="s">
        <v>39</v>
      </c>
      <c r="Q1096">
        <v>12</v>
      </c>
      <c r="R1096">
        <v>4</v>
      </c>
      <c r="S1096">
        <v>0</v>
      </c>
      <c r="T1096">
        <v>9</v>
      </c>
      <c r="U1096">
        <v>5</v>
      </c>
      <c r="V1096">
        <v>4</v>
      </c>
      <c r="W1096">
        <v>8</v>
      </c>
      <c r="X1096">
        <v>4</v>
      </c>
      <c r="Y1096">
        <v>7</v>
      </c>
      <c r="Z1096">
        <v>1</v>
      </c>
      <c r="AA1096">
        <v>0</v>
      </c>
      <c r="AB1096" s="1" t="s">
        <v>36</v>
      </c>
      <c r="AC1096" t="s">
        <v>37</v>
      </c>
      <c r="AD1096" t="s">
        <v>38</v>
      </c>
      <c r="AE1096" s="2">
        <v>684.125</v>
      </c>
    </row>
    <row r="1097" spans="1:31" x14ac:dyDescent="0.35">
      <c r="A1097">
        <v>33</v>
      </c>
      <c r="B1097" s="1" t="s">
        <v>39</v>
      </c>
      <c r="C1097" s="1" t="s">
        <v>40</v>
      </c>
      <c r="D1097">
        <v>28</v>
      </c>
      <c r="E1097">
        <v>4</v>
      </c>
      <c r="F1097" s="1" t="s">
        <v>32</v>
      </c>
      <c r="G1097">
        <v>2</v>
      </c>
      <c r="H1097" s="1" t="s">
        <v>41</v>
      </c>
      <c r="I1097">
        <v>3</v>
      </c>
      <c r="J1097">
        <v>2</v>
      </c>
      <c r="K1097" s="1" t="s">
        <v>45</v>
      </c>
      <c r="L1097">
        <v>3</v>
      </c>
      <c r="M1097" s="1" t="s">
        <v>43</v>
      </c>
      <c r="N1097">
        <v>5207</v>
      </c>
      <c r="O1097">
        <v>1</v>
      </c>
      <c r="P1097" s="1" t="s">
        <v>30</v>
      </c>
      <c r="Q1097">
        <v>12</v>
      </c>
      <c r="R1097">
        <v>2</v>
      </c>
      <c r="S1097">
        <v>1</v>
      </c>
      <c r="T1097">
        <v>15</v>
      </c>
      <c r="U1097">
        <v>3</v>
      </c>
      <c r="V1097">
        <v>3</v>
      </c>
      <c r="W1097">
        <v>15</v>
      </c>
      <c r="X1097">
        <v>14</v>
      </c>
      <c r="Y1097">
        <v>5</v>
      </c>
      <c r="Z1097">
        <v>7</v>
      </c>
      <c r="AA1097">
        <v>0</v>
      </c>
      <c r="AB1097" s="1" t="s">
        <v>48</v>
      </c>
      <c r="AC1097" t="s">
        <v>37</v>
      </c>
      <c r="AD1097" t="s">
        <v>57</v>
      </c>
      <c r="AE1097" s="2">
        <v>347.13333333333333</v>
      </c>
    </row>
    <row r="1098" spans="1:31" x14ac:dyDescent="0.35">
      <c r="A1098">
        <v>40</v>
      </c>
      <c r="B1098" s="1" t="s">
        <v>39</v>
      </c>
      <c r="C1098" s="1" t="s">
        <v>62</v>
      </c>
      <c r="D1098">
        <v>6</v>
      </c>
      <c r="E1098">
        <v>2</v>
      </c>
      <c r="F1098" s="1" t="s">
        <v>49</v>
      </c>
      <c r="G1098">
        <v>3</v>
      </c>
      <c r="H1098" s="1" t="s">
        <v>41</v>
      </c>
      <c r="I1098">
        <v>3</v>
      </c>
      <c r="J1098">
        <v>4</v>
      </c>
      <c r="K1098" s="1" t="s">
        <v>55</v>
      </c>
      <c r="L1098">
        <v>4</v>
      </c>
      <c r="M1098" s="1" t="s">
        <v>35</v>
      </c>
      <c r="N1098">
        <v>16437</v>
      </c>
      <c r="O1098">
        <v>1</v>
      </c>
      <c r="P1098" s="1" t="s">
        <v>30</v>
      </c>
      <c r="Q1098">
        <v>21</v>
      </c>
      <c r="R1098">
        <v>4</v>
      </c>
      <c r="S1098">
        <v>0</v>
      </c>
      <c r="T1098">
        <v>21</v>
      </c>
      <c r="U1098">
        <v>2</v>
      </c>
      <c r="V1098">
        <v>3</v>
      </c>
      <c r="W1098">
        <v>21</v>
      </c>
      <c r="X1098">
        <v>7</v>
      </c>
      <c r="Y1098">
        <v>7</v>
      </c>
      <c r="Z1098">
        <v>7</v>
      </c>
      <c r="AA1098">
        <v>0</v>
      </c>
      <c r="AB1098" s="1" t="s">
        <v>36</v>
      </c>
      <c r="AC1098" t="s">
        <v>56</v>
      </c>
      <c r="AD1098" t="s">
        <v>57</v>
      </c>
      <c r="AE1098" s="2">
        <v>782.71428571428567</v>
      </c>
    </row>
    <row r="1099" spans="1:31" x14ac:dyDescent="0.35">
      <c r="A1099">
        <v>24</v>
      </c>
      <c r="B1099" s="1" t="s">
        <v>39</v>
      </c>
      <c r="C1099" s="1" t="s">
        <v>40</v>
      </c>
      <c r="D1099">
        <v>21</v>
      </c>
      <c r="E1099">
        <v>2</v>
      </c>
      <c r="F1099" s="1" t="s">
        <v>61</v>
      </c>
      <c r="G1099">
        <v>3</v>
      </c>
      <c r="H1099" s="1" t="s">
        <v>41</v>
      </c>
      <c r="I1099">
        <v>2</v>
      </c>
      <c r="J1099">
        <v>1</v>
      </c>
      <c r="K1099" s="1" t="s">
        <v>45</v>
      </c>
      <c r="L1099">
        <v>1</v>
      </c>
      <c r="M1099" s="1" t="s">
        <v>50</v>
      </c>
      <c r="N1099">
        <v>2296</v>
      </c>
      <c r="O1099">
        <v>0</v>
      </c>
      <c r="P1099" s="1" t="s">
        <v>39</v>
      </c>
      <c r="Q1099">
        <v>14</v>
      </c>
      <c r="R1099">
        <v>2</v>
      </c>
      <c r="S1099">
        <v>3</v>
      </c>
      <c r="T1099">
        <v>2</v>
      </c>
      <c r="U1099">
        <v>3</v>
      </c>
      <c r="V1099">
        <v>3</v>
      </c>
      <c r="W1099">
        <v>1</v>
      </c>
      <c r="X1099">
        <v>1</v>
      </c>
      <c r="Y1099">
        <v>0</v>
      </c>
      <c r="Z1099">
        <v>0</v>
      </c>
      <c r="AA1099">
        <v>0</v>
      </c>
      <c r="AB1099" s="1" t="s">
        <v>54</v>
      </c>
      <c r="AC1099" t="s">
        <v>46</v>
      </c>
      <c r="AD1099" t="s">
        <v>47</v>
      </c>
      <c r="AE1099" s="2">
        <v>2296</v>
      </c>
    </row>
    <row r="1100" spans="1:31" x14ac:dyDescent="0.35">
      <c r="A1100">
        <v>40</v>
      </c>
      <c r="B1100" s="1" t="s">
        <v>39</v>
      </c>
      <c r="C1100" s="1" t="s">
        <v>40</v>
      </c>
      <c r="D1100">
        <v>8</v>
      </c>
      <c r="E1100">
        <v>2</v>
      </c>
      <c r="F1100" s="1" t="s">
        <v>32</v>
      </c>
      <c r="G1100">
        <v>4</v>
      </c>
      <c r="H1100" s="1" t="s">
        <v>41</v>
      </c>
      <c r="I1100">
        <v>3</v>
      </c>
      <c r="J1100">
        <v>2</v>
      </c>
      <c r="K1100" s="1" t="s">
        <v>52</v>
      </c>
      <c r="L1100">
        <v>4</v>
      </c>
      <c r="M1100" s="1" t="s">
        <v>50</v>
      </c>
      <c r="N1100">
        <v>4069</v>
      </c>
      <c r="O1100">
        <v>3</v>
      </c>
      <c r="P1100" s="1" t="s">
        <v>30</v>
      </c>
      <c r="Q1100">
        <v>18</v>
      </c>
      <c r="R1100">
        <v>3</v>
      </c>
      <c r="S1100">
        <v>0</v>
      </c>
      <c r="T1100">
        <v>8</v>
      </c>
      <c r="U1100">
        <v>2</v>
      </c>
      <c r="V1100">
        <v>3</v>
      </c>
      <c r="W1100">
        <v>2</v>
      </c>
      <c r="X1100">
        <v>2</v>
      </c>
      <c r="Y1100">
        <v>2</v>
      </c>
      <c r="Z1100">
        <v>2</v>
      </c>
      <c r="AA1100">
        <v>0</v>
      </c>
      <c r="AB1100" s="1" t="s">
        <v>36</v>
      </c>
      <c r="AC1100" t="s">
        <v>37</v>
      </c>
      <c r="AD1100" t="s">
        <v>47</v>
      </c>
      <c r="AE1100" s="2">
        <v>2034.5</v>
      </c>
    </row>
    <row r="1101" spans="1:31" x14ac:dyDescent="0.35">
      <c r="A1101">
        <v>45</v>
      </c>
      <c r="B1101" s="1" t="s">
        <v>39</v>
      </c>
      <c r="C1101" s="1" t="s">
        <v>40</v>
      </c>
      <c r="D1101">
        <v>1</v>
      </c>
      <c r="E1101">
        <v>4</v>
      </c>
      <c r="F1101" s="1" t="s">
        <v>61</v>
      </c>
      <c r="G1101">
        <v>1</v>
      </c>
      <c r="H1101" s="1" t="s">
        <v>41</v>
      </c>
      <c r="I1101">
        <v>3</v>
      </c>
      <c r="J1101">
        <v>3</v>
      </c>
      <c r="K1101" s="1" t="s">
        <v>52</v>
      </c>
      <c r="L1101">
        <v>2</v>
      </c>
      <c r="M1101" s="1" t="s">
        <v>50</v>
      </c>
      <c r="N1101">
        <v>7441</v>
      </c>
      <c r="O1101">
        <v>1</v>
      </c>
      <c r="P1101" s="1" t="s">
        <v>39</v>
      </c>
      <c r="Q1101">
        <v>12</v>
      </c>
      <c r="R1101">
        <v>1</v>
      </c>
      <c r="S1101">
        <v>3</v>
      </c>
      <c r="T1101">
        <v>10</v>
      </c>
      <c r="U1101">
        <v>4</v>
      </c>
      <c r="V1101">
        <v>3</v>
      </c>
      <c r="W1101">
        <v>10</v>
      </c>
      <c r="X1101">
        <v>8</v>
      </c>
      <c r="Y1101">
        <v>7</v>
      </c>
      <c r="Z1101">
        <v>7</v>
      </c>
      <c r="AA1101">
        <v>0</v>
      </c>
      <c r="AB1101" s="1" t="s">
        <v>36</v>
      </c>
      <c r="AC1101" t="s">
        <v>37</v>
      </c>
      <c r="AD1101" t="s">
        <v>38</v>
      </c>
      <c r="AE1101" s="2">
        <v>744.1</v>
      </c>
    </row>
    <row r="1102" spans="1:31" x14ac:dyDescent="0.35">
      <c r="A1102">
        <v>35</v>
      </c>
      <c r="B1102" s="1" t="s">
        <v>39</v>
      </c>
      <c r="C1102" s="1" t="s">
        <v>31</v>
      </c>
      <c r="D1102">
        <v>28</v>
      </c>
      <c r="E1102">
        <v>4</v>
      </c>
      <c r="F1102" s="1" t="s">
        <v>32</v>
      </c>
      <c r="G1102">
        <v>2</v>
      </c>
      <c r="H1102" s="1" t="s">
        <v>33</v>
      </c>
      <c r="I1102">
        <v>2</v>
      </c>
      <c r="J1102">
        <v>1</v>
      </c>
      <c r="K1102" s="1" t="s">
        <v>58</v>
      </c>
      <c r="L1102">
        <v>3</v>
      </c>
      <c r="M1102" s="1" t="s">
        <v>43</v>
      </c>
      <c r="N1102">
        <v>2430</v>
      </c>
      <c r="O1102">
        <v>0</v>
      </c>
      <c r="P1102" s="1" t="s">
        <v>39</v>
      </c>
      <c r="Q1102">
        <v>23</v>
      </c>
      <c r="R1102">
        <v>1</v>
      </c>
      <c r="S1102">
        <v>2</v>
      </c>
      <c r="T1102">
        <v>6</v>
      </c>
      <c r="U1102">
        <v>5</v>
      </c>
      <c r="V1102">
        <v>3</v>
      </c>
      <c r="W1102">
        <v>5</v>
      </c>
      <c r="X1102">
        <v>3</v>
      </c>
      <c r="Y1102">
        <v>4</v>
      </c>
      <c r="Z1102">
        <v>2</v>
      </c>
      <c r="AA1102">
        <v>0</v>
      </c>
      <c r="AB1102" s="1" t="s">
        <v>48</v>
      </c>
      <c r="AC1102" t="s">
        <v>46</v>
      </c>
      <c r="AD1102" t="s">
        <v>53</v>
      </c>
      <c r="AE1102" s="2">
        <v>486</v>
      </c>
    </row>
    <row r="1103" spans="1:31" x14ac:dyDescent="0.35">
      <c r="A1103">
        <v>32</v>
      </c>
      <c r="B1103" s="1" t="s">
        <v>39</v>
      </c>
      <c r="C1103" s="1" t="s">
        <v>40</v>
      </c>
      <c r="D1103">
        <v>5</v>
      </c>
      <c r="E1103">
        <v>2</v>
      </c>
      <c r="F1103" s="1" t="s">
        <v>32</v>
      </c>
      <c r="G1103">
        <v>4</v>
      </c>
      <c r="H1103" s="1" t="s">
        <v>33</v>
      </c>
      <c r="I1103">
        <v>2</v>
      </c>
      <c r="J1103">
        <v>2</v>
      </c>
      <c r="K1103" s="1" t="s">
        <v>42</v>
      </c>
      <c r="L1103">
        <v>2</v>
      </c>
      <c r="M1103" s="1" t="s">
        <v>43</v>
      </c>
      <c r="N1103">
        <v>5878</v>
      </c>
      <c r="O1103">
        <v>3</v>
      </c>
      <c r="P1103" s="1" t="s">
        <v>39</v>
      </c>
      <c r="Q1103">
        <v>12</v>
      </c>
      <c r="R1103">
        <v>1</v>
      </c>
      <c r="S1103">
        <v>1</v>
      </c>
      <c r="T1103">
        <v>12</v>
      </c>
      <c r="U1103">
        <v>2</v>
      </c>
      <c r="V1103">
        <v>3</v>
      </c>
      <c r="W1103">
        <v>7</v>
      </c>
      <c r="X1103">
        <v>1</v>
      </c>
      <c r="Y1103">
        <v>2</v>
      </c>
      <c r="Z1103">
        <v>5</v>
      </c>
      <c r="AA1103">
        <v>0</v>
      </c>
      <c r="AB1103" s="1" t="s">
        <v>48</v>
      </c>
      <c r="AC1103" t="s">
        <v>37</v>
      </c>
      <c r="AD1103" t="s">
        <v>38</v>
      </c>
      <c r="AE1103" s="2">
        <v>839.71428571428567</v>
      </c>
    </row>
    <row r="1104" spans="1:31" x14ac:dyDescent="0.35">
      <c r="A1104">
        <v>36</v>
      </c>
      <c r="B1104" s="1" t="s">
        <v>39</v>
      </c>
      <c r="C1104" s="1" t="s">
        <v>31</v>
      </c>
      <c r="D1104">
        <v>2</v>
      </c>
      <c r="E1104">
        <v>4</v>
      </c>
      <c r="F1104" s="1" t="s">
        <v>32</v>
      </c>
      <c r="G1104">
        <v>3</v>
      </c>
      <c r="H1104" s="1" t="s">
        <v>41</v>
      </c>
      <c r="I1104">
        <v>3</v>
      </c>
      <c r="J1104">
        <v>1</v>
      </c>
      <c r="K1104" s="1" t="s">
        <v>58</v>
      </c>
      <c r="L1104">
        <v>4</v>
      </c>
      <c r="M1104" s="1" t="s">
        <v>35</v>
      </c>
      <c r="N1104">
        <v>2644</v>
      </c>
      <c r="O1104">
        <v>3</v>
      </c>
      <c r="P1104" s="1" t="s">
        <v>30</v>
      </c>
      <c r="Q1104">
        <v>21</v>
      </c>
      <c r="R1104">
        <v>4</v>
      </c>
      <c r="S1104">
        <v>0</v>
      </c>
      <c r="T1104">
        <v>7</v>
      </c>
      <c r="U1104">
        <v>3</v>
      </c>
      <c r="V1104">
        <v>2</v>
      </c>
      <c r="W1104">
        <v>3</v>
      </c>
      <c r="X1104">
        <v>2</v>
      </c>
      <c r="Y1104">
        <v>1</v>
      </c>
      <c r="Z1104">
        <v>2</v>
      </c>
      <c r="AA1104">
        <v>0</v>
      </c>
      <c r="AB1104" s="1" t="s">
        <v>36</v>
      </c>
      <c r="AC1104" t="s">
        <v>46</v>
      </c>
      <c r="AD1104" t="s">
        <v>53</v>
      </c>
      <c r="AE1104" s="2">
        <v>881.33333333333337</v>
      </c>
    </row>
    <row r="1105" spans="1:31" x14ac:dyDescent="0.35">
      <c r="A1105">
        <v>48</v>
      </c>
      <c r="B1105" s="1" t="s">
        <v>39</v>
      </c>
      <c r="C1105" s="1" t="s">
        <v>31</v>
      </c>
      <c r="D1105">
        <v>16</v>
      </c>
      <c r="E1105">
        <v>4</v>
      </c>
      <c r="F1105" s="1" t="s">
        <v>32</v>
      </c>
      <c r="G1105">
        <v>3</v>
      </c>
      <c r="H1105" s="1" t="s">
        <v>33</v>
      </c>
      <c r="I1105">
        <v>3</v>
      </c>
      <c r="J1105">
        <v>2</v>
      </c>
      <c r="K1105" s="1" t="s">
        <v>34</v>
      </c>
      <c r="L1105">
        <v>3</v>
      </c>
      <c r="M1105" s="1" t="s">
        <v>50</v>
      </c>
      <c r="N1105">
        <v>6439</v>
      </c>
      <c r="O1105">
        <v>8</v>
      </c>
      <c r="P1105" s="1" t="s">
        <v>39</v>
      </c>
      <c r="Q1105">
        <v>14</v>
      </c>
      <c r="R1105">
        <v>3</v>
      </c>
      <c r="S1105">
        <v>1</v>
      </c>
      <c r="T1105">
        <v>18</v>
      </c>
      <c r="U1105">
        <v>2</v>
      </c>
      <c r="V1105">
        <v>3</v>
      </c>
      <c r="W1105">
        <v>8</v>
      </c>
      <c r="X1105">
        <v>7</v>
      </c>
      <c r="Y1105">
        <v>7</v>
      </c>
      <c r="Z1105">
        <v>7</v>
      </c>
      <c r="AA1105">
        <v>0</v>
      </c>
      <c r="AB1105" s="1" t="s">
        <v>82</v>
      </c>
      <c r="AC1105" t="s">
        <v>37</v>
      </c>
      <c r="AD1105" t="s">
        <v>38</v>
      </c>
      <c r="AE1105" s="2">
        <v>804.875</v>
      </c>
    </row>
    <row r="1106" spans="1:31" x14ac:dyDescent="0.35">
      <c r="A1106">
        <v>29</v>
      </c>
      <c r="B1106" s="1" t="s">
        <v>39</v>
      </c>
      <c r="C1106" s="1" t="s">
        <v>40</v>
      </c>
      <c r="D1106">
        <v>9</v>
      </c>
      <c r="E1106">
        <v>3</v>
      </c>
      <c r="F1106" s="1" t="s">
        <v>32</v>
      </c>
      <c r="G1106">
        <v>3</v>
      </c>
      <c r="H1106" s="1" t="s">
        <v>41</v>
      </c>
      <c r="I1106">
        <v>4</v>
      </c>
      <c r="J1106">
        <v>1</v>
      </c>
      <c r="K1106" s="1" t="s">
        <v>42</v>
      </c>
      <c r="L1106">
        <v>3</v>
      </c>
      <c r="M1106" s="1" t="s">
        <v>43</v>
      </c>
      <c r="N1106">
        <v>2451</v>
      </c>
      <c r="O1106">
        <v>6</v>
      </c>
      <c r="P1106" s="1" t="s">
        <v>39</v>
      </c>
      <c r="Q1106">
        <v>18</v>
      </c>
      <c r="R1106">
        <v>1</v>
      </c>
      <c r="S1106">
        <v>2</v>
      </c>
      <c r="T1106">
        <v>5</v>
      </c>
      <c r="U1106">
        <v>2</v>
      </c>
      <c r="V1106">
        <v>2</v>
      </c>
      <c r="W1106">
        <v>1</v>
      </c>
      <c r="X1106">
        <v>0</v>
      </c>
      <c r="Y1106">
        <v>0</v>
      </c>
      <c r="Z1106">
        <v>0</v>
      </c>
      <c r="AA1106">
        <v>0</v>
      </c>
      <c r="AB1106" s="1" t="s">
        <v>48</v>
      </c>
      <c r="AC1106" t="s">
        <v>46</v>
      </c>
      <c r="AD1106" t="s">
        <v>47</v>
      </c>
      <c r="AE1106" s="2">
        <v>2451</v>
      </c>
    </row>
    <row r="1107" spans="1:31" x14ac:dyDescent="0.35">
      <c r="A1107">
        <v>33</v>
      </c>
      <c r="B1107" s="1" t="s">
        <v>39</v>
      </c>
      <c r="C1107" s="1" t="s">
        <v>31</v>
      </c>
      <c r="D1107">
        <v>8</v>
      </c>
      <c r="E1107">
        <v>4</v>
      </c>
      <c r="F1107" s="1" t="s">
        <v>32</v>
      </c>
      <c r="G1107">
        <v>1</v>
      </c>
      <c r="H1107" s="1" t="s">
        <v>41</v>
      </c>
      <c r="I1107">
        <v>3</v>
      </c>
      <c r="J1107">
        <v>2</v>
      </c>
      <c r="K1107" s="1" t="s">
        <v>34</v>
      </c>
      <c r="L1107">
        <v>1</v>
      </c>
      <c r="M1107" s="1" t="s">
        <v>43</v>
      </c>
      <c r="N1107">
        <v>6392</v>
      </c>
      <c r="O1107">
        <v>2</v>
      </c>
      <c r="P1107" s="1" t="s">
        <v>39</v>
      </c>
      <c r="Q1107">
        <v>13</v>
      </c>
      <c r="R1107">
        <v>4</v>
      </c>
      <c r="S1107">
        <v>1</v>
      </c>
      <c r="T1107">
        <v>8</v>
      </c>
      <c r="U1107">
        <v>6</v>
      </c>
      <c r="V1107">
        <v>1</v>
      </c>
      <c r="W1107">
        <v>2</v>
      </c>
      <c r="X1107">
        <v>2</v>
      </c>
      <c r="Y1107">
        <v>2</v>
      </c>
      <c r="Z1107">
        <v>2</v>
      </c>
      <c r="AA1107">
        <v>0</v>
      </c>
      <c r="AB1107" s="1" t="s">
        <v>48</v>
      </c>
      <c r="AC1107" t="s">
        <v>37</v>
      </c>
      <c r="AD1107" t="s">
        <v>47</v>
      </c>
      <c r="AE1107" s="2">
        <v>3196</v>
      </c>
    </row>
    <row r="1108" spans="1:31" x14ac:dyDescent="0.35">
      <c r="A1108">
        <v>30</v>
      </c>
      <c r="B1108" s="1" t="s">
        <v>30</v>
      </c>
      <c r="C1108" s="1" t="s">
        <v>31</v>
      </c>
      <c r="D1108">
        <v>1</v>
      </c>
      <c r="E1108">
        <v>3</v>
      </c>
      <c r="F1108" s="1" t="s">
        <v>32</v>
      </c>
      <c r="G1108">
        <v>2</v>
      </c>
      <c r="H1108" s="1" t="s">
        <v>41</v>
      </c>
      <c r="I1108">
        <v>2</v>
      </c>
      <c r="J1108">
        <v>2</v>
      </c>
      <c r="K1108" s="1" t="s">
        <v>34</v>
      </c>
      <c r="L1108">
        <v>1</v>
      </c>
      <c r="M1108" s="1" t="s">
        <v>43</v>
      </c>
      <c r="N1108">
        <v>9714</v>
      </c>
      <c r="O1108">
        <v>1</v>
      </c>
      <c r="P1108" s="1" t="s">
        <v>39</v>
      </c>
      <c r="Q1108">
        <v>11</v>
      </c>
      <c r="R1108">
        <v>4</v>
      </c>
      <c r="S1108">
        <v>1</v>
      </c>
      <c r="T1108">
        <v>10</v>
      </c>
      <c r="U1108">
        <v>4</v>
      </c>
      <c r="V1108">
        <v>3</v>
      </c>
      <c r="W1108">
        <v>10</v>
      </c>
      <c r="X1108">
        <v>8</v>
      </c>
      <c r="Y1108">
        <v>6</v>
      </c>
      <c r="Z1108">
        <v>7</v>
      </c>
      <c r="AA1108">
        <v>1</v>
      </c>
      <c r="AB1108" s="1" t="s">
        <v>48</v>
      </c>
      <c r="AC1108" t="s">
        <v>37</v>
      </c>
      <c r="AD1108" t="s">
        <v>38</v>
      </c>
      <c r="AE1108" s="2">
        <v>971.4</v>
      </c>
    </row>
    <row r="1109" spans="1:31" x14ac:dyDescent="0.35">
      <c r="A1109">
        <v>38</v>
      </c>
      <c r="B1109" s="1" t="s">
        <v>39</v>
      </c>
      <c r="C1109" s="1" t="s">
        <v>62</v>
      </c>
      <c r="D1109">
        <v>10</v>
      </c>
      <c r="E1109">
        <v>4</v>
      </c>
      <c r="F1109" s="1" t="s">
        <v>62</v>
      </c>
      <c r="G1109">
        <v>3</v>
      </c>
      <c r="H1109" s="1" t="s">
        <v>41</v>
      </c>
      <c r="I1109">
        <v>3</v>
      </c>
      <c r="J1109">
        <v>2</v>
      </c>
      <c r="K1109" s="1" t="s">
        <v>62</v>
      </c>
      <c r="L1109">
        <v>3</v>
      </c>
      <c r="M1109" s="1" t="s">
        <v>43</v>
      </c>
      <c r="N1109">
        <v>6077</v>
      </c>
      <c r="O1109">
        <v>3</v>
      </c>
      <c r="P1109" s="1" t="s">
        <v>39</v>
      </c>
      <c r="Q1109">
        <v>11</v>
      </c>
      <c r="R1109">
        <v>3</v>
      </c>
      <c r="S1109">
        <v>0</v>
      </c>
      <c r="T1109">
        <v>10</v>
      </c>
      <c r="U1109">
        <v>2</v>
      </c>
      <c r="V1109">
        <v>3</v>
      </c>
      <c r="W1109">
        <v>6</v>
      </c>
      <c r="X1109">
        <v>3</v>
      </c>
      <c r="Y1109">
        <v>1</v>
      </c>
      <c r="Z1109">
        <v>2</v>
      </c>
      <c r="AA1109">
        <v>0</v>
      </c>
      <c r="AB1109" s="1" t="s">
        <v>36</v>
      </c>
      <c r="AC1109" t="s">
        <v>37</v>
      </c>
      <c r="AD1109" t="s">
        <v>38</v>
      </c>
      <c r="AE1109" s="2">
        <v>1012.8333333333334</v>
      </c>
    </row>
    <row r="1110" spans="1:31" x14ac:dyDescent="0.35">
      <c r="A1110">
        <v>35</v>
      </c>
      <c r="B1110" s="1" t="s">
        <v>39</v>
      </c>
      <c r="C1110" s="1" t="s">
        <v>40</v>
      </c>
      <c r="D1110">
        <v>1</v>
      </c>
      <c r="E1110">
        <v>3</v>
      </c>
      <c r="F1110" s="1" t="s">
        <v>49</v>
      </c>
      <c r="G1110">
        <v>4</v>
      </c>
      <c r="H1110" s="1" t="s">
        <v>41</v>
      </c>
      <c r="I1110">
        <v>2</v>
      </c>
      <c r="J1110">
        <v>1</v>
      </c>
      <c r="K1110" s="1" t="s">
        <v>45</v>
      </c>
      <c r="L1110">
        <v>1</v>
      </c>
      <c r="M1110" s="1" t="s">
        <v>35</v>
      </c>
      <c r="N1110">
        <v>2450</v>
      </c>
      <c r="O1110">
        <v>1</v>
      </c>
      <c r="P1110" s="1" t="s">
        <v>39</v>
      </c>
      <c r="Q1110">
        <v>19</v>
      </c>
      <c r="R1110">
        <v>2</v>
      </c>
      <c r="S1110">
        <v>0</v>
      </c>
      <c r="T1110">
        <v>3</v>
      </c>
      <c r="U1110">
        <v>3</v>
      </c>
      <c r="V1110">
        <v>3</v>
      </c>
      <c r="W1110">
        <v>3</v>
      </c>
      <c r="X1110">
        <v>0</v>
      </c>
      <c r="Y1110">
        <v>1</v>
      </c>
      <c r="Z1110">
        <v>2</v>
      </c>
      <c r="AA1110">
        <v>0</v>
      </c>
      <c r="AB1110" s="1" t="s">
        <v>48</v>
      </c>
      <c r="AC1110" t="s">
        <v>46</v>
      </c>
      <c r="AD1110" t="s">
        <v>53</v>
      </c>
      <c r="AE1110" s="2">
        <v>816.66666666666663</v>
      </c>
    </row>
    <row r="1111" spans="1:31" x14ac:dyDescent="0.35">
      <c r="A1111">
        <v>30</v>
      </c>
      <c r="B1111" s="1" t="s">
        <v>39</v>
      </c>
      <c r="C1111" s="1" t="s">
        <v>31</v>
      </c>
      <c r="D1111">
        <v>29</v>
      </c>
      <c r="E1111">
        <v>4</v>
      </c>
      <c r="F1111" s="1" t="s">
        <v>61</v>
      </c>
      <c r="G1111">
        <v>3</v>
      </c>
      <c r="H1111" s="1" t="s">
        <v>41</v>
      </c>
      <c r="I1111">
        <v>3</v>
      </c>
      <c r="J1111">
        <v>3</v>
      </c>
      <c r="K1111" s="1" t="s">
        <v>34</v>
      </c>
      <c r="L1111">
        <v>2</v>
      </c>
      <c r="M1111" s="1" t="s">
        <v>43</v>
      </c>
      <c r="N1111">
        <v>9250</v>
      </c>
      <c r="O1111">
        <v>3</v>
      </c>
      <c r="P1111" s="1" t="s">
        <v>39</v>
      </c>
      <c r="Q1111">
        <v>12</v>
      </c>
      <c r="R1111">
        <v>2</v>
      </c>
      <c r="S1111">
        <v>1</v>
      </c>
      <c r="T1111">
        <v>9</v>
      </c>
      <c r="U1111">
        <v>3</v>
      </c>
      <c r="V1111">
        <v>3</v>
      </c>
      <c r="W1111">
        <v>4</v>
      </c>
      <c r="X1111">
        <v>2</v>
      </c>
      <c r="Y1111">
        <v>1</v>
      </c>
      <c r="Z1111">
        <v>3</v>
      </c>
      <c r="AA1111">
        <v>0</v>
      </c>
      <c r="AB1111" s="1" t="s">
        <v>48</v>
      </c>
      <c r="AC1111" t="s">
        <v>37</v>
      </c>
      <c r="AD1111" t="s">
        <v>53</v>
      </c>
      <c r="AE1111" s="2">
        <v>2312.5</v>
      </c>
    </row>
    <row r="1112" spans="1:31" x14ac:dyDescent="0.35">
      <c r="A1112">
        <v>35</v>
      </c>
      <c r="B1112" s="1" t="s">
        <v>30</v>
      </c>
      <c r="C1112" s="1" t="s">
        <v>40</v>
      </c>
      <c r="D1112">
        <v>2</v>
      </c>
      <c r="E1112">
        <v>3</v>
      </c>
      <c r="F1112" s="1" t="s">
        <v>32</v>
      </c>
      <c r="G1112">
        <v>1</v>
      </c>
      <c r="H1112" s="1" t="s">
        <v>33</v>
      </c>
      <c r="I1112">
        <v>3</v>
      </c>
      <c r="J1112">
        <v>1</v>
      </c>
      <c r="K1112" s="1" t="s">
        <v>45</v>
      </c>
      <c r="L1112">
        <v>1</v>
      </c>
      <c r="M1112" s="1" t="s">
        <v>50</v>
      </c>
      <c r="N1112">
        <v>2074</v>
      </c>
      <c r="O1112">
        <v>1</v>
      </c>
      <c r="P1112" s="1" t="s">
        <v>30</v>
      </c>
      <c r="Q1112">
        <v>12</v>
      </c>
      <c r="R1112">
        <v>4</v>
      </c>
      <c r="S1112">
        <v>1</v>
      </c>
      <c r="T1112">
        <v>1</v>
      </c>
      <c r="U1112">
        <v>2</v>
      </c>
      <c r="V1112">
        <v>3</v>
      </c>
      <c r="W1112">
        <v>1</v>
      </c>
      <c r="X1112">
        <v>0</v>
      </c>
      <c r="Y1112">
        <v>0</v>
      </c>
      <c r="Z1112">
        <v>0</v>
      </c>
      <c r="AA1112">
        <v>1</v>
      </c>
      <c r="AB1112" s="1" t="s">
        <v>48</v>
      </c>
      <c r="AC1112" t="s">
        <v>46</v>
      </c>
      <c r="AD1112" t="s">
        <v>47</v>
      </c>
      <c r="AE1112" s="2">
        <v>2074</v>
      </c>
    </row>
    <row r="1113" spans="1:31" x14ac:dyDescent="0.35">
      <c r="A1113">
        <v>53</v>
      </c>
      <c r="B1113" s="1" t="s">
        <v>30</v>
      </c>
      <c r="C1113" s="1" t="s">
        <v>40</v>
      </c>
      <c r="D1113">
        <v>2</v>
      </c>
      <c r="E1113">
        <v>5</v>
      </c>
      <c r="F1113" s="1" t="s">
        <v>61</v>
      </c>
      <c r="G1113">
        <v>3</v>
      </c>
      <c r="H1113" s="1" t="s">
        <v>33</v>
      </c>
      <c r="I1113">
        <v>2</v>
      </c>
      <c r="J1113">
        <v>3</v>
      </c>
      <c r="K1113" s="1" t="s">
        <v>51</v>
      </c>
      <c r="L1113">
        <v>4</v>
      </c>
      <c r="M1113" s="1" t="s">
        <v>43</v>
      </c>
      <c r="N1113">
        <v>10169</v>
      </c>
      <c r="O1113">
        <v>0</v>
      </c>
      <c r="P1113" s="1" t="s">
        <v>39</v>
      </c>
      <c r="Q1113">
        <v>16</v>
      </c>
      <c r="R1113">
        <v>2</v>
      </c>
      <c r="S1113">
        <v>1</v>
      </c>
      <c r="T1113">
        <v>34</v>
      </c>
      <c r="U1113">
        <v>4</v>
      </c>
      <c r="V1113">
        <v>3</v>
      </c>
      <c r="W1113">
        <v>33</v>
      </c>
      <c r="X1113">
        <v>7</v>
      </c>
      <c r="Y1113">
        <v>1</v>
      </c>
      <c r="Z1113">
        <v>9</v>
      </c>
      <c r="AA1113">
        <v>1</v>
      </c>
      <c r="AB1113" s="1" t="s">
        <v>82</v>
      </c>
      <c r="AC1113" t="s">
        <v>56</v>
      </c>
      <c r="AD1113" t="s">
        <v>57</v>
      </c>
      <c r="AE1113" s="2">
        <v>308.15151515151513</v>
      </c>
    </row>
    <row r="1114" spans="1:31" x14ac:dyDescent="0.35">
      <c r="A1114">
        <v>38</v>
      </c>
      <c r="B1114" s="1" t="s">
        <v>30</v>
      </c>
      <c r="C1114" s="1" t="s">
        <v>40</v>
      </c>
      <c r="D1114">
        <v>2</v>
      </c>
      <c r="E1114">
        <v>3</v>
      </c>
      <c r="F1114" s="1" t="s">
        <v>49</v>
      </c>
      <c r="G1114">
        <v>3</v>
      </c>
      <c r="H1114" s="1" t="s">
        <v>41</v>
      </c>
      <c r="I1114">
        <v>3</v>
      </c>
      <c r="J1114">
        <v>2</v>
      </c>
      <c r="K1114" s="1" t="s">
        <v>51</v>
      </c>
      <c r="L1114">
        <v>2</v>
      </c>
      <c r="M1114" s="1" t="s">
        <v>43</v>
      </c>
      <c r="N1114">
        <v>4855</v>
      </c>
      <c r="O1114">
        <v>4</v>
      </c>
      <c r="P1114" s="1" t="s">
        <v>39</v>
      </c>
      <c r="Q1114">
        <v>11</v>
      </c>
      <c r="R1114">
        <v>1</v>
      </c>
      <c r="S1114">
        <v>2</v>
      </c>
      <c r="T1114">
        <v>7</v>
      </c>
      <c r="U1114">
        <v>2</v>
      </c>
      <c r="V1114">
        <v>3</v>
      </c>
      <c r="W1114">
        <v>5</v>
      </c>
      <c r="X1114">
        <v>2</v>
      </c>
      <c r="Y1114">
        <v>1</v>
      </c>
      <c r="Z1114">
        <v>4</v>
      </c>
      <c r="AA1114">
        <v>1</v>
      </c>
      <c r="AB1114" s="1" t="s">
        <v>36</v>
      </c>
      <c r="AC1114" t="s">
        <v>37</v>
      </c>
      <c r="AD1114" t="s">
        <v>53</v>
      </c>
      <c r="AE1114" s="2">
        <v>971</v>
      </c>
    </row>
    <row r="1115" spans="1:31" x14ac:dyDescent="0.35">
      <c r="A1115">
        <v>32</v>
      </c>
      <c r="B1115" s="1" t="s">
        <v>39</v>
      </c>
      <c r="C1115" s="1" t="s">
        <v>40</v>
      </c>
      <c r="D1115">
        <v>1</v>
      </c>
      <c r="E1115">
        <v>4</v>
      </c>
      <c r="F1115" s="1" t="s">
        <v>61</v>
      </c>
      <c r="G1115">
        <v>4</v>
      </c>
      <c r="H1115" s="1" t="s">
        <v>41</v>
      </c>
      <c r="I1115">
        <v>3</v>
      </c>
      <c r="J1115">
        <v>2</v>
      </c>
      <c r="K1115" s="1" t="s">
        <v>42</v>
      </c>
      <c r="L1115">
        <v>1</v>
      </c>
      <c r="M1115" s="1" t="s">
        <v>43</v>
      </c>
      <c r="N1115">
        <v>4087</v>
      </c>
      <c r="O1115">
        <v>4</v>
      </c>
      <c r="P1115" s="1" t="s">
        <v>39</v>
      </c>
      <c r="Q1115">
        <v>14</v>
      </c>
      <c r="R1115">
        <v>2</v>
      </c>
      <c r="S1115">
        <v>1</v>
      </c>
      <c r="T1115">
        <v>9</v>
      </c>
      <c r="U1115">
        <v>3</v>
      </c>
      <c r="V1115">
        <v>2</v>
      </c>
      <c r="W1115">
        <v>6</v>
      </c>
      <c r="X1115">
        <v>5</v>
      </c>
      <c r="Y1115">
        <v>1</v>
      </c>
      <c r="Z1115">
        <v>2</v>
      </c>
      <c r="AA1115">
        <v>0</v>
      </c>
      <c r="AB1115" s="1" t="s">
        <v>48</v>
      </c>
      <c r="AC1115" t="s">
        <v>37</v>
      </c>
      <c r="AD1115" t="s">
        <v>38</v>
      </c>
      <c r="AE1115" s="2">
        <v>681.16666666666663</v>
      </c>
    </row>
    <row r="1116" spans="1:31" x14ac:dyDescent="0.35">
      <c r="A1116">
        <v>48</v>
      </c>
      <c r="B1116" s="1" t="s">
        <v>39</v>
      </c>
      <c r="C1116" s="1" t="s">
        <v>40</v>
      </c>
      <c r="D1116">
        <v>15</v>
      </c>
      <c r="E1116">
        <v>4</v>
      </c>
      <c r="F1116" s="1" t="s">
        <v>44</v>
      </c>
      <c r="G1116">
        <v>3</v>
      </c>
      <c r="H1116" s="1" t="s">
        <v>33</v>
      </c>
      <c r="I1116">
        <v>3</v>
      </c>
      <c r="J1116">
        <v>1</v>
      </c>
      <c r="K1116" s="1" t="s">
        <v>42</v>
      </c>
      <c r="L1116">
        <v>1</v>
      </c>
      <c r="M1116" s="1" t="s">
        <v>43</v>
      </c>
      <c r="N1116">
        <v>2367</v>
      </c>
      <c r="O1116">
        <v>8</v>
      </c>
      <c r="P1116" s="1" t="s">
        <v>39</v>
      </c>
      <c r="Q1116">
        <v>12</v>
      </c>
      <c r="R1116">
        <v>4</v>
      </c>
      <c r="S1116">
        <v>1</v>
      </c>
      <c r="T1116">
        <v>10</v>
      </c>
      <c r="U1116">
        <v>3</v>
      </c>
      <c r="V1116">
        <v>2</v>
      </c>
      <c r="W1116">
        <v>8</v>
      </c>
      <c r="X1116">
        <v>2</v>
      </c>
      <c r="Y1116">
        <v>7</v>
      </c>
      <c r="Z1116">
        <v>6</v>
      </c>
      <c r="AA1116">
        <v>0</v>
      </c>
      <c r="AB1116" s="1" t="s">
        <v>82</v>
      </c>
      <c r="AC1116" t="s">
        <v>46</v>
      </c>
      <c r="AD1116" t="s">
        <v>38</v>
      </c>
      <c r="AE1116" s="2">
        <v>295.875</v>
      </c>
    </row>
    <row r="1117" spans="1:31" x14ac:dyDescent="0.35">
      <c r="A1117">
        <v>34</v>
      </c>
      <c r="B1117" s="1" t="s">
        <v>39</v>
      </c>
      <c r="C1117" s="1" t="s">
        <v>40</v>
      </c>
      <c r="D1117">
        <v>7</v>
      </c>
      <c r="E1117">
        <v>4</v>
      </c>
      <c r="F1117" s="1" t="s">
        <v>49</v>
      </c>
      <c r="G1117">
        <v>1</v>
      </c>
      <c r="H1117" s="1" t="s">
        <v>41</v>
      </c>
      <c r="I1117">
        <v>3</v>
      </c>
      <c r="J1117">
        <v>1</v>
      </c>
      <c r="K1117" s="1" t="s">
        <v>42</v>
      </c>
      <c r="L1117">
        <v>4</v>
      </c>
      <c r="M1117" s="1" t="s">
        <v>35</v>
      </c>
      <c r="N1117">
        <v>2972</v>
      </c>
      <c r="O1117">
        <v>1</v>
      </c>
      <c r="P1117" s="1" t="s">
        <v>39</v>
      </c>
      <c r="Q1117">
        <v>13</v>
      </c>
      <c r="R1117">
        <v>3</v>
      </c>
      <c r="S1117">
        <v>0</v>
      </c>
      <c r="T1117">
        <v>1</v>
      </c>
      <c r="U1117">
        <v>4</v>
      </c>
      <c r="V1117">
        <v>1</v>
      </c>
      <c r="W1117">
        <v>1</v>
      </c>
      <c r="X1117">
        <v>0</v>
      </c>
      <c r="Y1117">
        <v>0</v>
      </c>
      <c r="Z1117">
        <v>0</v>
      </c>
      <c r="AA1117">
        <v>0</v>
      </c>
      <c r="AB1117" s="1" t="s">
        <v>48</v>
      </c>
      <c r="AC1117" t="s">
        <v>46</v>
      </c>
      <c r="AD1117" t="s">
        <v>47</v>
      </c>
      <c r="AE1117" s="2">
        <v>2972</v>
      </c>
    </row>
    <row r="1118" spans="1:31" x14ac:dyDescent="0.35">
      <c r="A1118">
        <v>55</v>
      </c>
      <c r="B1118" s="1" t="s">
        <v>39</v>
      </c>
      <c r="C1118" s="1" t="s">
        <v>31</v>
      </c>
      <c r="D1118">
        <v>26</v>
      </c>
      <c r="E1118">
        <v>5</v>
      </c>
      <c r="F1118" s="1" t="s">
        <v>60</v>
      </c>
      <c r="G1118">
        <v>3</v>
      </c>
      <c r="H1118" s="1" t="s">
        <v>41</v>
      </c>
      <c r="I1118">
        <v>2</v>
      </c>
      <c r="J1118">
        <v>5</v>
      </c>
      <c r="K1118" s="1" t="s">
        <v>55</v>
      </c>
      <c r="L1118">
        <v>4</v>
      </c>
      <c r="M1118" s="1" t="s">
        <v>43</v>
      </c>
      <c r="N1118">
        <v>19586</v>
      </c>
      <c r="O1118">
        <v>1</v>
      </c>
      <c r="P1118" s="1" t="s">
        <v>39</v>
      </c>
      <c r="Q1118">
        <v>21</v>
      </c>
      <c r="R1118">
        <v>3</v>
      </c>
      <c r="S1118">
        <v>1</v>
      </c>
      <c r="T1118">
        <v>36</v>
      </c>
      <c r="U1118">
        <v>3</v>
      </c>
      <c r="V1118">
        <v>3</v>
      </c>
      <c r="W1118">
        <v>36</v>
      </c>
      <c r="X1118">
        <v>6</v>
      </c>
      <c r="Y1118">
        <v>2</v>
      </c>
      <c r="Z1118">
        <v>13</v>
      </c>
      <c r="AA1118">
        <v>0</v>
      </c>
      <c r="AB1118" s="1" t="s">
        <v>82</v>
      </c>
      <c r="AC1118" t="s">
        <v>56</v>
      </c>
      <c r="AD1118" t="s">
        <v>57</v>
      </c>
      <c r="AE1118" s="2">
        <v>544.05555555555554</v>
      </c>
    </row>
    <row r="1119" spans="1:31" x14ac:dyDescent="0.35">
      <c r="A1119">
        <v>34</v>
      </c>
      <c r="B1119" s="1" t="s">
        <v>39</v>
      </c>
      <c r="C1119" s="1" t="s">
        <v>40</v>
      </c>
      <c r="D1119">
        <v>1</v>
      </c>
      <c r="E1119">
        <v>4</v>
      </c>
      <c r="F1119" s="1" t="s">
        <v>32</v>
      </c>
      <c r="G1119">
        <v>2</v>
      </c>
      <c r="H1119" s="1" t="s">
        <v>41</v>
      </c>
      <c r="I1119">
        <v>3</v>
      </c>
      <c r="J1119">
        <v>2</v>
      </c>
      <c r="K1119" s="1" t="s">
        <v>42</v>
      </c>
      <c r="L1119">
        <v>4</v>
      </c>
      <c r="M1119" s="1" t="s">
        <v>43</v>
      </c>
      <c r="N1119">
        <v>5484</v>
      </c>
      <c r="O1119">
        <v>9</v>
      </c>
      <c r="P1119" s="1" t="s">
        <v>39</v>
      </c>
      <c r="Q1119">
        <v>17</v>
      </c>
      <c r="R1119">
        <v>2</v>
      </c>
      <c r="S1119">
        <v>1</v>
      </c>
      <c r="T1119">
        <v>9</v>
      </c>
      <c r="U1119">
        <v>3</v>
      </c>
      <c r="V1119">
        <v>2</v>
      </c>
      <c r="W1119">
        <v>2</v>
      </c>
      <c r="X1119">
        <v>2</v>
      </c>
      <c r="Y1119">
        <v>2</v>
      </c>
      <c r="Z1119">
        <v>1</v>
      </c>
      <c r="AA1119">
        <v>0</v>
      </c>
      <c r="AB1119" s="1" t="s">
        <v>48</v>
      </c>
      <c r="AC1119" t="s">
        <v>37</v>
      </c>
      <c r="AD1119" t="s">
        <v>47</v>
      </c>
      <c r="AE1119" s="2">
        <v>2742</v>
      </c>
    </row>
    <row r="1120" spans="1:31" x14ac:dyDescent="0.35">
      <c r="A1120">
        <v>26</v>
      </c>
      <c r="B1120" s="1" t="s">
        <v>39</v>
      </c>
      <c r="C1120" s="1" t="s">
        <v>40</v>
      </c>
      <c r="D1120">
        <v>3</v>
      </c>
      <c r="E1120">
        <v>3</v>
      </c>
      <c r="F1120" s="1" t="s">
        <v>32</v>
      </c>
      <c r="G1120">
        <v>1</v>
      </c>
      <c r="H1120" s="1" t="s">
        <v>33</v>
      </c>
      <c r="I1120">
        <v>3</v>
      </c>
      <c r="J1120">
        <v>1</v>
      </c>
      <c r="K1120" s="1" t="s">
        <v>42</v>
      </c>
      <c r="L1120">
        <v>4</v>
      </c>
      <c r="M1120" s="1" t="s">
        <v>43</v>
      </c>
      <c r="N1120">
        <v>2061</v>
      </c>
      <c r="O1120">
        <v>1</v>
      </c>
      <c r="P1120" s="1" t="s">
        <v>39</v>
      </c>
      <c r="Q1120">
        <v>21</v>
      </c>
      <c r="R1120">
        <v>1</v>
      </c>
      <c r="S1120">
        <v>0</v>
      </c>
      <c r="T1120">
        <v>1</v>
      </c>
      <c r="U1120">
        <v>5</v>
      </c>
      <c r="V1120">
        <v>3</v>
      </c>
      <c r="W1120">
        <v>1</v>
      </c>
      <c r="X1120">
        <v>0</v>
      </c>
      <c r="Y1120">
        <v>0</v>
      </c>
      <c r="Z1120">
        <v>0</v>
      </c>
      <c r="AA1120">
        <v>0</v>
      </c>
      <c r="AB1120" s="1" t="s">
        <v>48</v>
      </c>
      <c r="AC1120" t="s">
        <v>46</v>
      </c>
      <c r="AD1120" t="s">
        <v>47</v>
      </c>
      <c r="AE1120" s="2">
        <v>2061</v>
      </c>
    </row>
    <row r="1121" spans="1:31" x14ac:dyDescent="0.35">
      <c r="A1121">
        <v>38</v>
      </c>
      <c r="B1121" s="1" t="s">
        <v>39</v>
      </c>
      <c r="C1121" s="1" t="s">
        <v>31</v>
      </c>
      <c r="D1121">
        <v>14</v>
      </c>
      <c r="E1121">
        <v>3</v>
      </c>
      <c r="F1121" s="1" t="s">
        <v>32</v>
      </c>
      <c r="G1121">
        <v>3</v>
      </c>
      <c r="H1121" s="1" t="s">
        <v>41</v>
      </c>
      <c r="I1121">
        <v>3</v>
      </c>
      <c r="J1121">
        <v>2</v>
      </c>
      <c r="K1121" s="1" t="s">
        <v>34</v>
      </c>
      <c r="L1121">
        <v>2</v>
      </c>
      <c r="M1121" s="1" t="s">
        <v>43</v>
      </c>
      <c r="N1121">
        <v>9924</v>
      </c>
      <c r="O1121">
        <v>0</v>
      </c>
      <c r="P1121" s="1" t="s">
        <v>39</v>
      </c>
      <c r="Q1121">
        <v>11</v>
      </c>
      <c r="R1121">
        <v>4</v>
      </c>
      <c r="S1121">
        <v>1</v>
      </c>
      <c r="T1121">
        <v>10</v>
      </c>
      <c r="U1121">
        <v>3</v>
      </c>
      <c r="V1121">
        <v>3</v>
      </c>
      <c r="W1121">
        <v>9</v>
      </c>
      <c r="X1121">
        <v>8</v>
      </c>
      <c r="Y1121">
        <v>7</v>
      </c>
      <c r="Z1121">
        <v>7</v>
      </c>
      <c r="AA1121">
        <v>0</v>
      </c>
      <c r="AB1121" s="1" t="s">
        <v>36</v>
      </c>
      <c r="AC1121" t="s">
        <v>37</v>
      </c>
      <c r="AD1121" t="s">
        <v>38</v>
      </c>
      <c r="AE1121" s="2">
        <v>1102.6666666666667</v>
      </c>
    </row>
    <row r="1122" spans="1:31" x14ac:dyDescent="0.35">
      <c r="A1122">
        <v>38</v>
      </c>
      <c r="B1122" s="1" t="s">
        <v>39</v>
      </c>
      <c r="C1122" s="1" t="s">
        <v>31</v>
      </c>
      <c r="D1122">
        <v>16</v>
      </c>
      <c r="E1122">
        <v>3</v>
      </c>
      <c r="F1122" s="1" t="s">
        <v>32</v>
      </c>
      <c r="G1122">
        <v>2</v>
      </c>
      <c r="H1122" s="1" t="s">
        <v>33</v>
      </c>
      <c r="I1122">
        <v>3</v>
      </c>
      <c r="J1122">
        <v>2</v>
      </c>
      <c r="K1122" s="1" t="s">
        <v>34</v>
      </c>
      <c r="L1122">
        <v>2</v>
      </c>
      <c r="M1122" s="1" t="s">
        <v>35</v>
      </c>
      <c r="N1122">
        <v>4198</v>
      </c>
      <c r="O1122">
        <v>2</v>
      </c>
      <c r="P1122" s="1" t="s">
        <v>39</v>
      </c>
      <c r="Q1122">
        <v>12</v>
      </c>
      <c r="R1122">
        <v>2</v>
      </c>
      <c r="S1122">
        <v>0</v>
      </c>
      <c r="T1122">
        <v>8</v>
      </c>
      <c r="U1122">
        <v>5</v>
      </c>
      <c r="V1122">
        <v>4</v>
      </c>
      <c r="W1122">
        <v>3</v>
      </c>
      <c r="X1122">
        <v>2</v>
      </c>
      <c r="Y1122">
        <v>1</v>
      </c>
      <c r="Z1122">
        <v>2</v>
      </c>
      <c r="AA1122">
        <v>0</v>
      </c>
      <c r="AB1122" s="1" t="s">
        <v>36</v>
      </c>
      <c r="AC1122" t="s">
        <v>37</v>
      </c>
      <c r="AD1122" t="s">
        <v>53</v>
      </c>
      <c r="AE1122" s="2">
        <v>1399.3333333333333</v>
      </c>
    </row>
    <row r="1123" spans="1:31" x14ac:dyDescent="0.35">
      <c r="A1123">
        <v>36</v>
      </c>
      <c r="B1123" s="1" t="s">
        <v>39</v>
      </c>
      <c r="C1123" s="1" t="s">
        <v>31</v>
      </c>
      <c r="D1123">
        <v>1</v>
      </c>
      <c r="E1123">
        <v>4</v>
      </c>
      <c r="F1123" s="1" t="s">
        <v>32</v>
      </c>
      <c r="G1123">
        <v>2</v>
      </c>
      <c r="H1123" s="1" t="s">
        <v>33</v>
      </c>
      <c r="I1123">
        <v>3</v>
      </c>
      <c r="J1123">
        <v>2</v>
      </c>
      <c r="K1123" s="1" t="s">
        <v>34</v>
      </c>
      <c r="L1123">
        <v>3</v>
      </c>
      <c r="M1123" s="1" t="s">
        <v>35</v>
      </c>
      <c r="N1123">
        <v>6815</v>
      </c>
      <c r="O1123">
        <v>6</v>
      </c>
      <c r="P1123" s="1" t="s">
        <v>39</v>
      </c>
      <c r="Q1123">
        <v>13</v>
      </c>
      <c r="R1123">
        <v>1</v>
      </c>
      <c r="S1123">
        <v>0</v>
      </c>
      <c r="T1123">
        <v>15</v>
      </c>
      <c r="U1123">
        <v>5</v>
      </c>
      <c r="V1123">
        <v>3</v>
      </c>
      <c r="W1123">
        <v>1</v>
      </c>
      <c r="X1123">
        <v>0</v>
      </c>
      <c r="Y1123">
        <v>0</v>
      </c>
      <c r="Z1123">
        <v>0</v>
      </c>
      <c r="AA1123">
        <v>0</v>
      </c>
      <c r="AB1123" s="1" t="s">
        <v>36</v>
      </c>
      <c r="AC1123" t="s">
        <v>37</v>
      </c>
      <c r="AD1123" t="s">
        <v>47</v>
      </c>
      <c r="AE1123" s="2">
        <v>6815</v>
      </c>
    </row>
    <row r="1124" spans="1:31" x14ac:dyDescent="0.35">
      <c r="A1124">
        <v>29</v>
      </c>
      <c r="B1124" s="1" t="s">
        <v>39</v>
      </c>
      <c r="C1124" s="1" t="s">
        <v>40</v>
      </c>
      <c r="D1124">
        <v>3</v>
      </c>
      <c r="E1124">
        <v>1</v>
      </c>
      <c r="F1124" s="1" t="s">
        <v>49</v>
      </c>
      <c r="G1124">
        <v>2</v>
      </c>
      <c r="H1124" s="1" t="s">
        <v>41</v>
      </c>
      <c r="I1124">
        <v>3</v>
      </c>
      <c r="J1124">
        <v>1</v>
      </c>
      <c r="K1124" s="1" t="s">
        <v>45</v>
      </c>
      <c r="L1124">
        <v>1</v>
      </c>
      <c r="M1124" s="1" t="s">
        <v>35</v>
      </c>
      <c r="N1124">
        <v>4723</v>
      </c>
      <c r="O1124">
        <v>1</v>
      </c>
      <c r="P1124" s="1" t="s">
        <v>30</v>
      </c>
      <c r="Q1124">
        <v>18</v>
      </c>
      <c r="R1124">
        <v>4</v>
      </c>
      <c r="S1124">
        <v>0</v>
      </c>
      <c r="T1124">
        <v>10</v>
      </c>
      <c r="U1124">
        <v>3</v>
      </c>
      <c r="V1124">
        <v>3</v>
      </c>
      <c r="W1124">
        <v>10</v>
      </c>
      <c r="X1124">
        <v>9</v>
      </c>
      <c r="Y1124">
        <v>1</v>
      </c>
      <c r="Z1124">
        <v>5</v>
      </c>
      <c r="AA1124">
        <v>0</v>
      </c>
      <c r="AB1124" s="1" t="s">
        <v>48</v>
      </c>
      <c r="AC1124" t="s">
        <v>37</v>
      </c>
      <c r="AD1124" t="s">
        <v>38</v>
      </c>
      <c r="AE1124" s="2">
        <v>472.3</v>
      </c>
    </row>
    <row r="1125" spans="1:31" x14ac:dyDescent="0.35">
      <c r="A1125">
        <v>35</v>
      </c>
      <c r="B1125" s="1" t="s">
        <v>39</v>
      </c>
      <c r="C1125" s="1" t="s">
        <v>40</v>
      </c>
      <c r="D1125">
        <v>10</v>
      </c>
      <c r="E1125">
        <v>4</v>
      </c>
      <c r="F1125" s="1" t="s">
        <v>49</v>
      </c>
      <c r="G1125">
        <v>1</v>
      </c>
      <c r="H1125" s="1" t="s">
        <v>33</v>
      </c>
      <c r="I1125">
        <v>3</v>
      </c>
      <c r="J1125">
        <v>2</v>
      </c>
      <c r="K1125" s="1" t="s">
        <v>52</v>
      </c>
      <c r="L1125">
        <v>3</v>
      </c>
      <c r="M1125" s="1" t="s">
        <v>35</v>
      </c>
      <c r="N1125">
        <v>6142</v>
      </c>
      <c r="O1125">
        <v>3</v>
      </c>
      <c r="P1125" s="1" t="s">
        <v>30</v>
      </c>
      <c r="Q1125">
        <v>16</v>
      </c>
      <c r="R1125">
        <v>3</v>
      </c>
      <c r="S1125">
        <v>0</v>
      </c>
      <c r="T1125">
        <v>10</v>
      </c>
      <c r="U1125">
        <v>4</v>
      </c>
      <c r="V1125">
        <v>3</v>
      </c>
      <c r="W1125">
        <v>5</v>
      </c>
      <c r="X1125">
        <v>2</v>
      </c>
      <c r="Y1125">
        <v>0</v>
      </c>
      <c r="Z1125">
        <v>4</v>
      </c>
      <c r="AA1125">
        <v>0</v>
      </c>
      <c r="AB1125" s="1" t="s">
        <v>48</v>
      </c>
      <c r="AC1125" t="s">
        <v>37</v>
      </c>
      <c r="AD1125" t="s">
        <v>53</v>
      </c>
      <c r="AE1125" s="2">
        <v>1228.4000000000001</v>
      </c>
    </row>
    <row r="1126" spans="1:31" x14ac:dyDescent="0.35">
      <c r="A1126">
        <v>39</v>
      </c>
      <c r="B1126" s="1" t="s">
        <v>39</v>
      </c>
      <c r="C1126" s="1" t="s">
        <v>31</v>
      </c>
      <c r="D1126">
        <v>6</v>
      </c>
      <c r="E1126">
        <v>3</v>
      </c>
      <c r="F1126" s="1" t="s">
        <v>49</v>
      </c>
      <c r="G1126">
        <v>4</v>
      </c>
      <c r="H1126" s="1" t="s">
        <v>41</v>
      </c>
      <c r="I1126">
        <v>4</v>
      </c>
      <c r="J1126">
        <v>3</v>
      </c>
      <c r="K1126" s="1" t="s">
        <v>34</v>
      </c>
      <c r="L1126">
        <v>3</v>
      </c>
      <c r="M1126" s="1" t="s">
        <v>43</v>
      </c>
      <c r="N1126">
        <v>8237</v>
      </c>
      <c r="O1126">
        <v>2</v>
      </c>
      <c r="P1126" s="1" t="s">
        <v>39</v>
      </c>
      <c r="Q1126">
        <v>11</v>
      </c>
      <c r="R1126">
        <v>1</v>
      </c>
      <c r="S1126">
        <v>1</v>
      </c>
      <c r="T1126">
        <v>11</v>
      </c>
      <c r="U1126">
        <v>3</v>
      </c>
      <c r="V1126">
        <v>3</v>
      </c>
      <c r="W1126">
        <v>7</v>
      </c>
      <c r="X1126">
        <v>6</v>
      </c>
      <c r="Y1126">
        <v>7</v>
      </c>
      <c r="Z1126">
        <v>6</v>
      </c>
      <c r="AA1126">
        <v>0</v>
      </c>
      <c r="AB1126" s="1" t="s">
        <v>36</v>
      </c>
      <c r="AC1126" t="s">
        <v>37</v>
      </c>
      <c r="AD1126" t="s">
        <v>38</v>
      </c>
      <c r="AE1126" s="2">
        <v>1176.7142857142858</v>
      </c>
    </row>
    <row r="1127" spans="1:31" x14ac:dyDescent="0.35">
      <c r="A1127">
        <v>29</v>
      </c>
      <c r="B1127" s="1" t="s">
        <v>39</v>
      </c>
      <c r="C1127" s="1" t="s">
        <v>40</v>
      </c>
      <c r="D1127">
        <v>2</v>
      </c>
      <c r="E1127">
        <v>1</v>
      </c>
      <c r="F1127" s="1" t="s">
        <v>32</v>
      </c>
      <c r="G1127">
        <v>1</v>
      </c>
      <c r="H1127" s="1" t="s">
        <v>41</v>
      </c>
      <c r="I1127">
        <v>3</v>
      </c>
      <c r="J1127">
        <v>2</v>
      </c>
      <c r="K1127" s="1" t="s">
        <v>52</v>
      </c>
      <c r="L1127">
        <v>4</v>
      </c>
      <c r="M1127" s="1" t="s">
        <v>50</v>
      </c>
      <c r="N1127">
        <v>8853</v>
      </c>
      <c r="O1127">
        <v>1</v>
      </c>
      <c r="P1127" s="1" t="s">
        <v>39</v>
      </c>
      <c r="Q1127">
        <v>19</v>
      </c>
      <c r="R1127">
        <v>4</v>
      </c>
      <c r="S1127">
        <v>1</v>
      </c>
      <c r="T1127">
        <v>6</v>
      </c>
      <c r="U1127">
        <v>0</v>
      </c>
      <c r="V1127">
        <v>4</v>
      </c>
      <c r="W1127">
        <v>6</v>
      </c>
      <c r="X1127">
        <v>4</v>
      </c>
      <c r="Y1127">
        <v>1</v>
      </c>
      <c r="Z1127">
        <v>3</v>
      </c>
      <c r="AA1127">
        <v>0</v>
      </c>
      <c r="AB1127" s="1" t="s">
        <v>48</v>
      </c>
      <c r="AC1127" t="s">
        <v>37</v>
      </c>
      <c r="AD1127" t="s">
        <v>38</v>
      </c>
      <c r="AE1127" s="2">
        <v>1475.5</v>
      </c>
    </row>
    <row r="1128" spans="1:31" x14ac:dyDescent="0.35">
      <c r="A1128">
        <v>50</v>
      </c>
      <c r="B1128" s="1" t="s">
        <v>39</v>
      </c>
      <c r="C1128" s="1" t="s">
        <v>31</v>
      </c>
      <c r="D1128">
        <v>9</v>
      </c>
      <c r="E1128">
        <v>3</v>
      </c>
      <c r="F1128" s="1" t="s">
        <v>60</v>
      </c>
      <c r="G1128">
        <v>3</v>
      </c>
      <c r="H1128" s="1" t="s">
        <v>41</v>
      </c>
      <c r="I1128">
        <v>3</v>
      </c>
      <c r="J1128">
        <v>5</v>
      </c>
      <c r="K1128" s="1" t="s">
        <v>55</v>
      </c>
      <c r="L1128">
        <v>3</v>
      </c>
      <c r="M1128" s="1" t="s">
        <v>43</v>
      </c>
      <c r="N1128">
        <v>19331</v>
      </c>
      <c r="O1128">
        <v>4</v>
      </c>
      <c r="P1128" s="1" t="s">
        <v>30</v>
      </c>
      <c r="Q1128">
        <v>16</v>
      </c>
      <c r="R1128">
        <v>3</v>
      </c>
      <c r="S1128">
        <v>1</v>
      </c>
      <c r="T1128">
        <v>27</v>
      </c>
      <c r="U1128">
        <v>2</v>
      </c>
      <c r="V1128">
        <v>3</v>
      </c>
      <c r="W1128">
        <v>1</v>
      </c>
      <c r="X1128">
        <v>0</v>
      </c>
      <c r="Y1128">
        <v>0</v>
      </c>
      <c r="Z1128">
        <v>0</v>
      </c>
      <c r="AA1128">
        <v>0</v>
      </c>
      <c r="AB1128" s="1" t="s">
        <v>82</v>
      </c>
      <c r="AC1128" t="s">
        <v>56</v>
      </c>
      <c r="AD1128" t="s">
        <v>47</v>
      </c>
      <c r="AE1128" s="2">
        <v>19331</v>
      </c>
    </row>
    <row r="1129" spans="1:31" x14ac:dyDescent="0.35">
      <c r="A1129">
        <v>23</v>
      </c>
      <c r="B1129" s="1" t="s">
        <v>39</v>
      </c>
      <c r="C1129" s="1" t="s">
        <v>40</v>
      </c>
      <c r="D1129">
        <v>10</v>
      </c>
      <c r="E1129">
        <v>3</v>
      </c>
      <c r="F1129" s="1" t="s">
        <v>61</v>
      </c>
      <c r="G1129">
        <v>4</v>
      </c>
      <c r="H1129" s="1" t="s">
        <v>41</v>
      </c>
      <c r="I1129">
        <v>4</v>
      </c>
      <c r="J1129">
        <v>1</v>
      </c>
      <c r="K1129" s="1" t="s">
        <v>42</v>
      </c>
      <c r="L1129">
        <v>3</v>
      </c>
      <c r="M1129" s="1" t="s">
        <v>43</v>
      </c>
      <c r="N1129">
        <v>2073</v>
      </c>
      <c r="O1129">
        <v>2</v>
      </c>
      <c r="P1129" s="1" t="s">
        <v>39</v>
      </c>
      <c r="Q1129">
        <v>16</v>
      </c>
      <c r="R1129">
        <v>4</v>
      </c>
      <c r="S1129">
        <v>1</v>
      </c>
      <c r="T1129">
        <v>4</v>
      </c>
      <c r="U1129">
        <v>2</v>
      </c>
      <c r="V1129">
        <v>3</v>
      </c>
      <c r="W1129">
        <v>2</v>
      </c>
      <c r="X1129">
        <v>2</v>
      </c>
      <c r="Y1129">
        <v>2</v>
      </c>
      <c r="Z1129">
        <v>2</v>
      </c>
      <c r="AA1129">
        <v>0</v>
      </c>
      <c r="AB1129" s="1" t="s">
        <v>54</v>
      </c>
      <c r="AC1129" t="s">
        <v>46</v>
      </c>
      <c r="AD1129" t="s">
        <v>47</v>
      </c>
      <c r="AE1129" s="2">
        <v>1036.5</v>
      </c>
    </row>
    <row r="1130" spans="1:31" x14ac:dyDescent="0.35">
      <c r="A1130">
        <v>36</v>
      </c>
      <c r="B1130" s="1" t="s">
        <v>39</v>
      </c>
      <c r="C1130" s="1" t="s">
        <v>40</v>
      </c>
      <c r="D1130">
        <v>6</v>
      </c>
      <c r="E1130">
        <v>4</v>
      </c>
      <c r="F1130" s="1" t="s">
        <v>32</v>
      </c>
      <c r="G1130">
        <v>1</v>
      </c>
      <c r="H1130" s="1" t="s">
        <v>41</v>
      </c>
      <c r="I1130">
        <v>4</v>
      </c>
      <c r="J1130">
        <v>2</v>
      </c>
      <c r="K1130" s="1" t="s">
        <v>45</v>
      </c>
      <c r="L1130">
        <v>1</v>
      </c>
      <c r="M1130" s="1" t="s">
        <v>43</v>
      </c>
      <c r="N1130">
        <v>5562</v>
      </c>
      <c r="O1130">
        <v>3</v>
      </c>
      <c r="P1130" s="1" t="s">
        <v>30</v>
      </c>
      <c r="Q1130">
        <v>13</v>
      </c>
      <c r="R1130">
        <v>4</v>
      </c>
      <c r="S1130">
        <v>1</v>
      </c>
      <c r="T1130">
        <v>9</v>
      </c>
      <c r="U1130">
        <v>3</v>
      </c>
      <c r="V1130">
        <v>3</v>
      </c>
      <c r="W1130">
        <v>3</v>
      </c>
      <c r="X1130">
        <v>2</v>
      </c>
      <c r="Y1130">
        <v>0</v>
      </c>
      <c r="Z1130">
        <v>2</v>
      </c>
      <c r="AA1130">
        <v>0</v>
      </c>
      <c r="AB1130" s="1" t="s">
        <v>36</v>
      </c>
      <c r="AC1130" t="s">
        <v>37</v>
      </c>
      <c r="AD1130" t="s">
        <v>53</v>
      </c>
      <c r="AE1130" s="2">
        <v>1854</v>
      </c>
    </row>
    <row r="1131" spans="1:31" x14ac:dyDescent="0.35">
      <c r="A1131">
        <v>42</v>
      </c>
      <c r="B1131" s="1" t="s">
        <v>39</v>
      </c>
      <c r="C1131" s="1" t="s">
        <v>40</v>
      </c>
      <c r="D1131">
        <v>9</v>
      </c>
      <c r="E1131">
        <v>2</v>
      </c>
      <c r="F1131" s="1" t="s">
        <v>44</v>
      </c>
      <c r="G1131">
        <v>4</v>
      </c>
      <c r="H1131" s="1" t="s">
        <v>41</v>
      </c>
      <c r="I1131">
        <v>2</v>
      </c>
      <c r="J1131">
        <v>5</v>
      </c>
      <c r="K1131" s="1" t="s">
        <v>55</v>
      </c>
      <c r="L1131">
        <v>4</v>
      </c>
      <c r="M1131" s="1" t="s">
        <v>35</v>
      </c>
      <c r="N1131">
        <v>19613</v>
      </c>
      <c r="O1131">
        <v>8</v>
      </c>
      <c r="P1131" s="1" t="s">
        <v>39</v>
      </c>
      <c r="Q1131">
        <v>22</v>
      </c>
      <c r="R1131">
        <v>4</v>
      </c>
      <c r="S1131">
        <v>0</v>
      </c>
      <c r="T1131">
        <v>24</v>
      </c>
      <c r="U1131">
        <v>2</v>
      </c>
      <c r="V1131">
        <v>3</v>
      </c>
      <c r="W1131">
        <v>1</v>
      </c>
      <c r="X1131">
        <v>0</v>
      </c>
      <c r="Y1131">
        <v>0</v>
      </c>
      <c r="Z1131">
        <v>1</v>
      </c>
      <c r="AA1131">
        <v>0</v>
      </c>
      <c r="AB1131" s="1" t="s">
        <v>36</v>
      </c>
      <c r="AC1131" t="s">
        <v>56</v>
      </c>
      <c r="AD1131" t="s">
        <v>47</v>
      </c>
      <c r="AE1131" s="2">
        <v>19613</v>
      </c>
    </row>
    <row r="1132" spans="1:31" x14ac:dyDescent="0.35">
      <c r="A1132">
        <v>35</v>
      </c>
      <c r="B1132" s="1" t="s">
        <v>39</v>
      </c>
      <c r="C1132" s="1" t="s">
        <v>40</v>
      </c>
      <c r="D1132">
        <v>28</v>
      </c>
      <c r="E1132">
        <v>3</v>
      </c>
      <c r="F1132" s="1" t="s">
        <v>32</v>
      </c>
      <c r="G1132">
        <v>2</v>
      </c>
      <c r="H1132" s="1" t="s">
        <v>41</v>
      </c>
      <c r="I1132">
        <v>4</v>
      </c>
      <c r="J1132">
        <v>2</v>
      </c>
      <c r="K1132" s="1" t="s">
        <v>45</v>
      </c>
      <c r="L1132">
        <v>3</v>
      </c>
      <c r="M1132" s="1" t="s">
        <v>43</v>
      </c>
      <c r="N1132">
        <v>3407</v>
      </c>
      <c r="O1132">
        <v>1</v>
      </c>
      <c r="P1132" s="1" t="s">
        <v>39</v>
      </c>
      <c r="Q1132">
        <v>17</v>
      </c>
      <c r="R1132">
        <v>4</v>
      </c>
      <c r="S1132">
        <v>2</v>
      </c>
      <c r="T1132">
        <v>10</v>
      </c>
      <c r="U1132">
        <v>3</v>
      </c>
      <c r="V1132">
        <v>2</v>
      </c>
      <c r="W1132">
        <v>10</v>
      </c>
      <c r="X1132">
        <v>9</v>
      </c>
      <c r="Y1132">
        <v>6</v>
      </c>
      <c r="Z1132">
        <v>8</v>
      </c>
      <c r="AA1132">
        <v>0</v>
      </c>
      <c r="AB1132" s="1" t="s">
        <v>48</v>
      </c>
      <c r="AC1132" t="s">
        <v>46</v>
      </c>
      <c r="AD1132" t="s">
        <v>38</v>
      </c>
      <c r="AE1132" s="2">
        <v>340.7</v>
      </c>
    </row>
    <row r="1133" spans="1:31" x14ac:dyDescent="0.35">
      <c r="A1133">
        <v>34</v>
      </c>
      <c r="B1133" s="1" t="s">
        <v>39</v>
      </c>
      <c r="C1133" s="1" t="s">
        <v>40</v>
      </c>
      <c r="D1133">
        <v>10</v>
      </c>
      <c r="E1133">
        <v>4</v>
      </c>
      <c r="F1133" s="1" t="s">
        <v>61</v>
      </c>
      <c r="G1133">
        <v>4</v>
      </c>
      <c r="H1133" s="1" t="s">
        <v>41</v>
      </c>
      <c r="I1133">
        <v>2</v>
      </c>
      <c r="J1133">
        <v>2</v>
      </c>
      <c r="K1133" s="1" t="s">
        <v>52</v>
      </c>
      <c r="L1133">
        <v>3</v>
      </c>
      <c r="M1133" s="1" t="s">
        <v>43</v>
      </c>
      <c r="N1133">
        <v>5063</v>
      </c>
      <c r="O1133">
        <v>1</v>
      </c>
      <c r="P1133" s="1" t="s">
        <v>39</v>
      </c>
      <c r="Q1133">
        <v>14</v>
      </c>
      <c r="R1133">
        <v>2</v>
      </c>
      <c r="S1133">
        <v>1</v>
      </c>
      <c r="T1133">
        <v>8</v>
      </c>
      <c r="U1133">
        <v>3</v>
      </c>
      <c r="V1133">
        <v>2</v>
      </c>
      <c r="W1133">
        <v>8</v>
      </c>
      <c r="X1133">
        <v>2</v>
      </c>
      <c r="Y1133">
        <v>7</v>
      </c>
      <c r="Z1133">
        <v>7</v>
      </c>
      <c r="AA1133">
        <v>0</v>
      </c>
      <c r="AB1133" s="1" t="s">
        <v>48</v>
      </c>
      <c r="AC1133" t="s">
        <v>37</v>
      </c>
      <c r="AD1133" t="s">
        <v>38</v>
      </c>
      <c r="AE1133" s="2">
        <v>632.875</v>
      </c>
    </row>
    <row r="1134" spans="1:31" x14ac:dyDescent="0.35">
      <c r="A1134">
        <v>40</v>
      </c>
      <c r="B1134" s="1" t="s">
        <v>39</v>
      </c>
      <c r="C1134" s="1" t="s">
        <v>31</v>
      </c>
      <c r="D1134">
        <v>14</v>
      </c>
      <c r="E1134">
        <v>2</v>
      </c>
      <c r="F1134" s="1" t="s">
        <v>32</v>
      </c>
      <c r="G1134">
        <v>4</v>
      </c>
      <c r="H1134" s="1" t="s">
        <v>33</v>
      </c>
      <c r="I1134">
        <v>3</v>
      </c>
      <c r="J1134">
        <v>2</v>
      </c>
      <c r="K1134" s="1" t="s">
        <v>34</v>
      </c>
      <c r="L1134">
        <v>1</v>
      </c>
      <c r="M1134" s="1" t="s">
        <v>43</v>
      </c>
      <c r="N1134">
        <v>4639</v>
      </c>
      <c r="O1134">
        <v>1</v>
      </c>
      <c r="P1134" s="1" t="s">
        <v>39</v>
      </c>
      <c r="Q1134">
        <v>15</v>
      </c>
      <c r="R1134">
        <v>3</v>
      </c>
      <c r="S1134">
        <v>1</v>
      </c>
      <c r="T1134">
        <v>5</v>
      </c>
      <c r="U1134">
        <v>2</v>
      </c>
      <c r="V1134">
        <v>3</v>
      </c>
      <c r="W1134">
        <v>5</v>
      </c>
      <c r="X1134">
        <v>4</v>
      </c>
      <c r="Y1134">
        <v>1</v>
      </c>
      <c r="Z1134">
        <v>2</v>
      </c>
      <c r="AA1134">
        <v>0</v>
      </c>
      <c r="AB1134" s="1" t="s">
        <v>36</v>
      </c>
      <c r="AC1134" t="s">
        <v>37</v>
      </c>
      <c r="AD1134" t="s">
        <v>53</v>
      </c>
      <c r="AE1134" s="2">
        <v>927.8</v>
      </c>
    </row>
    <row r="1135" spans="1:31" x14ac:dyDescent="0.35">
      <c r="A1135">
        <v>43</v>
      </c>
      <c r="B1135" s="1" t="s">
        <v>39</v>
      </c>
      <c r="C1135" s="1" t="s">
        <v>40</v>
      </c>
      <c r="D1135">
        <v>27</v>
      </c>
      <c r="E1135">
        <v>3</v>
      </c>
      <c r="F1135" s="1" t="s">
        <v>61</v>
      </c>
      <c r="G1135">
        <v>4</v>
      </c>
      <c r="H1135" s="1" t="s">
        <v>41</v>
      </c>
      <c r="I1135">
        <v>4</v>
      </c>
      <c r="J1135">
        <v>1</v>
      </c>
      <c r="K1135" s="1" t="s">
        <v>45</v>
      </c>
      <c r="L1135">
        <v>2</v>
      </c>
      <c r="M1135" s="1" t="s">
        <v>50</v>
      </c>
      <c r="N1135">
        <v>4876</v>
      </c>
      <c r="O1135">
        <v>5</v>
      </c>
      <c r="P1135" s="1" t="s">
        <v>39</v>
      </c>
      <c r="Q1135">
        <v>12</v>
      </c>
      <c r="R1135">
        <v>3</v>
      </c>
      <c r="S1135">
        <v>1</v>
      </c>
      <c r="T1135">
        <v>8</v>
      </c>
      <c r="U1135">
        <v>0</v>
      </c>
      <c r="V1135">
        <v>3</v>
      </c>
      <c r="W1135">
        <v>6</v>
      </c>
      <c r="X1135">
        <v>4</v>
      </c>
      <c r="Y1135">
        <v>0</v>
      </c>
      <c r="Z1135">
        <v>2</v>
      </c>
      <c r="AA1135">
        <v>0</v>
      </c>
      <c r="AB1135" s="1" t="s">
        <v>36</v>
      </c>
      <c r="AC1135" t="s">
        <v>37</v>
      </c>
      <c r="AD1135" t="s">
        <v>38</v>
      </c>
      <c r="AE1135" s="2">
        <v>812.66666666666663</v>
      </c>
    </row>
    <row r="1136" spans="1:31" x14ac:dyDescent="0.35">
      <c r="A1136">
        <v>35</v>
      </c>
      <c r="B1136" s="1" t="s">
        <v>39</v>
      </c>
      <c r="C1136" s="1" t="s">
        <v>40</v>
      </c>
      <c r="D1136">
        <v>7</v>
      </c>
      <c r="E1136">
        <v>2</v>
      </c>
      <c r="F1136" s="1" t="s">
        <v>32</v>
      </c>
      <c r="G1136">
        <v>3</v>
      </c>
      <c r="H1136" s="1" t="s">
        <v>41</v>
      </c>
      <c r="I1136">
        <v>2</v>
      </c>
      <c r="J1136">
        <v>1</v>
      </c>
      <c r="K1136" s="1" t="s">
        <v>45</v>
      </c>
      <c r="L1136">
        <v>4</v>
      </c>
      <c r="M1136" s="1" t="s">
        <v>43</v>
      </c>
      <c r="N1136">
        <v>2690</v>
      </c>
      <c r="O1136">
        <v>1</v>
      </c>
      <c r="P1136" s="1" t="s">
        <v>39</v>
      </c>
      <c r="Q1136">
        <v>18</v>
      </c>
      <c r="R1136">
        <v>4</v>
      </c>
      <c r="S1136">
        <v>1</v>
      </c>
      <c r="T1136">
        <v>1</v>
      </c>
      <c r="U1136">
        <v>5</v>
      </c>
      <c r="V1136">
        <v>2</v>
      </c>
      <c r="W1136">
        <v>1</v>
      </c>
      <c r="X1136">
        <v>0</v>
      </c>
      <c r="Y1136">
        <v>0</v>
      </c>
      <c r="Z1136">
        <v>1</v>
      </c>
      <c r="AA1136">
        <v>0</v>
      </c>
      <c r="AB1136" s="1" t="s">
        <v>48</v>
      </c>
      <c r="AC1136" t="s">
        <v>46</v>
      </c>
      <c r="AD1136" t="s">
        <v>47</v>
      </c>
      <c r="AE1136" s="2">
        <v>2690</v>
      </c>
    </row>
    <row r="1137" spans="1:31" x14ac:dyDescent="0.35">
      <c r="A1137">
        <v>46</v>
      </c>
      <c r="B1137" s="1" t="s">
        <v>39</v>
      </c>
      <c r="C1137" s="1" t="s">
        <v>31</v>
      </c>
      <c r="D1137">
        <v>1</v>
      </c>
      <c r="E1137">
        <v>4</v>
      </c>
      <c r="F1137" s="1" t="s">
        <v>32</v>
      </c>
      <c r="G1137">
        <v>4</v>
      </c>
      <c r="H1137" s="1" t="s">
        <v>41</v>
      </c>
      <c r="I1137">
        <v>4</v>
      </c>
      <c r="J1137">
        <v>4</v>
      </c>
      <c r="K1137" s="1" t="s">
        <v>55</v>
      </c>
      <c r="L1137">
        <v>1</v>
      </c>
      <c r="M1137" s="1" t="s">
        <v>35</v>
      </c>
      <c r="N1137">
        <v>17567</v>
      </c>
      <c r="O1137">
        <v>1</v>
      </c>
      <c r="P1137" s="1" t="s">
        <v>39</v>
      </c>
      <c r="Q1137">
        <v>15</v>
      </c>
      <c r="R1137">
        <v>2</v>
      </c>
      <c r="S1137">
        <v>0</v>
      </c>
      <c r="T1137">
        <v>27</v>
      </c>
      <c r="U1137">
        <v>5</v>
      </c>
      <c r="V1137">
        <v>1</v>
      </c>
      <c r="W1137">
        <v>26</v>
      </c>
      <c r="X1137">
        <v>0</v>
      </c>
      <c r="Y1137">
        <v>0</v>
      </c>
      <c r="Z1137">
        <v>12</v>
      </c>
      <c r="AA1137">
        <v>0</v>
      </c>
      <c r="AB1137" s="1" t="s">
        <v>82</v>
      </c>
      <c r="AC1137" t="s">
        <v>56</v>
      </c>
      <c r="AD1137" t="s">
        <v>57</v>
      </c>
      <c r="AE1137" s="2">
        <v>675.65384615384619</v>
      </c>
    </row>
    <row r="1138" spans="1:31" x14ac:dyDescent="0.35">
      <c r="A1138">
        <v>28</v>
      </c>
      <c r="B1138" s="1" t="s">
        <v>30</v>
      </c>
      <c r="C1138" s="1" t="s">
        <v>40</v>
      </c>
      <c r="D1138">
        <v>24</v>
      </c>
      <c r="E1138">
        <v>3</v>
      </c>
      <c r="F1138" s="1" t="s">
        <v>49</v>
      </c>
      <c r="G1138">
        <v>3</v>
      </c>
      <c r="H1138" s="1" t="s">
        <v>41</v>
      </c>
      <c r="I1138">
        <v>3</v>
      </c>
      <c r="J1138">
        <v>1</v>
      </c>
      <c r="K1138" s="1" t="s">
        <v>45</v>
      </c>
      <c r="L1138">
        <v>2</v>
      </c>
      <c r="M1138" s="1" t="s">
        <v>43</v>
      </c>
      <c r="N1138">
        <v>2408</v>
      </c>
      <c r="O1138">
        <v>1</v>
      </c>
      <c r="P1138" s="1" t="s">
        <v>30</v>
      </c>
      <c r="Q1138">
        <v>17</v>
      </c>
      <c r="R1138">
        <v>3</v>
      </c>
      <c r="S1138">
        <v>3</v>
      </c>
      <c r="T1138">
        <v>1</v>
      </c>
      <c r="U1138">
        <v>3</v>
      </c>
      <c r="V1138">
        <v>3</v>
      </c>
      <c r="W1138">
        <v>1</v>
      </c>
      <c r="X1138">
        <v>1</v>
      </c>
      <c r="Y1138">
        <v>0</v>
      </c>
      <c r="Z1138">
        <v>0</v>
      </c>
      <c r="AA1138">
        <v>1</v>
      </c>
      <c r="AB1138" s="1" t="s">
        <v>48</v>
      </c>
      <c r="AC1138" t="s">
        <v>46</v>
      </c>
      <c r="AD1138" t="s">
        <v>47</v>
      </c>
      <c r="AE1138" s="2">
        <v>2408</v>
      </c>
    </row>
    <row r="1139" spans="1:31" x14ac:dyDescent="0.35">
      <c r="A1139">
        <v>22</v>
      </c>
      <c r="B1139" s="1" t="s">
        <v>39</v>
      </c>
      <c r="C1139" s="1" t="s">
        <v>40</v>
      </c>
      <c r="D1139">
        <v>26</v>
      </c>
      <c r="E1139">
        <v>2</v>
      </c>
      <c r="F1139" s="1" t="s">
        <v>44</v>
      </c>
      <c r="G1139">
        <v>2</v>
      </c>
      <c r="H1139" s="1" t="s">
        <v>33</v>
      </c>
      <c r="I1139">
        <v>2</v>
      </c>
      <c r="J1139">
        <v>1</v>
      </c>
      <c r="K1139" s="1" t="s">
        <v>42</v>
      </c>
      <c r="L1139">
        <v>3</v>
      </c>
      <c r="M1139" s="1" t="s">
        <v>43</v>
      </c>
      <c r="N1139">
        <v>2814</v>
      </c>
      <c r="O1139">
        <v>1</v>
      </c>
      <c r="P1139" s="1" t="s">
        <v>30</v>
      </c>
      <c r="Q1139">
        <v>14</v>
      </c>
      <c r="R1139">
        <v>2</v>
      </c>
      <c r="S1139">
        <v>0</v>
      </c>
      <c r="T1139">
        <v>4</v>
      </c>
      <c r="U1139">
        <v>2</v>
      </c>
      <c r="V1139">
        <v>2</v>
      </c>
      <c r="W1139">
        <v>4</v>
      </c>
      <c r="X1139">
        <v>2</v>
      </c>
      <c r="Y1139">
        <v>1</v>
      </c>
      <c r="Z1139">
        <v>3</v>
      </c>
      <c r="AA1139">
        <v>0</v>
      </c>
      <c r="AB1139" s="1" t="s">
        <v>54</v>
      </c>
      <c r="AC1139" t="s">
        <v>46</v>
      </c>
      <c r="AD1139" t="s">
        <v>53</v>
      </c>
      <c r="AE1139" s="2">
        <v>703.5</v>
      </c>
    </row>
    <row r="1140" spans="1:31" x14ac:dyDescent="0.35">
      <c r="A1140">
        <v>50</v>
      </c>
      <c r="B1140" s="1" t="s">
        <v>39</v>
      </c>
      <c r="C1140" s="1" t="s">
        <v>40</v>
      </c>
      <c r="D1140">
        <v>20</v>
      </c>
      <c r="E1140">
        <v>5</v>
      </c>
      <c r="F1140" s="1" t="s">
        <v>49</v>
      </c>
      <c r="G1140">
        <v>2</v>
      </c>
      <c r="H1140" s="1" t="s">
        <v>41</v>
      </c>
      <c r="I1140">
        <v>3</v>
      </c>
      <c r="J1140">
        <v>4</v>
      </c>
      <c r="K1140" s="1" t="s">
        <v>52</v>
      </c>
      <c r="L1140">
        <v>3</v>
      </c>
      <c r="M1140" s="1" t="s">
        <v>43</v>
      </c>
      <c r="N1140">
        <v>11245</v>
      </c>
      <c r="O1140">
        <v>2</v>
      </c>
      <c r="P1140" s="1" t="s">
        <v>30</v>
      </c>
      <c r="Q1140">
        <v>15</v>
      </c>
      <c r="R1140">
        <v>3</v>
      </c>
      <c r="S1140">
        <v>1</v>
      </c>
      <c r="T1140">
        <v>32</v>
      </c>
      <c r="U1140">
        <v>3</v>
      </c>
      <c r="V1140">
        <v>3</v>
      </c>
      <c r="W1140">
        <v>30</v>
      </c>
      <c r="X1140">
        <v>8</v>
      </c>
      <c r="Y1140">
        <v>12</v>
      </c>
      <c r="Z1140">
        <v>13</v>
      </c>
      <c r="AA1140">
        <v>0</v>
      </c>
      <c r="AB1140" s="1" t="s">
        <v>82</v>
      </c>
      <c r="AC1140" t="s">
        <v>56</v>
      </c>
      <c r="AD1140" t="s">
        <v>57</v>
      </c>
      <c r="AE1140" s="2">
        <v>374.83333333333331</v>
      </c>
    </row>
    <row r="1141" spans="1:31" x14ac:dyDescent="0.35">
      <c r="A1141">
        <v>32</v>
      </c>
      <c r="B1141" s="1" t="s">
        <v>39</v>
      </c>
      <c r="C1141" s="1" t="s">
        <v>40</v>
      </c>
      <c r="D1141">
        <v>5</v>
      </c>
      <c r="E1141">
        <v>4</v>
      </c>
      <c r="F1141" s="1" t="s">
        <v>44</v>
      </c>
      <c r="G1141">
        <v>2</v>
      </c>
      <c r="H1141" s="1" t="s">
        <v>33</v>
      </c>
      <c r="I1141">
        <v>4</v>
      </c>
      <c r="J1141">
        <v>1</v>
      </c>
      <c r="K1141" s="1" t="s">
        <v>42</v>
      </c>
      <c r="L1141">
        <v>4</v>
      </c>
      <c r="M1141" s="1" t="s">
        <v>43</v>
      </c>
      <c r="N1141">
        <v>3312</v>
      </c>
      <c r="O1141">
        <v>3</v>
      </c>
      <c r="P1141" s="1" t="s">
        <v>39</v>
      </c>
      <c r="Q1141">
        <v>17</v>
      </c>
      <c r="R1141">
        <v>4</v>
      </c>
      <c r="S1141">
        <v>2</v>
      </c>
      <c r="T1141">
        <v>6</v>
      </c>
      <c r="U1141">
        <v>3</v>
      </c>
      <c r="V1141">
        <v>3</v>
      </c>
      <c r="W1141">
        <v>3</v>
      </c>
      <c r="X1141">
        <v>2</v>
      </c>
      <c r="Y1141">
        <v>0</v>
      </c>
      <c r="Z1141">
        <v>2</v>
      </c>
      <c r="AA1141">
        <v>0</v>
      </c>
      <c r="AB1141" s="1" t="s">
        <v>48</v>
      </c>
      <c r="AC1141" t="s">
        <v>46</v>
      </c>
      <c r="AD1141" t="s">
        <v>53</v>
      </c>
      <c r="AE1141" s="2">
        <v>1104</v>
      </c>
    </row>
    <row r="1142" spans="1:31" x14ac:dyDescent="0.35">
      <c r="A1142">
        <v>44</v>
      </c>
      <c r="B1142" s="1" t="s">
        <v>39</v>
      </c>
      <c r="C1142" s="1" t="s">
        <v>40</v>
      </c>
      <c r="D1142">
        <v>7</v>
      </c>
      <c r="E1142">
        <v>3</v>
      </c>
      <c r="F1142" s="1" t="s">
        <v>49</v>
      </c>
      <c r="G1142">
        <v>2</v>
      </c>
      <c r="H1142" s="1" t="s">
        <v>33</v>
      </c>
      <c r="I1142">
        <v>3</v>
      </c>
      <c r="J1142">
        <v>5</v>
      </c>
      <c r="K1142" s="1" t="s">
        <v>59</v>
      </c>
      <c r="L1142">
        <v>4</v>
      </c>
      <c r="M1142" s="1" t="s">
        <v>50</v>
      </c>
      <c r="N1142">
        <v>19049</v>
      </c>
      <c r="O1142">
        <v>0</v>
      </c>
      <c r="P1142" s="1" t="s">
        <v>30</v>
      </c>
      <c r="Q1142">
        <v>14</v>
      </c>
      <c r="R1142">
        <v>4</v>
      </c>
      <c r="S1142">
        <v>1</v>
      </c>
      <c r="T1142">
        <v>23</v>
      </c>
      <c r="U1142">
        <v>4</v>
      </c>
      <c r="V1142">
        <v>2</v>
      </c>
      <c r="W1142">
        <v>22</v>
      </c>
      <c r="X1142">
        <v>7</v>
      </c>
      <c r="Y1142">
        <v>1</v>
      </c>
      <c r="Z1142">
        <v>10</v>
      </c>
      <c r="AA1142">
        <v>0</v>
      </c>
      <c r="AB1142" s="1" t="s">
        <v>36</v>
      </c>
      <c r="AC1142" t="s">
        <v>56</v>
      </c>
      <c r="AD1142" t="s">
        <v>57</v>
      </c>
      <c r="AE1142" s="2">
        <v>865.86363636363637</v>
      </c>
    </row>
    <row r="1143" spans="1:31" x14ac:dyDescent="0.35">
      <c r="A1143">
        <v>30</v>
      </c>
      <c r="B1143" s="1" t="s">
        <v>39</v>
      </c>
      <c r="C1143" s="1" t="s">
        <v>40</v>
      </c>
      <c r="D1143">
        <v>7</v>
      </c>
      <c r="E1143">
        <v>3</v>
      </c>
      <c r="F1143" s="1" t="s">
        <v>49</v>
      </c>
      <c r="G1143">
        <v>2</v>
      </c>
      <c r="H1143" s="1" t="s">
        <v>41</v>
      </c>
      <c r="I1143">
        <v>2</v>
      </c>
      <c r="J1143">
        <v>1</v>
      </c>
      <c r="K1143" s="1" t="s">
        <v>42</v>
      </c>
      <c r="L1143">
        <v>2</v>
      </c>
      <c r="M1143" s="1" t="s">
        <v>43</v>
      </c>
      <c r="N1143">
        <v>2141</v>
      </c>
      <c r="O1143">
        <v>1</v>
      </c>
      <c r="P1143" s="1" t="s">
        <v>39</v>
      </c>
      <c r="Q1143">
        <v>12</v>
      </c>
      <c r="R1143">
        <v>2</v>
      </c>
      <c r="S1143">
        <v>1</v>
      </c>
      <c r="T1143">
        <v>6</v>
      </c>
      <c r="U1143">
        <v>3</v>
      </c>
      <c r="V1143">
        <v>2</v>
      </c>
      <c r="W1143">
        <v>6</v>
      </c>
      <c r="X1143">
        <v>4</v>
      </c>
      <c r="Y1143">
        <v>1</v>
      </c>
      <c r="Z1143">
        <v>1</v>
      </c>
      <c r="AA1143">
        <v>0</v>
      </c>
      <c r="AB1143" s="1" t="s">
        <v>48</v>
      </c>
      <c r="AC1143" t="s">
        <v>46</v>
      </c>
      <c r="AD1143" t="s">
        <v>38</v>
      </c>
      <c r="AE1143" s="2">
        <v>356.83333333333331</v>
      </c>
    </row>
    <row r="1144" spans="1:31" x14ac:dyDescent="0.35">
      <c r="A1144">
        <v>45</v>
      </c>
      <c r="B1144" s="1" t="s">
        <v>39</v>
      </c>
      <c r="C1144" s="1" t="s">
        <v>40</v>
      </c>
      <c r="D1144">
        <v>5</v>
      </c>
      <c r="E1144">
        <v>5</v>
      </c>
      <c r="F1144" s="1" t="s">
        <v>49</v>
      </c>
      <c r="G1144">
        <v>3</v>
      </c>
      <c r="H1144" s="1" t="s">
        <v>33</v>
      </c>
      <c r="I1144">
        <v>1</v>
      </c>
      <c r="J1144">
        <v>2</v>
      </c>
      <c r="K1144" s="1" t="s">
        <v>45</v>
      </c>
      <c r="L1144">
        <v>1</v>
      </c>
      <c r="M1144" s="1" t="s">
        <v>35</v>
      </c>
      <c r="N1144">
        <v>5769</v>
      </c>
      <c r="O1144">
        <v>1</v>
      </c>
      <c r="P1144" s="1" t="s">
        <v>30</v>
      </c>
      <c r="Q1144">
        <v>14</v>
      </c>
      <c r="R1144">
        <v>1</v>
      </c>
      <c r="S1144">
        <v>0</v>
      </c>
      <c r="T1144">
        <v>10</v>
      </c>
      <c r="U1144">
        <v>3</v>
      </c>
      <c r="V1144">
        <v>3</v>
      </c>
      <c r="W1144">
        <v>10</v>
      </c>
      <c r="X1144">
        <v>7</v>
      </c>
      <c r="Y1144">
        <v>1</v>
      </c>
      <c r="Z1144">
        <v>4</v>
      </c>
      <c r="AA1144">
        <v>0</v>
      </c>
      <c r="AB1144" s="1" t="s">
        <v>36</v>
      </c>
      <c r="AC1144" t="s">
        <v>37</v>
      </c>
      <c r="AD1144" t="s">
        <v>38</v>
      </c>
      <c r="AE1144" s="2">
        <v>576.9</v>
      </c>
    </row>
    <row r="1145" spans="1:31" x14ac:dyDescent="0.35">
      <c r="A1145">
        <v>45</v>
      </c>
      <c r="B1145" s="1" t="s">
        <v>39</v>
      </c>
      <c r="C1145" s="1" t="s">
        <v>31</v>
      </c>
      <c r="D1145">
        <v>26</v>
      </c>
      <c r="E1145">
        <v>3</v>
      </c>
      <c r="F1145" s="1" t="s">
        <v>60</v>
      </c>
      <c r="G1145">
        <v>1</v>
      </c>
      <c r="H1145" s="1" t="s">
        <v>41</v>
      </c>
      <c r="I1145">
        <v>2</v>
      </c>
      <c r="J1145">
        <v>2</v>
      </c>
      <c r="K1145" s="1" t="s">
        <v>34</v>
      </c>
      <c r="L1145">
        <v>1</v>
      </c>
      <c r="M1145" s="1" t="s">
        <v>43</v>
      </c>
      <c r="N1145">
        <v>4385</v>
      </c>
      <c r="O1145">
        <v>1</v>
      </c>
      <c r="P1145" s="1" t="s">
        <v>39</v>
      </c>
      <c r="Q1145">
        <v>15</v>
      </c>
      <c r="R1145">
        <v>1</v>
      </c>
      <c r="S1145">
        <v>1</v>
      </c>
      <c r="T1145">
        <v>10</v>
      </c>
      <c r="U1145">
        <v>2</v>
      </c>
      <c r="V1145">
        <v>3</v>
      </c>
      <c r="W1145">
        <v>10</v>
      </c>
      <c r="X1145">
        <v>7</v>
      </c>
      <c r="Y1145">
        <v>4</v>
      </c>
      <c r="Z1145">
        <v>5</v>
      </c>
      <c r="AA1145">
        <v>0</v>
      </c>
      <c r="AB1145" s="1" t="s">
        <v>36</v>
      </c>
      <c r="AC1145" t="s">
        <v>37</v>
      </c>
      <c r="AD1145" t="s">
        <v>38</v>
      </c>
      <c r="AE1145" s="2">
        <v>438.5</v>
      </c>
    </row>
    <row r="1146" spans="1:31" x14ac:dyDescent="0.35">
      <c r="A1146">
        <v>31</v>
      </c>
      <c r="B1146" s="1" t="s">
        <v>39</v>
      </c>
      <c r="C1146" s="1" t="s">
        <v>31</v>
      </c>
      <c r="D1146">
        <v>2</v>
      </c>
      <c r="E1146">
        <v>4</v>
      </c>
      <c r="F1146" s="1" t="s">
        <v>44</v>
      </c>
      <c r="G1146">
        <v>4</v>
      </c>
      <c r="H1146" s="1" t="s">
        <v>41</v>
      </c>
      <c r="I1146">
        <v>3</v>
      </c>
      <c r="J1146">
        <v>2</v>
      </c>
      <c r="K1146" s="1" t="s">
        <v>34</v>
      </c>
      <c r="L1146">
        <v>1</v>
      </c>
      <c r="M1146" s="1" t="s">
        <v>35</v>
      </c>
      <c r="N1146">
        <v>5332</v>
      </c>
      <c r="O1146">
        <v>7</v>
      </c>
      <c r="P1146" s="1" t="s">
        <v>39</v>
      </c>
      <c r="Q1146">
        <v>13</v>
      </c>
      <c r="R1146">
        <v>4</v>
      </c>
      <c r="S1146">
        <v>0</v>
      </c>
      <c r="T1146">
        <v>10</v>
      </c>
      <c r="U1146">
        <v>3</v>
      </c>
      <c r="V1146">
        <v>3</v>
      </c>
      <c r="W1146">
        <v>5</v>
      </c>
      <c r="X1146">
        <v>2</v>
      </c>
      <c r="Y1146">
        <v>0</v>
      </c>
      <c r="Z1146">
        <v>3</v>
      </c>
      <c r="AA1146">
        <v>0</v>
      </c>
      <c r="AB1146" s="1" t="s">
        <v>48</v>
      </c>
      <c r="AC1146" t="s">
        <v>37</v>
      </c>
      <c r="AD1146" t="s">
        <v>53</v>
      </c>
      <c r="AE1146" s="2">
        <v>1066.4000000000001</v>
      </c>
    </row>
    <row r="1147" spans="1:31" x14ac:dyDescent="0.35">
      <c r="A1147">
        <v>36</v>
      </c>
      <c r="B1147" s="1" t="s">
        <v>39</v>
      </c>
      <c r="C1147" s="1" t="s">
        <v>40</v>
      </c>
      <c r="D1147">
        <v>12</v>
      </c>
      <c r="E1147">
        <v>4</v>
      </c>
      <c r="F1147" s="1" t="s">
        <v>32</v>
      </c>
      <c r="G1147">
        <v>3</v>
      </c>
      <c r="H1147" s="1" t="s">
        <v>33</v>
      </c>
      <c r="I1147">
        <v>3</v>
      </c>
      <c r="J1147">
        <v>2</v>
      </c>
      <c r="K1147" s="1" t="s">
        <v>51</v>
      </c>
      <c r="L1147">
        <v>3</v>
      </c>
      <c r="M1147" s="1" t="s">
        <v>43</v>
      </c>
      <c r="N1147">
        <v>4663</v>
      </c>
      <c r="O1147">
        <v>9</v>
      </c>
      <c r="P1147" s="1" t="s">
        <v>30</v>
      </c>
      <c r="Q1147">
        <v>12</v>
      </c>
      <c r="R1147">
        <v>2</v>
      </c>
      <c r="S1147">
        <v>2</v>
      </c>
      <c r="T1147">
        <v>7</v>
      </c>
      <c r="U1147">
        <v>2</v>
      </c>
      <c r="V1147">
        <v>3</v>
      </c>
      <c r="W1147">
        <v>3</v>
      </c>
      <c r="X1147">
        <v>2</v>
      </c>
      <c r="Y1147">
        <v>1</v>
      </c>
      <c r="Z1147">
        <v>1</v>
      </c>
      <c r="AA1147">
        <v>0</v>
      </c>
      <c r="AB1147" s="1" t="s">
        <v>36</v>
      </c>
      <c r="AC1147" t="s">
        <v>37</v>
      </c>
      <c r="AD1147" t="s">
        <v>53</v>
      </c>
      <c r="AE1147" s="2">
        <v>1554.3333333333333</v>
      </c>
    </row>
    <row r="1148" spans="1:31" x14ac:dyDescent="0.35">
      <c r="A1148">
        <v>34</v>
      </c>
      <c r="B1148" s="1" t="s">
        <v>39</v>
      </c>
      <c r="C1148" s="1" t="s">
        <v>40</v>
      </c>
      <c r="D1148">
        <v>10</v>
      </c>
      <c r="E1148">
        <v>4</v>
      </c>
      <c r="F1148" s="1" t="s">
        <v>32</v>
      </c>
      <c r="G1148">
        <v>3</v>
      </c>
      <c r="H1148" s="1" t="s">
        <v>41</v>
      </c>
      <c r="I1148">
        <v>4</v>
      </c>
      <c r="J1148">
        <v>2</v>
      </c>
      <c r="K1148" s="1" t="s">
        <v>51</v>
      </c>
      <c r="L1148">
        <v>4</v>
      </c>
      <c r="M1148" s="1" t="s">
        <v>50</v>
      </c>
      <c r="N1148">
        <v>4724</v>
      </c>
      <c r="O1148">
        <v>1</v>
      </c>
      <c r="P1148" s="1" t="s">
        <v>39</v>
      </c>
      <c r="Q1148">
        <v>13</v>
      </c>
      <c r="R1148">
        <v>1</v>
      </c>
      <c r="S1148">
        <v>1</v>
      </c>
      <c r="T1148">
        <v>9</v>
      </c>
      <c r="U1148">
        <v>3</v>
      </c>
      <c r="V1148">
        <v>3</v>
      </c>
      <c r="W1148">
        <v>9</v>
      </c>
      <c r="X1148">
        <v>7</v>
      </c>
      <c r="Y1148">
        <v>7</v>
      </c>
      <c r="Z1148">
        <v>2</v>
      </c>
      <c r="AA1148">
        <v>0</v>
      </c>
      <c r="AB1148" s="1" t="s">
        <v>48</v>
      </c>
      <c r="AC1148" t="s">
        <v>37</v>
      </c>
      <c r="AD1148" t="s">
        <v>38</v>
      </c>
      <c r="AE1148" s="2">
        <v>524.88888888888891</v>
      </c>
    </row>
    <row r="1149" spans="1:31" x14ac:dyDescent="0.35">
      <c r="A1149">
        <v>49</v>
      </c>
      <c r="B1149" s="1" t="s">
        <v>39</v>
      </c>
      <c r="C1149" s="1" t="s">
        <v>40</v>
      </c>
      <c r="D1149">
        <v>25</v>
      </c>
      <c r="E1149">
        <v>4</v>
      </c>
      <c r="F1149" s="1" t="s">
        <v>32</v>
      </c>
      <c r="G1149">
        <v>3</v>
      </c>
      <c r="H1149" s="1" t="s">
        <v>33</v>
      </c>
      <c r="I1149">
        <v>3</v>
      </c>
      <c r="J1149">
        <v>1</v>
      </c>
      <c r="K1149" s="1" t="s">
        <v>45</v>
      </c>
      <c r="L1149">
        <v>1</v>
      </c>
      <c r="M1149" s="1" t="s">
        <v>43</v>
      </c>
      <c r="N1149">
        <v>3211</v>
      </c>
      <c r="O1149">
        <v>1</v>
      </c>
      <c r="P1149" s="1" t="s">
        <v>39</v>
      </c>
      <c r="Q1149">
        <v>14</v>
      </c>
      <c r="R1149">
        <v>4</v>
      </c>
      <c r="S1149">
        <v>1</v>
      </c>
      <c r="T1149">
        <v>10</v>
      </c>
      <c r="U1149">
        <v>3</v>
      </c>
      <c r="V1149">
        <v>2</v>
      </c>
      <c r="W1149">
        <v>9</v>
      </c>
      <c r="X1149">
        <v>6</v>
      </c>
      <c r="Y1149">
        <v>1</v>
      </c>
      <c r="Z1149">
        <v>4</v>
      </c>
      <c r="AA1149">
        <v>0</v>
      </c>
      <c r="AB1149" s="1" t="s">
        <v>82</v>
      </c>
      <c r="AC1149" t="s">
        <v>46</v>
      </c>
      <c r="AD1149" t="s">
        <v>38</v>
      </c>
      <c r="AE1149" s="2">
        <v>356.77777777777777</v>
      </c>
    </row>
    <row r="1150" spans="1:31" x14ac:dyDescent="0.35">
      <c r="A1150">
        <v>39</v>
      </c>
      <c r="B1150" s="1" t="s">
        <v>39</v>
      </c>
      <c r="C1150" s="1" t="s">
        <v>40</v>
      </c>
      <c r="D1150">
        <v>10</v>
      </c>
      <c r="E1150">
        <v>5</v>
      </c>
      <c r="F1150" s="1" t="s">
        <v>49</v>
      </c>
      <c r="G1150">
        <v>2</v>
      </c>
      <c r="H1150" s="1" t="s">
        <v>41</v>
      </c>
      <c r="I1150">
        <v>3</v>
      </c>
      <c r="J1150">
        <v>2</v>
      </c>
      <c r="K1150" s="1" t="s">
        <v>51</v>
      </c>
      <c r="L1150">
        <v>1</v>
      </c>
      <c r="M1150" s="1" t="s">
        <v>43</v>
      </c>
      <c r="N1150">
        <v>5377</v>
      </c>
      <c r="O1150">
        <v>2</v>
      </c>
      <c r="P1150" s="1" t="s">
        <v>39</v>
      </c>
      <c r="Q1150">
        <v>13</v>
      </c>
      <c r="R1150">
        <v>4</v>
      </c>
      <c r="S1150">
        <v>3</v>
      </c>
      <c r="T1150">
        <v>10</v>
      </c>
      <c r="U1150">
        <v>3</v>
      </c>
      <c r="V1150">
        <v>3</v>
      </c>
      <c r="W1150">
        <v>7</v>
      </c>
      <c r="X1150">
        <v>7</v>
      </c>
      <c r="Y1150">
        <v>7</v>
      </c>
      <c r="Z1150">
        <v>7</v>
      </c>
      <c r="AA1150">
        <v>0</v>
      </c>
      <c r="AB1150" s="1" t="s">
        <v>36</v>
      </c>
      <c r="AC1150" t="s">
        <v>37</v>
      </c>
      <c r="AD1150" t="s">
        <v>38</v>
      </c>
      <c r="AE1150" s="2">
        <v>768.14285714285711</v>
      </c>
    </row>
    <row r="1151" spans="1:31" x14ac:dyDescent="0.35">
      <c r="A1151">
        <v>27</v>
      </c>
      <c r="B1151" s="1" t="s">
        <v>39</v>
      </c>
      <c r="C1151" s="1" t="s">
        <v>40</v>
      </c>
      <c r="D1151">
        <v>19</v>
      </c>
      <c r="E1151">
        <v>3</v>
      </c>
      <c r="F1151" s="1" t="s">
        <v>44</v>
      </c>
      <c r="G1151">
        <v>4</v>
      </c>
      <c r="H1151" s="1" t="s">
        <v>41</v>
      </c>
      <c r="I1151">
        <v>2</v>
      </c>
      <c r="J1151">
        <v>1</v>
      </c>
      <c r="K1151" s="1" t="s">
        <v>45</v>
      </c>
      <c r="L1151">
        <v>1</v>
      </c>
      <c r="M1151" s="1" t="s">
        <v>50</v>
      </c>
      <c r="N1151">
        <v>4066</v>
      </c>
      <c r="O1151">
        <v>1</v>
      </c>
      <c r="P1151" s="1" t="s">
        <v>39</v>
      </c>
      <c r="Q1151">
        <v>11</v>
      </c>
      <c r="R1151">
        <v>1</v>
      </c>
      <c r="S1151">
        <v>2</v>
      </c>
      <c r="T1151">
        <v>7</v>
      </c>
      <c r="U1151">
        <v>3</v>
      </c>
      <c r="V1151">
        <v>3</v>
      </c>
      <c r="W1151">
        <v>7</v>
      </c>
      <c r="X1151">
        <v>7</v>
      </c>
      <c r="Y1151">
        <v>0</v>
      </c>
      <c r="Z1151">
        <v>7</v>
      </c>
      <c r="AA1151">
        <v>0</v>
      </c>
      <c r="AB1151" s="1" t="s">
        <v>48</v>
      </c>
      <c r="AC1151" t="s">
        <v>37</v>
      </c>
      <c r="AD1151" t="s">
        <v>38</v>
      </c>
      <c r="AE1151" s="2">
        <v>580.85714285714289</v>
      </c>
    </row>
    <row r="1152" spans="1:31" x14ac:dyDescent="0.35">
      <c r="A1152">
        <v>35</v>
      </c>
      <c r="B1152" s="1" t="s">
        <v>39</v>
      </c>
      <c r="C1152" s="1" t="s">
        <v>40</v>
      </c>
      <c r="D1152">
        <v>18</v>
      </c>
      <c r="E1152">
        <v>5</v>
      </c>
      <c r="F1152" s="1" t="s">
        <v>32</v>
      </c>
      <c r="G1152">
        <v>2</v>
      </c>
      <c r="H1152" s="1" t="s">
        <v>41</v>
      </c>
      <c r="I1152">
        <v>4</v>
      </c>
      <c r="J1152">
        <v>2</v>
      </c>
      <c r="K1152" s="1" t="s">
        <v>42</v>
      </c>
      <c r="L1152">
        <v>1</v>
      </c>
      <c r="M1152" s="1" t="s">
        <v>43</v>
      </c>
      <c r="N1152">
        <v>5208</v>
      </c>
      <c r="O1152">
        <v>1</v>
      </c>
      <c r="P1152" s="1" t="s">
        <v>39</v>
      </c>
      <c r="Q1152">
        <v>11</v>
      </c>
      <c r="R1152">
        <v>4</v>
      </c>
      <c r="S1152">
        <v>0</v>
      </c>
      <c r="T1152">
        <v>16</v>
      </c>
      <c r="U1152">
        <v>2</v>
      </c>
      <c r="V1152">
        <v>3</v>
      </c>
      <c r="W1152">
        <v>16</v>
      </c>
      <c r="X1152">
        <v>15</v>
      </c>
      <c r="Y1152">
        <v>1</v>
      </c>
      <c r="Z1152">
        <v>10</v>
      </c>
      <c r="AA1152">
        <v>0</v>
      </c>
      <c r="AB1152" s="1" t="s">
        <v>48</v>
      </c>
      <c r="AC1152" t="s">
        <v>37</v>
      </c>
      <c r="AD1152" t="s">
        <v>57</v>
      </c>
      <c r="AE1152" s="2">
        <v>325.5</v>
      </c>
    </row>
    <row r="1153" spans="1:31" x14ac:dyDescent="0.35">
      <c r="A1153">
        <v>28</v>
      </c>
      <c r="B1153" s="1" t="s">
        <v>39</v>
      </c>
      <c r="C1153" s="1" t="s">
        <v>40</v>
      </c>
      <c r="D1153">
        <v>27</v>
      </c>
      <c r="E1153">
        <v>3</v>
      </c>
      <c r="F1153" s="1" t="s">
        <v>49</v>
      </c>
      <c r="G1153">
        <v>2</v>
      </c>
      <c r="H1153" s="1" t="s">
        <v>33</v>
      </c>
      <c r="I1153">
        <v>1</v>
      </c>
      <c r="J1153">
        <v>2</v>
      </c>
      <c r="K1153" s="1" t="s">
        <v>51</v>
      </c>
      <c r="L1153">
        <v>1</v>
      </c>
      <c r="M1153" s="1" t="s">
        <v>50</v>
      </c>
      <c r="N1153">
        <v>4877</v>
      </c>
      <c r="O1153">
        <v>0</v>
      </c>
      <c r="P1153" s="1" t="s">
        <v>39</v>
      </c>
      <c r="Q1153">
        <v>21</v>
      </c>
      <c r="R1153">
        <v>2</v>
      </c>
      <c r="S1153">
        <v>1</v>
      </c>
      <c r="T1153">
        <v>6</v>
      </c>
      <c r="U1153">
        <v>5</v>
      </c>
      <c r="V1153">
        <v>2</v>
      </c>
      <c r="W1153">
        <v>5</v>
      </c>
      <c r="X1153">
        <v>3</v>
      </c>
      <c r="Y1153">
        <v>0</v>
      </c>
      <c r="Z1153">
        <v>0</v>
      </c>
      <c r="AA1153">
        <v>0</v>
      </c>
      <c r="AB1153" s="1" t="s">
        <v>48</v>
      </c>
      <c r="AC1153" t="s">
        <v>37</v>
      </c>
      <c r="AD1153" t="s">
        <v>53</v>
      </c>
      <c r="AE1153" s="2">
        <v>975.4</v>
      </c>
    </row>
    <row r="1154" spans="1:31" x14ac:dyDescent="0.35">
      <c r="A1154">
        <v>21</v>
      </c>
      <c r="B1154" s="1" t="s">
        <v>39</v>
      </c>
      <c r="C1154" s="1" t="s">
        <v>40</v>
      </c>
      <c r="D1154">
        <v>5</v>
      </c>
      <c r="E1154">
        <v>1</v>
      </c>
      <c r="F1154" s="1" t="s">
        <v>49</v>
      </c>
      <c r="G1154">
        <v>3</v>
      </c>
      <c r="H1154" s="1" t="s">
        <v>41</v>
      </c>
      <c r="I1154">
        <v>3</v>
      </c>
      <c r="J1154">
        <v>1</v>
      </c>
      <c r="K1154" s="1" t="s">
        <v>42</v>
      </c>
      <c r="L1154">
        <v>4</v>
      </c>
      <c r="M1154" s="1" t="s">
        <v>35</v>
      </c>
      <c r="N1154">
        <v>3117</v>
      </c>
      <c r="O1154">
        <v>1</v>
      </c>
      <c r="P1154" s="1" t="s">
        <v>39</v>
      </c>
      <c r="Q1154">
        <v>18</v>
      </c>
      <c r="R1154">
        <v>3</v>
      </c>
      <c r="S1154">
        <v>0</v>
      </c>
      <c r="T1154">
        <v>3</v>
      </c>
      <c r="U1154">
        <v>2</v>
      </c>
      <c r="V1154">
        <v>3</v>
      </c>
      <c r="W1154">
        <v>2</v>
      </c>
      <c r="X1154">
        <v>2</v>
      </c>
      <c r="Y1154">
        <v>2</v>
      </c>
      <c r="Z1154">
        <v>2</v>
      </c>
      <c r="AA1154">
        <v>0</v>
      </c>
      <c r="AB1154" s="1" t="s">
        <v>54</v>
      </c>
      <c r="AC1154" t="s">
        <v>46</v>
      </c>
      <c r="AD1154" t="s">
        <v>47</v>
      </c>
      <c r="AE1154" s="2">
        <v>1558.5</v>
      </c>
    </row>
    <row r="1155" spans="1:31" x14ac:dyDescent="0.35">
      <c r="A1155">
        <v>18</v>
      </c>
      <c r="B1155" s="1" t="s">
        <v>30</v>
      </c>
      <c r="C1155" s="1" t="s">
        <v>31</v>
      </c>
      <c r="D1155">
        <v>3</v>
      </c>
      <c r="E1155">
        <v>2</v>
      </c>
      <c r="F1155" s="1" t="s">
        <v>49</v>
      </c>
      <c r="G1155">
        <v>2</v>
      </c>
      <c r="H1155" s="1" t="s">
        <v>33</v>
      </c>
      <c r="I1155">
        <v>3</v>
      </c>
      <c r="J1155">
        <v>1</v>
      </c>
      <c r="K1155" s="1" t="s">
        <v>58</v>
      </c>
      <c r="L1155">
        <v>4</v>
      </c>
      <c r="M1155" s="1" t="s">
        <v>35</v>
      </c>
      <c r="N1155">
        <v>1569</v>
      </c>
      <c r="O1155">
        <v>1</v>
      </c>
      <c r="P1155" s="1" t="s">
        <v>30</v>
      </c>
      <c r="Q1155">
        <v>12</v>
      </c>
      <c r="R1155">
        <v>3</v>
      </c>
      <c r="S1155">
        <v>0</v>
      </c>
      <c r="T1155">
        <v>0</v>
      </c>
      <c r="U1155">
        <v>2</v>
      </c>
      <c r="V1155">
        <v>4</v>
      </c>
      <c r="W1155">
        <v>0</v>
      </c>
      <c r="X1155">
        <v>0</v>
      </c>
      <c r="Y1155">
        <v>0</v>
      </c>
      <c r="Z1155">
        <v>0</v>
      </c>
      <c r="AA1155">
        <v>1</v>
      </c>
      <c r="AB1155" s="1" t="s">
        <v>54</v>
      </c>
      <c r="AC1155" t="s">
        <v>46</v>
      </c>
      <c r="AD1155" t="s">
        <v>47</v>
      </c>
      <c r="AE1155" s="2">
        <v>1569</v>
      </c>
    </row>
    <row r="1156" spans="1:31" x14ac:dyDescent="0.35">
      <c r="A1156">
        <v>47</v>
      </c>
      <c r="B1156" s="1" t="s">
        <v>39</v>
      </c>
      <c r="C1156" s="1" t="s">
        <v>62</v>
      </c>
      <c r="D1156">
        <v>26</v>
      </c>
      <c r="E1156">
        <v>4</v>
      </c>
      <c r="F1156" s="1" t="s">
        <v>32</v>
      </c>
      <c r="G1156">
        <v>4</v>
      </c>
      <c r="H1156" s="1" t="s">
        <v>33</v>
      </c>
      <c r="I1156">
        <v>3</v>
      </c>
      <c r="J1156">
        <v>5</v>
      </c>
      <c r="K1156" s="1" t="s">
        <v>55</v>
      </c>
      <c r="L1156">
        <v>3</v>
      </c>
      <c r="M1156" s="1" t="s">
        <v>43</v>
      </c>
      <c r="N1156">
        <v>19658</v>
      </c>
      <c r="O1156">
        <v>3</v>
      </c>
      <c r="P1156" s="1" t="s">
        <v>39</v>
      </c>
      <c r="Q1156">
        <v>11</v>
      </c>
      <c r="R1156">
        <v>3</v>
      </c>
      <c r="S1156">
        <v>1</v>
      </c>
      <c r="T1156">
        <v>27</v>
      </c>
      <c r="U1156">
        <v>2</v>
      </c>
      <c r="V1156">
        <v>3</v>
      </c>
      <c r="W1156">
        <v>5</v>
      </c>
      <c r="X1156">
        <v>2</v>
      </c>
      <c r="Y1156">
        <v>1</v>
      </c>
      <c r="Z1156">
        <v>0</v>
      </c>
      <c r="AA1156">
        <v>0</v>
      </c>
      <c r="AB1156" s="1" t="s">
        <v>82</v>
      </c>
      <c r="AC1156" t="s">
        <v>56</v>
      </c>
      <c r="AD1156" t="s">
        <v>53</v>
      </c>
      <c r="AE1156" s="2">
        <v>3931.6</v>
      </c>
    </row>
    <row r="1157" spans="1:31" x14ac:dyDescent="0.35">
      <c r="A1157">
        <v>39</v>
      </c>
      <c r="B1157" s="1" t="s">
        <v>39</v>
      </c>
      <c r="C1157" s="1" t="s">
        <v>40</v>
      </c>
      <c r="D1157">
        <v>3</v>
      </c>
      <c r="E1157">
        <v>2</v>
      </c>
      <c r="F1157" s="1" t="s">
        <v>49</v>
      </c>
      <c r="G1157">
        <v>3</v>
      </c>
      <c r="H1157" s="1" t="s">
        <v>41</v>
      </c>
      <c r="I1157">
        <v>2</v>
      </c>
      <c r="J1157">
        <v>2</v>
      </c>
      <c r="K1157" s="1" t="s">
        <v>45</v>
      </c>
      <c r="L1157">
        <v>3</v>
      </c>
      <c r="M1157" s="1" t="s">
        <v>50</v>
      </c>
      <c r="N1157">
        <v>3069</v>
      </c>
      <c r="O1157">
        <v>0</v>
      </c>
      <c r="P1157" s="1" t="s">
        <v>39</v>
      </c>
      <c r="Q1157">
        <v>15</v>
      </c>
      <c r="R1157">
        <v>4</v>
      </c>
      <c r="S1157">
        <v>1</v>
      </c>
      <c r="T1157">
        <v>11</v>
      </c>
      <c r="U1157">
        <v>3</v>
      </c>
      <c r="V1157">
        <v>3</v>
      </c>
      <c r="W1157">
        <v>10</v>
      </c>
      <c r="X1157">
        <v>8</v>
      </c>
      <c r="Y1157">
        <v>0</v>
      </c>
      <c r="Z1157">
        <v>7</v>
      </c>
      <c r="AA1157">
        <v>0</v>
      </c>
      <c r="AB1157" s="1" t="s">
        <v>36</v>
      </c>
      <c r="AC1157" t="s">
        <v>46</v>
      </c>
      <c r="AD1157" t="s">
        <v>38</v>
      </c>
      <c r="AE1157" s="2">
        <v>306.89999999999998</v>
      </c>
    </row>
    <row r="1158" spans="1:31" x14ac:dyDescent="0.35">
      <c r="A1158">
        <v>40</v>
      </c>
      <c r="B1158" s="1" t="s">
        <v>39</v>
      </c>
      <c r="C1158" s="1" t="s">
        <v>40</v>
      </c>
      <c r="D1158">
        <v>15</v>
      </c>
      <c r="E1158">
        <v>3</v>
      </c>
      <c r="F1158" s="1" t="s">
        <v>32</v>
      </c>
      <c r="G1158">
        <v>1</v>
      </c>
      <c r="H1158" s="1" t="s">
        <v>33</v>
      </c>
      <c r="I1158">
        <v>2</v>
      </c>
      <c r="J1158">
        <v>3</v>
      </c>
      <c r="K1158" s="1" t="s">
        <v>51</v>
      </c>
      <c r="L1158">
        <v>3</v>
      </c>
      <c r="M1158" s="1" t="s">
        <v>43</v>
      </c>
      <c r="N1158">
        <v>10435</v>
      </c>
      <c r="O1158">
        <v>1</v>
      </c>
      <c r="P1158" s="1" t="s">
        <v>39</v>
      </c>
      <c r="Q1158">
        <v>13</v>
      </c>
      <c r="R1158">
        <v>4</v>
      </c>
      <c r="S1158">
        <v>2</v>
      </c>
      <c r="T1158">
        <v>18</v>
      </c>
      <c r="U1158">
        <v>2</v>
      </c>
      <c r="V1158">
        <v>3</v>
      </c>
      <c r="W1158">
        <v>18</v>
      </c>
      <c r="X1158">
        <v>15</v>
      </c>
      <c r="Y1158">
        <v>14</v>
      </c>
      <c r="Z1158">
        <v>12</v>
      </c>
      <c r="AA1158">
        <v>0</v>
      </c>
      <c r="AB1158" s="1" t="s">
        <v>36</v>
      </c>
      <c r="AC1158" t="s">
        <v>56</v>
      </c>
      <c r="AD1158" t="s">
        <v>57</v>
      </c>
      <c r="AE1158" s="2">
        <v>579.72222222222217</v>
      </c>
    </row>
    <row r="1159" spans="1:31" x14ac:dyDescent="0.35">
      <c r="A1159">
        <v>35</v>
      </c>
      <c r="B1159" s="1" t="s">
        <v>39</v>
      </c>
      <c r="C1159" s="1" t="s">
        <v>40</v>
      </c>
      <c r="D1159">
        <v>8</v>
      </c>
      <c r="E1159">
        <v>4</v>
      </c>
      <c r="F1159" s="1" t="s">
        <v>32</v>
      </c>
      <c r="G1159">
        <v>3</v>
      </c>
      <c r="H1159" s="1" t="s">
        <v>33</v>
      </c>
      <c r="I1159">
        <v>3</v>
      </c>
      <c r="J1159">
        <v>2</v>
      </c>
      <c r="K1159" s="1" t="s">
        <v>52</v>
      </c>
      <c r="L1159">
        <v>3</v>
      </c>
      <c r="M1159" s="1" t="s">
        <v>43</v>
      </c>
      <c r="N1159">
        <v>4148</v>
      </c>
      <c r="O1159">
        <v>1</v>
      </c>
      <c r="P1159" s="1" t="s">
        <v>39</v>
      </c>
      <c r="Q1159">
        <v>12</v>
      </c>
      <c r="R1159">
        <v>4</v>
      </c>
      <c r="S1159">
        <v>1</v>
      </c>
      <c r="T1159">
        <v>15</v>
      </c>
      <c r="U1159">
        <v>5</v>
      </c>
      <c r="V1159">
        <v>3</v>
      </c>
      <c r="W1159">
        <v>14</v>
      </c>
      <c r="X1159">
        <v>11</v>
      </c>
      <c r="Y1159">
        <v>2</v>
      </c>
      <c r="Z1159">
        <v>9</v>
      </c>
      <c r="AA1159">
        <v>0</v>
      </c>
      <c r="AB1159" s="1" t="s">
        <v>48</v>
      </c>
      <c r="AC1159" t="s">
        <v>37</v>
      </c>
      <c r="AD1159" t="s">
        <v>57</v>
      </c>
      <c r="AE1159" s="2">
        <v>296.28571428571428</v>
      </c>
    </row>
    <row r="1160" spans="1:31" x14ac:dyDescent="0.35">
      <c r="A1160">
        <v>37</v>
      </c>
      <c r="B1160" s="1" t="s">
        <v>39</v>
      </c>
      <c r="C1160" s="1" t="s">
        <v>40</v>
      </c>
      <c r="D1160">
        <v>19</v>
      </c>
      <c r="E1160">
        <v>3</v>
      </c>
      <c r="F1160" s="1" t="s">
        <v>32</v>
      </c>
      <c r="G1160">
        <v>3</v>
      </c>
      <c r="H1160" s="1" t="s">
        <v>41</v>
      </c>
      <c r="I1160">
        <v>3</v>
      </c>
      <c r="J1160">
        <v>2</v>
      </c>
      <c r="K1160" s="1" t="s">
        <v>51</v>
      </c>
      <c r="L1160">
        <v>3</v>
      </c>
      <c r="M1160" s="1" t="s">
        <v>43</v>
      </c>
      <c r="N1160">
        <v>5768</v>
      </c>
      <c r="O1160">
        <v>3</v>
      </c>
      <c r="P1160" s="1" t="s">
        <v>39</v>
      </c>
      <c r="Q1160">
        <v>17</v>
      </c>
      <c r="R1160">
        <v>1</v>
      </c>
      <c r="S1160">
        <v>3</v>
      </c>
      <c r="T1160">
        <v>9</v>
      </c>
      <c r="U1160">
        <v>2</v>
      </c>
      <c r="V1160">
        <v>2</v>
      </c>
      <c r="W1160">
        <v>4</v>
      </c>
      <c r="X1160">
        <v>3</v>
      </c>
      <c r="Y1160">
        <v>0</v>
      </c>
      <c r="Z1160">
        <v>2</v>
      </c>
      <c r="AA1160">
        <v>0</v>
      </c>
      <c r="AB1160" s="1" t="s">
        <v>36</v>
      </c>
      <c r="AC1160" t="s">
        <v>37</v>
      </c>
      <c r="AD1160" t="s">
        <v>53</v>
      </c>
      <c r="AE1160" s="2">
        <v>1442</v>
      </c>
    </row>
    <row r="1161" spans="1:31" x14ac:dyDescent="0.35">
      <c r="A1161">
        <v>39</v>
      </c>
      <c r="B1161" s="1" t="s">
        <v>39</v>
      </c>
      <c r="C1161" s="1" t="s">
        <v>40</v>
      </c>
      <c r="D1161">
        <v>4</v>
      </c>
      <c r="E1161">
        <v>3</v>
      </c>
      <c r="F1161" s="1" t="s">
        <v>49</v>
      </c>
      <c r="G1161">
        <v>1</v>
      </c>
      <c r="H1161" s="1" t="s">
        <v>33</v>
      </c>
      <c r="I1161">
        <v>3</v>
      </c>
      <c r="J1161">
        <v>2</v>
      </c>
      <c r="K1161" s="1" t="s">
        <v>51</v>
      </c>
      <c r="L1161">
        <v>3</v>
      </c>
      <c r="M1161" s="1" t="s">
        <v>35</v>
      </c>
      <c r="N1161">
        <v>5042</v>
      </c>
      <c r="O1161">
        <v>0</v>
      </c>
      <c r="P1161" s="1" t="s">
        <v>39</v>
      </c>
      <c r="Q1161">
        <v>13</v>
      </c>
      <c r="R1161">
        <v>4</v>
      </c>
      <c r="S1161">
        <v>0</v>
      </c>
      <c r="T1161">
        <v>10</v>
      </c>
      <c r="U1161">
        <v>2</v>
      </c>
      <c r="V1161">
        <v>1</v>
      </c>
      <c r="W1161">
        <v>9</v>
      </c>
      <c r="X1161">
        <v>2</v>
      </c>
      <c r="Y1161">
        <v>3</v>
      </c>
      <c r="Z1161">
        <v>8</v>
      </c>
      <c r="AA1161">
        <v>0</v>
      </c>
      <c r="AB1161" s="1" t="s">
        <v>36</v>
      </c>
      <c r="AC1161" t="s">
        <v>37</v>
      </c>
      <c r="AD1161" t="s">
        <v>38</v>
      </c>
      <c r="AE1161" s="2">
        <v>560.22222222222217</v>
      </c>
    </row>
    <row r="1162" spans="1:31" x14ac:dyDescent="0.35">
      <c r="A1162">
        <v>45</v>
      </c>
      <c r="B1162" s="1" t="s">
        <v>39</v>
      </c>
      <c r="C1162" s="1" t="s">
        <v>40</v>
      </c>
      <c r="D1162">
        <v>2</v>
      </c>
      <c r="E1162">
        <v>2</v>
      </c>
      <c r="F1162" s="1" t="s">
        <v>44</v>
      </c>
      <c r="G1162">
        <v>4</v>
      </c>
      <c r="H1162" s="1" t="s">
        <v>33</v>
      </c>
      <c r="I1162">
        <v>2</v>
      </c>
      <c r="J1162">
        <v>2</v>
      </c>
      <c r="K1162" s="1" t="s">
        <v>51</v>
      </c>
      <c r="L1162">
        <v>4</v>
      </c>
      <c r="M1162" s="1" t="s">
        <v>50</v>
      </c>
      <c r="N1162">
        <v>5770</v>
      </c>
      <c r="O1162">
        <v>1</v>
      </c>
      <c r="P1162" s="1" t="s">
        <v>39</v>
      </c>
      <c r="Q1162">
        <v>19</v>
      </c>
      <c r="R1162">
        <v>1</v>
      </c>
      <c r="S1162">
        <v>2</v>
      </c>
      <c r="T1162">
        <v>10</v>
      </c>
      <c r="U1162">
        <v>3</v>
      </c>
      <c r="V1162">
        <v>3</v>
      </c>
      <c r="W1162">
        <v>10</v>
      </c>
      <c r="X1162">
        <v>7</v>
      </c>
      <c r="Y1162">
        <v>3</v>
      </c>
      <c r="Z1162">
        <v>9</v>
      </c>
      <c r="AA1162">
        <v>0</v>
      </c>
      <c r="AB1162" s="1" t="s">
        <v>36</v>
      </c>
      <c r="AC1162" t="s">
        <v>37</v>
      </c>
      <c r="AD1162" t="s">
        <v>38</v>
      </c>
      <c r="AE1162" s="2">
        <v>577</v>
      </c>
    </row>
    <row r="1163" spans="1:31" x14ac:dyDescent="0.35">
      <c r="A1163">
        <v>38</v>
      </c>
      <c r="B1163" s="1" t="s">
        <v>39</v>
      </c>
      <c r="C1163" s="1" t="s">
        <v>40</v>
      </c>
      <c r="D1163">
        <v>2</v>
      </c>
      <c r="E1163">
        <v>2</v>
      </c>
      <c r="F1163" s="1" t="s">
        <v>49</v>
      </c>
      <c r="G1163">
        <v>4</v>
      </c>
      <c r="H1163" s="1" t="s">
        <v>33</v>
      </c>
      <c r="I1163">
        <v>2</v>
      </c>
      <c r="J1163">
        <v>3</v>
      </c>
      <c r="K1163" s="1" t="s">
        <v>51</v>
      </c>
      <c r="L1163">
        <v>3</v>
      </c>
      <c r="M1163" s="1" t="s">
        <v>43</v>
      </c>
      <c r="N1163">
        <v>7756</v>
      </c>
      <c r="O1163">
        <v>3</v>
      </c>
      <c r="P1163" s="1" t="s">
        <v>30</v>
      </c>
      <c r="Q1163">
        <v>19</v>
      </c>
      <c r="R1163">
        <v>4</v>
      </c>
      <c r="S1163">
        <v>1</v>
      </c>
      <c r="T1163">
        <v>10</v>
      </c>
      <c r="U1163">
        <v>6</v>
      </c>
      <c r="V1163">
        <v>4</v>
      </c>
      <c r="W1163">
        <v>5</v>
      </c>
      <c r="X1163">
        <v>4</v>
      </c>
      <c r="Y1163">
        <v>0</v>
      </c>
      <c r="Z1163">
        <v>2</v>
      </c>
      <c r="AA1163">
        <v>0</v>
      </c>
      <c r="AB1163" s="1" t="s">
        <v>36</v>
      </c>
      <c r="AC1163" t="s">
        <v>37</v>
      </c>
      <c r="AD1163" t="s">
        <v>53</v>
      </c>
      <c r="AE1163" s="2">
        <v>1551.2</v>
      </c>
    </row>
    <row r="1164" spans="1:31" x14ac:dyDescent="0.35">
      <c r="A1164">
        <v>35</v>
      </c>
      <c r="B1164" s="1" t="s">
        <v>30</v>
      </c>
      <c r="C1164" s="1" t="s">
        <v>31</v>
      </c>
      <c r="D1164">
        <v>10</v>
      </c>
      <c r="E1164">
        <v>3</v>
      </c>
      <c r="F1164" s="1" t="s">
        <v>49</v>
      </c>
      <c r="G1164">
        <v>4</v>
      </c>
      <c r="H1164" s="1" t="s">
        <v>41</v>
      </c>
      <c r="I1164">
        <v>2</v>
      </c>
      <c r="J1164">
        <v>3</v>
      </c>
      <c r="K1164" s="1" t="s">
        <v>34</v>
      </c>
      <c r="L1164">
        <v>1</v>
      </c>
      <c r="M1164" s="1" t="s">
        <v>43</v>
      </c>
      <c r="N1164">
        <v>10306</v>
      </c>
      <c r="O1164">
        <v>9</v>
      </c>
      <c r="P1164" s="1" t="s">
        <v>39</v>
      </c>
      <c r="Q1164">
        <v>17</v>
      </c>
      <c r="R1164">
        <v>3</v>
      </c>
      <c r="S1164">
        <v>0</v>
      </c>
      <c r="T1164">
        <v>15</v>
      </c>
      <c r="U1164">
        <v>3</v>
      </c>
      <c r="V1164">
        <v>3</v>
      </c>
      <c r="W1164">
        <v>13</v>
      </c>
      <c r="X1164">
        <v>12</v>
      </c>
      <c r="Y1164">
        <v>6</v>
      </c>
      <c r="Z1164">
        <v>0</v>
      </c>
      <c r="AA1164">
        <v>1</v>
      </c>
      <c r="AB1164" s="1" t="s">
        <v>48</v>
      </c>
      <c r="AC1164" t="s">
        <v>56</v>
      </c>
      <c r="AD1164" t="s">
        <v>57</v>
      </c>
      <c r="AE1164" s="2">
        <v>792.76923076923072</v>
      </c>
    </row>
    <row r="1165" spans="1:31" x14ac:dyDescent="0.35">
      <c r="A1165">
        <v>37</v>
      </c>
      <c r="B1165" s="1" t="s">
        <v>39</v>
      </c>
      <c r="C1165" s="1" t="s">
        <v>40</v>
      </c>
      <c r="D1165">
        <v>10</v>
      </c>
      <c r="E1165">
        <v>3</v>
      </c>
      <c r="F1165" s="1" t="s">
        <v>49</v>
      </c>
      <c r="G1165">
        <v>2</v>
      </c>
      <c r="H1165" s="1" t="s">
        <v>33</v>
      </c>
      <c r="I1165">
        <v>3</v>
      </c>
      <c r="J1165">
        <v>1</v>
      </c>
      <c r="K1165" s="1" t="s">
        <v>42</v>
      </c>
      <c r="L1165">
        <v>2</v>
      </c>
      <c r="M1165" s="1" t="s">
        <v>43</v>
      </c>
      <c r="N1165">
        <v>3936</v>
      </c>
      <c r="O1165">
        <v>1</v>
      </c>
      <c r="P1165" s="1" t="s">
        <v>39</v>
      </c>
      <c r="Q1165">
        <v>11</v>
      </c>
      <c r="R1165">
        <v>1</v>
      </c>
      <c r="S1165">
        <v>1</v>
      </c>
      <c r="T1165">
        <v>8</v>
      </c>
      <c r="U1165">
        <v>2</v>
      </c>
      <c r="V1165">
        <v>1</v>
      </c>
      <c r="W1165">
        <v>8</v>
      </c>
      <c r="X1165">
        <v>4</v>
      </c>
      <c r="Y1165">
        <v>7</v>
      </c>
      <c r="Z1165">
        <v>7</v>
      </c>
      <c r="AA1165">
        <v>0</v>
      </c>
      <c r="AB1165" s="1" t="s">
        <v>36</v>
      </c>
      <c r="AC1165" t="s">
        <v>46</v>
      </c>
      <c r="AD1165" t="s">
        <v>38</v>
      </c>
      <c r="AE1165" s="2">
        <v>492</v>
      </c>
    </row>
    <row r="1166" spans="1:31" x14ac:dyDescent="0.35">
      <c r="A1166">
        <v>40</v>
      </c>
      <c r="B1166" s="1" t="s">
        <v>39</v>
      </c>
      <c r="C1166" s="1" t="s">
        <v>40</v>
      </c>
      <c r="D1166">
        <v>16</v>
      </c>
      <c r="E1166">
        <v>3</v>
      </c>
      <c r="F1166" s="1" t="s">
        <v>32</v>
      </c>
      <c r="G1166">
        <v>3</v>
      </c>
      <c r="H1166" s="1" t="s">
        <v>33</v>
      </c>
      <c r="I1166">
        <v>3</v>
      </c>
      <c r="J1166">
        <v>3</v>
      </c>
      <c r="K1166" s="1" t="s">
        <v>51</v>
      </c>
      <c r="L1166">
        <v>4</v>
      </c>
      <c r="M1166" s="1" t="s">
        <v>35</v>
      </c>
      <c r="N1166">
        <v>7945</v>
      </c>
      <c r="O1166">
        <v>6</v>
      </c>
      <c r="P1166" s="1" t="s">
        <v>30</v>
      </c>
      <c r="Q1166">
        <v>15</v>
      </c>
      <c r="R1166">
        <v>4</v>
      </c>
      <c r="S1166">
        <v>0</v>
      </c>
      <c r="T1166">
        <v>18</v>
      </c>
      <c r="U1166">
        <v>2</v>
      </c>
      <c r="V1166">
        <v>2</v>
      </c>
      <c r="W1166">
        <v>4</v>
      </c>
      <c r="X1166">
        <v>2</v>
      </c>
      <c r="Y1166">
        <v>3</v>
      </c>
      <c r="Z1166">
        <v>3</v>
      </c>
      <c r="AA1166">
        <v>0</v>
      </c>
      <c r="AB1166" s="1" t="s">
        <v>36</v>
      </c>
      <c r="AC1166" t="s">
        <v>37</v>
      </c>
      <c r="AD1166" t="s">
        <v>53</v>
      </c>
      <c r="AE1166" s="2">
        <v>1986.25</v>
      </c>
    </row>
    <row r="1167" spans="1:31" x14ac:dyDescent="0.35">
      <c r="A1167">
        <v>44</v>
      </c>
      <c r="B1167" s="1" t="s">
        <v>39</v>
      </c>
      <c r="C1167" s="1" t="s">
        <v>62</v>
      </c>
      <c r="D1167">
        <v>1</v>
      </c>
      <c r="E1167">
        <v>5</v>
      </c>
      <c r="F1167" s="1" t="s">
        <v>62</v>
      </c>
      <c r="G1167">
        <v>1</v>
      </c>
      <c r="H1167" s="1" t="s">
        <v>41</v>
      </c>
      <c r="I1167">
        <v>3</v>
      </c>
      <c r="J1167">
        <v>2</v>
      </c>
      <c r="K1167" s="1" t="s">
        <v>62</v>
      </c>
      <c r="L1167">
        <v>4</v>
      </c>
      <c r="M1167" s="1" t="s">
        <v>43</v>
      </c>
      <c r="N1167">
        <v>5743</v>
      </c>
      <c r="O1167">
        <v>4</v>
      </c>
      <c r="P1167" s="1" t="s">
        <v>30</v>
      </c>
      <c r="Q1167">
        <v>11</v>
      </c>
      <c r="R1167">
        <v>3</v>
      </c>
      <c r="S1167">
        <v>0</v>
      </c>
      <c r="T1167">
        <v>14</v>
      </c>
      <c r="U1167">
        <v>3</v>
      </c>
      <c r="V1167">
        <v>3</v>
      </c>
      <c r="W1167">
        <v>10</v>
      </c>
      <c r="X1167">
        <v>7</v>
      </c>
      <c r="Y1167">
        <v>0</v>
      </c>
      <c r="Z1167">
        <v>2</v>
      </c>
      <c r="AA1167">
        <v>0</v>
      </c>
      <c r="AB1167" s="1" t="s">
        <v>36</v>
      </c>
      <c r="AC1167" t="s">
        <v>37</v>
      </c>
      <c r="AD1167" t="s">
        <v>38</v>
      </c>
      <c r="AE1167" s="2">
        <v>574.29999999999995</v>
      </c>
    </row>
    <row r="1168" spans="1:31" x14ac:dyDescent="0.35">
      <c r="A1168">
        <v>48</v>
      </c>
      <c r="B1168" s="1" t="s">
        <v>39</v>
      </c>
      <c r="C1168" s="1" t="s">
        <v>40</v>
      </c>
      <c r="D1168">
        <v>4</v>
      </c>
      <c r="E1168">
        <v>5</v>
      </c>
      <c r="F1168" s="1" t="s">
        <v>49</v>
      </c>
      <c r="G1168">
        <v>3</v>
      </c>
      <c r="H1168" s="1" t="s">
        <v>41</v>
      </c>
      <c r="I1168">
        <v>2</v>
      </c>
      <c r="J1168">
        <v>4</v>
      </c>
      <c r="K1168" s="1" t="s">
        <v>55</v>
      </c>
      <c r="L1168">
        <v>4</v>
      </c>
      <c r="M1168" s="1" t="s">
        <v>43</v>
      </c>
      <c r="N1168">
        <v>15202</v>
      </c>
      <c r="O1168">
        <v>2</v>
      </c>
      <c r="P1168" s="1" t="s">
        <v>39</v>
      </c>
      <c r="Q1168">
        <v>25</v>
      </c>
      <c r="R1168">
        <v>2</v>
      </c>
      <c r="S1168">
        <v>1</v>
      </c>
      <c r="T1168">
        <v>23</v>
      </c>
      <c r="U1168">
        <v>3</v>
      </c>
      <c r="V1168">
        <v>3</v>
      </c>
      <c r="W1168">
        <v>2</v>
      </c>
      <c r="X1168">
        <v>2</v>
      </c>
      <c r="Y1168">
        <v>2</v>
      </c>
      <c r="Z1168">
        <v>2</v>
      </c>
      <c r="AA1168">
        <v>0</v>
      </c>
      <c r="AB1168" s="1" t="s">
        <v>82</v>
      </c>
      <c r="AC1168" t="s">
        <v>56</v>
      </c>
      <c r="AD1168" t="s">
        <v>47</v>
      </c>
      <c r="AE1168" s="2">
        <v>7601</v>
      </c>
    </row>
    <row r="1169" spans="1:31" x14ac:dyDescent="0.35">
      <c r="A1169">
        <v>35</v>
      </c>
      <c r="B1169" s="1" t="s">
        <v>30</v>
      </c>
      <c r="C1169" s="1" t="s">
        <v>31</v>
      </c>
      <c r="D1169">
        <v>15</v>
      </c>
      <c r="E1169">
        <v>2</v>
      </c>
      <c r="F1169" s="1" t="s">
        <v>49</v>
      </c>
      <c r="G1169">
        <v>1</v>
      </c>
      <c r="H1169" s="1" t="s">
        <v>41</v>
      </c>
      <c r="I1169">
        <v>1</v>
      </c>
      <c r="J1169">
        <v>2</v>
      </c>
      <c r="K1169" s="1" t="s">
        <v>34</v>
      </c>
      <c r="L1169">
        <v>4</v>
      </c>
      <c r="M1169" s="1" t="s">
        <v>50</v>
      </c>
      <c r="N1169">
        <v>5440</v>
      </c>
      <c r="O1169">
        <v>6</v>
      </c>
      <c r="P1169" s="1" t="s">
        <v>30</v>
      </c>
      <c r="Q1169">
        <v>14</v>
      </c>
      <c r="R1169">
        <v>4</v>
      </c>
      <c r="S1169">
        <v>2</v>
      </c>
      <c r="T1169">
        <v>7</v>
      </c>
      <c r="U1169">
        <v>2</v>
      </c>
      <c r="V1169">
        <v>2</v>
      </c>
      <c r="W1169">
        <v>2</v>
      </c>
      <c r="X1169">
        <v>2</v>
      </c>
      <c r="Y1169">
        <v>2</v>
      </c>
      <c r="Z1169">
        <v>2</v>
      </c>
      <c r="AA1169">
        <v>1</v>
      </c>
      <c r="AB1169" s="1" t="s">
        <v>48</v>
      </c>
      <c r="AC1169" t="s">
        <v>37</v>
      </c>
      <c r="AD1169" t="s">
        <v>47</v>
      </c>
      <c r="AE1169" s="2">
        <v>2720</v>
      </c>
    </row>
    <row r="1170" spans="1:31" x14ac:dyDescent="0.35">
      <c r="A1170">
        <v>24</v>
      </c>
      <c r="B1170" s="1" t="s">
        <v>39</v>
      </c>
      <c r="C1170" s="1" t="s">
        <v>40</v>
      </c>
      <c r="D1170">
        <v>2</v>
      </c>
      <c r="E1170">
        <v>1</v>
      </c>
      <c r="F1170" s="1" t="s">
        <v>61</v>
      </c>
      <c r="G1170">
        <v>1</v>
      </c>
      <c r="H1170" s="1" t="s">
        <v>33</v>
      </c>
      <c r="I1170">
        <v>3</v>
      </c>
      <c r="J1170">
        <v>1</v>
      </c>
      <c r="K1170" s="1" t="s">
        <v>42</v>
      </c>
      <c r="L1170">
        <v>4</v>
      </c>
      <c r="M1170" s="1" t="s">
        <v>35</v>
      </c>
      <c r="N1170">
        <v>3760</v>
      </c>
      <c r="O1170">
        <v>1</v>
      </c>
      <c r="P1170" s="1" t="s">
        <v>30</v>
      </c>
      <c r="Q1170">
        <v>13</v>
      </c>
      <c r="R1170">
        <v>3</v>
      </c>
      <c r="S1170">
        <v>0</v>
      </c>
      <c r="T1170">
        <v>6</v>
      </c>
      <c r="U1170">
        <v>2</v>
      </c>
      <c r="V1170">
        <v>3</v>
      </c>
      <c r="W1170">
        <v>6</v>
      </c>
      <c r="X1170">
        <v>3</v>
      </c>
      <c r="Y1170">
        <v>1</v>
      </c>
      <c r="Z1170">
        <v>3</v>
      </c>
      <c r="AA1170">
        <v>0</v>
      </c>
      <c r="AB1170" s="1" t="s">
        <v>54</v>
      </c>
      <c r="AC1170" t="s">
        <v>46</v>
      </c>
      <c r="AD1170" t="s">
        <v>38</v>
      </c>
      <c r="AE1170" s="2">
        <v>626.66666666666663</v>
      </c>
    </row>
    <row r="1171" spans="1:31" x14ac:dyDescent="0.35">
      <c r="A1171">
        <v>27</v>
      </c>
      <c r="B1171" s="1" t="s">
        <v>39</v>
      </c>
      <c r="C1171" s="1" t="s">
        <v>40</v>
      </c>
      <c r="D1171">
        <v>8</v>
      </c>
      <c r="E1171">
        <v>3</v>
      </c>
      <c r="F1171" s="1" t="s">
        <v>49</v>
      </c>
      <c r="G1171">
        <v>2</v>
      </c>
      <c r="H1171" s="1" t="s">
        <v>33</v>
      </c>
      <c r="I1171">
        <v>4</v>
      </c>
      <c r="J1171">
        <v>1</v>
      </c>
      <c r="K1171" s="1" t="s">
        <v>42</v>
      </c>
      <c r="L1171">
        <v>3</v>
      </c>
      <c r="M1171" s="1" t="s">
        <v>43</v>
      </c>
      <c r="N1171">
        <v>3517</v>
      </c>
      <c r="O1171">
        <v>7</v>
      </c>
      <c r="P1171" s="1" t="s">
        <v>39</v>
      </c>
      <c r="Q1171">
        <v>17</v>
      </c>
      <c r="R1171">
        <v>1</v>
      </c>
      <c r="S1171">
        <v>0</v>
      </c>
      <c r="T1171">
        <v>5</v>
      </c>
      <c r="U1171">
        <v>0</v>
      </c>
      <c r="V1171">
        <v>3</v>
      </c>
      <c r="W1171">
        <v>3</v>
      </c>
      <c r="X1171">
        <v>2</v>
      </c>
      <c r="Y1171">
        <v>0</v>
      </c>
      <c r="Z1171">
        <v>2</v>
      </c>
      <c r="AA1171">
        <v>0</v>
      </c>
      <c r="AB1171" s="1" t="s">
        <v>48</v>
      </c>
      <c r="AC1171" t="s">
        <v>46</v>
      </c>
      <c r="AD1171" t="s">
        <v>53</v>
      </c>
      <c r="AE1171" s="2">
        <v>1172.3333333333333</v>
      </c>
    </row>
    <row r="1172" spans="1:31" x14ac:dyDescent="0.35">
      <c r="A1172">
        <v>27</v>
      </c>
      <c r="B1172" s="1" t="s">
        <v>39</v>
      </c>
      <c r="C1172" s="1" t="s">
        <v>40</v>
      </c>
      <c r="D1172">
        <v>2</v>
      </c>
      <c r="E1172">
        <v>3</v>
      </c>
      <c r="F1172" s="1" t="s">
        <v>49</v>
      </c>
      <c r="G1172">
        <v>4</v>
      </c>
      <c r="H1172" s="1" t="s">
        <v>41</v>
      </c>
      <c r="I1172">
        <v>3</v>
      </c>
      <c r="J1172">
        <v>1</v>
      </c>
      <c r="K1172" s="1" t="s">
        <v>42</v>
      </c>
      <c r="L1172">
        <v>4</v>
      </c>
      <c r="M1172" s="1" t="s">
        <v>35</v>
      </c>
      <c r="N1172">
        <v>2580</v>
      </c>
      <c r="O1172">
        <v>2</v>
      </c>
      <c r="P1172" s="1" t="s">
        <v>39</v>
      </c>
      <c r="Q1172">
        <v>13</v>
      </c>
      <c r="R1172">
        <v>3</v>
      </c>
      <c r="S1172">
        <v>0</v>
      </c>
      <c r="T1172">
        <v>6</v>
      </c>
      <c r="U1172">
        <v>0</v>
      </c>
      <c r="V1172">
        <v>2</v>
      </c>
      <c r="W1172">
        <v>4</v>
      </c>
      <c r="X1172">
        <v>2</v>
      </c>
      <c r="Y1172">
        <v>1</v>
      </c>
      <c r="Z1172">
        <v>2</v>
      </c>
      <c r="AA1172">
        <v>0</v>
      </c>
      <c r="AB1172" s="1" t="s">
        <v>48</v>
      </c>
      <c r="AC1172" t="s">
        <v>46</v>
      </c>
      <c r="AD1172" t="s">
        <v>53</v>
      </c>
      <c r="AE1172" s="2">
        <v>645</v>
      </c>
    </row>
    <row r="1173" spans="1:31" x14ac:dyDescent="0.35">
      <c r="A1173">
        <v>40</v>
      </c>
      <c r="B1173" s="1" t="s">
        <v>30</v>
      </c>
      <c r="C1173" s="1" t="s">
        <v>40</v>
      </c>
      <c r="D1173">
        <v>7</v>
      </c>
      <c r="E1173">
        <v>3</v>
      </c>
      <c r="F1173" s="1" t="s">
        <v>32</v>
      </c>
      <c r="G1173">
        <v>1</v>
      </c>
      <c r="H1173" s="1" t="s">
        <v>41</v>
      </c>
      <c r="I1173">
        <v>3</v>
      </c>
      <c r="J1173">
        <v>1</v>
      </c>
      <c r="K1173" s="1" t="s">
        <v>45</v>
      </c>
      <c r="L1173">
        <v>1</v>
      </c>
      <c r="M1173" s="1" t="s">
        <v>35</v>
      </c>
      <c r="N1173">
        <v>2166</v>
      </c>
      <c r="O1173">
        <v>3</v>
      </c>
      <c r="P1173" s="1" t="s">
        <v>30</v>
      </c>
      <c r="Q1173">
        <v>14</v>
      </c>
      <c r="R1173">
        <v>2</v>
      </c>
      <c r="S1173">
        <v>0</v>
      </c>
      <c r="T1173">
        <v>10</v>
      </c>
      <c r="U1173">
        <v>3</v>
      </c>
      <c r="V1173">
        <v>1</v>
      </c>
      <c r="W1173">
        <v>4</v>
      </c>
      <c r="X1173">
        <v>2</v>
      </c>
      <c r="Y1173">
        <v>0</v>
      </c>
      <c r="Z1173">
        <v>3</v>
      </c>
      <c r="AA1173">
        <v>1</v>
      </c>
      <c r="AB1173" s="1" t="s">
        <v>36</v>
      </c>
      <c r="AC1173" t="s">
        <v>46</v>
      </c>
      <c r="AD1173" t="s">
        <v>53</v>
      </c>
      <c r="AE1173" s="2">
        <v>541.5</v>
      </c>
    </row>
    <row r="1174" spans="1:31" x14ac:dyDescent="0.35">
      <c r="A1174">
        <v>29</v>
      </c>
      <c r="B1174" s="1" t="s">
        <v>39</v>
      </c>
      <c r="C1174" s="1" t="s">
        <v>31</v>
      </c>
      <c r="D1174">
        <v>10</v>
      </c>
      <c r="E1174">
        <v>3</v>
      </c>
      <c r="F1174" s="1" t="s">
        <v>49</v>
      </c>
      <c r="G1174">
        <v>3</v>
      </c>
      <c r="H1174" s="1" t="s">
        <v>41</v>
      </c>
      <c r="I1174">
        <v>2</v>
      </c>
      <c r="J1174">
        <v>2</v>
      </c>
      <c r="K1174" s="1" t="s">
        <v>34</v>
      </c>
      <c r="L1174">
        <v>3</v>
      </c>
      <c r="M1174" s="1" t="s">
        <v>35</v>
      </c>
      <c r="N1174">
        <v>5869</v>
      </c>
      <c r="O1174">
        <v>9</v>
      </c>
      <c r="P1174" s="1" t="s">
        <v>39</v>
      </c>
      <c r="Q1174">
        <v>11</v>
      </c>
      <c r="R1174">
        <v>3</v>
      </c>
      <c r="S1174">
        <v>0</v>
      </c>
      <c r="T1174">
        <v>8</v>
      </c>
      <c r="U1174">
        <v>2</v>
      </c>
      <c r="V1174">
        <v>3</v>
      </c>
      <c r="W1174">
        <v>5</v>
      </c>
      <c r="X1174">
        <v>2</v>
      </c>
      <c r="Y1174">
        <v>1</v>
      </c>
      <c r="Z1174">
        <v>4</v>
      </c>
      <c r="AA1174">
        <v>0</v>
      </c>
      <c r="AB1174" s="1" t="s">
        <v>48</v>
      </c>
      <c r="AC1174" t="s">
        <v>37</v>
      </c>
      <c r="AD1174" t="s">
        <v>53</v>
      </c>
      <c r="AE1174" s="2">
        <v>1173.8</v>
      </c>
    </row>
    <row r="1175" spans="1:31" x14ac:dyDescent="0.35">
      <c r="A1175">
        <v>36</v>
      </c>
      <c r="B1175" s="1" t="s">
        <v>39</v>
      </c>
      <c r="C1175" s="1" t="s">
        <v>40</v>
      </c>
      <c r="D1175">
        <v>5</v>
      </c>
      <c r="E1175">
        <v>4</v>
      </c>
      <c r="F1175" s="1" t="s">
        <v>32</v>
      </c>
      <c r="G1175">
        <v>2</v>
      </c>
      <c r="H1175" s="1" t="s">
        <v>33</v>
      </c>
      <c r="I1175">
        <v>3</v>
      </c>
      <c r="J1175">
        <v>3</v>
      </c>
      <c r="K1175" s="1" t="s">
        <v>52</v>
      </c>
      <c r="L1175">
        <v>1</v>
      </c>
      <c r="M1175" s="1" t="s">
        <v>43</v>
      </c>
      <c r="N1175">
        <v>8008</v>
      </c>
      <c r="O1175">
        <v>4</v>
      </c>
      <c r="P1175" s="1" t="s">
        <v>39</v>
      </c>
      <c r="Q1175">
        <v>12</v>
      </c>
      <c r="R1175">
        <v>3</v>
      </c>
      <c r="S1175">
        <v>2</v>
      </c>
      <c r="T1175">
        <v>9</v>
      </c>
      <c r="U1175">
        <v>6</v>
      </c>
      <c r="V1175">
        <v>3</v>
      </c>
      <c r="W1175">
        <v>3</v>
      </c>
      <c r="X1175">
        <v>2</v>
      </c>
      <c r="Y1175">
        <v>0</v>
      </c>
      <c r="Z1175">
        <v>2</v>
      </c>
      <c r="AA1175">
        <v>0</v>
      </c>
      <c r="AB1175" s="1" t="s">
        <v>36</v>
      </c>
      <c r="AC1175" t="s">
        <v>37</v>
      </c>
      <c r="AD1175" t="s">
        <v>53</v>
      </c>
      <c r="AE1175" s="2">
        <v>2669.3333333333335</v>
      </c>
    </row>
    <row r="1176" spans="1:31" x14ac:dyDescent="0.35">
      <c r="A1176">
        <v>25</v>
      </c>
      <c r="B1176" s="1" t="s">
        <v>39</v>
      </c>
      <c r="C1176" s="1" t="s">
        <v>40</v>
      </c>
      <c r="D1176">
        <v>2</v>
      </c>
      <c r="E1176">
        <v>1</v>
      </c>
      <c r="F1176" s="1" t="s">
        <v>32</v>
      </c>
      <c r="G1176">
        <v>4</v>
      </c>
      <c r="H1176" s="1" t="s">
        <v>41</v>
      </c>
      <c r="I1176">
        <v>4</v>
      </c>
      <c r="J1176">
        <v>2</v>
      </c>
      <c r="K1176" s="1" t="s">
        <v>51</v>
      </c>
      <c r="L1176">
        <v>3</v>
      </c>
      <c r="M1176" s="1" t="s">
        <v>50</v>
      </c>
      <c r="N1176">
        <v>5206</v>
      </c>
      <c r="O1176">
        <v>1</v>
      </c>
      <c r="P1176" s="1" t="s">
        <v>39</v>
      </c>
      <c r="Q1176">
        <v>17</v>
      </c>
      <c r="R1176">
        <v>3</v>
      </c>
      <c r="S1176">
        <v>2</v>
      </c>
      <c r="T1176">
        <v>7</v>
      </c>
      <c r="U1176">
        <v>6</v>
      </c>
      <c r="V1176">
        <v>3</v>
      </c>
      <c r="W1176">
        <v>7</v>
      </c>
      <c r="X1176">
        <v>7</v>
      </c>
      <c r="Y1176">
        <v>0</v>
      </c>
      <c r="Z1176">
        <v>7</v>
      </c>
      <c r="AA1176">
        <v>0</v>
      </c>
      <c r="AB1176" s="1" t="s">
        <v>54</v>
      </c>
      <c r="AC1176" t="s">
        <v>37</v>
      </c>
      <c r="AD1176" t="s">
        <v>38</v>
      </c>
      <c r="AE1176" s="2">
        <v>743.71428571428567</v>
      </c>
    </row>
    <row r="1177" spans="1:31" x14ac:dyDescent="0.35">
      <c r="A1177">
        <v>39</v>
      </c>
      <c r="B1177" s="1" t="s">
        <v>39</v>
      </c>
      <c r="C1177" s="1" t="s">
        <v>40</v>
      </c>
      <c r="D1177">
        <v>12</v>
      </c>
      <c r="E1177">
        <v>3</v>
      </c>
      <c r="F1177" s="1" t="s">
        <v>49</v>
      </c>
      <c r="G1177">
        <v>4</v>
      </c>
      <c r="H1177" s="1" t="s">
        <v>41</v>
      </c>
      <c r="I1177">
        <v>3</v>
      </c>
      <c r="J1177">
        <v>2</v>
      </c>
      <c r="K1177" s="1" t="s">
        <v>51</v>
      </c>
      <c r="L1177">
        <v>2</v>
      </c>
      <c r="M1177" s="1" t="s">
        <v>43</v>
      </c>
      <c r="N1177">
        <v>5295</v>
      </c>
      <c r="O1177">
        <v>4</v>
      </c>
      <c r="P1177" s="1" t="s">
        <v>39</v>
      </c>
      <c r="Q1177">
        <v>21</v>
      </c>
      <c r="R1177">
        <v>3</v>
      </c>
      <c r="S1177">
        <v>0</v>
      </c>
      <c r="T1177">
        <v>7</v>
      </c>
      <c r="U1177">
        <v>3</v>
      </c>
      <c r="V1177">
        <v>3</v>
      </c>
      <c r="W1177">
        <v>5</v>
      </c>
      <c r="X1177">
        <v>4</v>
      </c>
      <c r="Y1177">
        <v>1</v>
      </c>
      <c r="Z1177">
        <v>0</v>
      </c>
      <c r="AA1177">
        <v>0</v>
      </c>
      <c r="AB1177" s="1" t="s">
        <v>36</v>
      </c>
      <c r="AC1177" t="s">
        <v>37</v>
      </c>
      <c r="AD1177" t="s">
        <v>53</v>
      </c>
      <c r="AE1177" s="2">
        <v>1059</v>
      </c>
    </row>
    <row r="1178" spans="1:31" x14ac:dyDescent="0.35">
      <c r="A1178">
        <v>49</v>
      </c>
      <c r="B1178" s="1" t="s">
        <v>39</v>
      </c>
      <c r="C1178" s="1" t="s">
        <v>40</v>
      </c>
      <c r="D1178">
        <v>22</v>
      </c>
      <c r="E1178">
        <v>4</v>
      </c>
      <c r="F1178" s="1" t="s">
        <v>44</v>
      </c>
      <c r="G1178">
        <v>1</v>
      </c>
      <c r="H1178" s="1" t="s">
        <v>33</v>
      </c>
      <c r="I1178">
        <v>3</v>
      </c>
      <c r="J1178">
        <v>4</v>
      </c>
      <c r="K1178" s="1" t="s">
        <v>59</v>
      </c>
      <c r="L1178">
        <v>2</v>
      </c>
      <c r="M1178" s="1" t="s">
        <v>43</v>
      </c>
      <c r="N1178">
        <v>16413</v>
      </c>
      <c r="O1178">
        <v>3</v>
      </c>
      <c r="P1178" s="1" t="s">
        <v>39</v>
      </c>
      <c r="Q1178">
        <v>16</v>
      </c>
      <c r="R1178">
        <v>2</v>
      </c>
      <c r="S1178">
        <v>2</v>
      </c>
      <c r="T1178">
        <v>27</v>
      </c>
      <c r="U1178">
        <v>2</v>
      </c>
      <c r="V1178">
        <v>3</v>
      </c>
      <c r="W1178">
        <v>4</v>
      </c>
      <c r="X1178">
        <v>2</v>
      </c>
      <c r="Y1178">
        <v>1</v>
      </c>
      <c r="Z1178">
        <v>2</v>
      </c>
      <c r="AA1178">
        <v>0</v>
      </c>
      <c r="AB1178" s="1" t="s">
        <v>82</v>
      </c>
      <c r="AC1178" t="s">
        <v>56</v>
      </c>
      <c r="AD1178" t="s">
        <v>53</v>
      </c>
      <c r="AE1178" s="2">
        <v>4103.25</v>
      </c>
    </row>
    <row r="1179" spans="1:31" x14ac:dyDescent="0.35">
      <c r="A1179">
        <v>50</v>
      </c>
      <c r="B1179" s="1" t="s">
        <v>39</v>
      </c>
      <c r="C1179" s="1" t="s">
        <v>40</v>
      </c>
      <c r="D1179">
        <v>17</v>
      </c>
      <c r="E1179">
        <v>5</v>
      </c>
      <c r="F1179" s="1" t="s">
        <v>32</v>
      </c>
      <c r="G1179">
        <v>4</v>
      </c>
      <c r="H1179" s="1" t="s">
        <v>33</v>
      </c>
      <c r="I1179">
        <v>2</v>
      </c>
      <c r="J1179">
        <v>3</v>
      </c>
      <c r="K1179" s="1" t="s">
        <v>59</v>
      </c>
      <c r="L1179">
        <v>1</v>
      </c>
      <c r="M1179" s="1" t="s">
        <v>50</v>
      </c>
      <c r="N1179">
        <v>13269</v>
      </c>
      <c r="O1179">
        <v>5</v>
      </c>
      <c r="P1179" s="1" t="s">
        <v>39</v>
      </c>
      <c r="Q1179">
        <v>15</v>
      </c>
      <c r="R1179">
        <v>3</v>
      </c>
      <c r="S1179">
        <v>3</v>
      </c>
      <c r="T1179">
        <v>19</v>
      </c>
      <c r="U1179">
        <v>3</v>
      </c>
      <c r="V1179">
        <v>3</v>
      </c>
      <c r="W1179">
        <v>14</v>
      </c>
      <c r="X1179">
        <v>11</v>
      </c>
      <c r="Y1179">
        <v>1</v>
      </c>
      <c r="Z1179">
        <v>11</v>
      </c>
      <c r="AA1179">
        <v>0</v>
      </c>
      <c r="AB1179" s="1" t="s">
        <v>82</v>
      </c>
      <c r="AC1179" t="s">
        <v>56</v>
      </c>
      <c r="AD1179" t="s">
        <v>57</v>
      </c>
      <c r="AE1179" s="2">
        <v>947.78571428571433</v>
      </c>
    </row>
    <row r="1180" spans="1:31" x14ac:dyDescent="0.35">
      <c r="A1180">
        <v>20</v>
      </c>
      <c r="B1180" s="1" t="s">
        <v>39</v>
      </c>
      <c r="C1180" s="1" t="s">
        <v>31</v>
      </c>
      <c r="D1180">
        <v>2</v>
      </c>
      <c r="E1180">
        <v>3</v>
      </c>
      <c r="F1180" s="1" t="s">
        <v>49</v>
      </c>
      <c r="G1180">
        <v>3</v>
      </c>
      <c r="H1180" s="1" t="s">
        <v>33</v>
      </c>
      <c r="I1180">
        <v>3</v>
      </c>
      <c r="J1180">
        <v>1</v>
      </c>
      <c r="K1180" s="1" t="s">
        <v>58</v>
      </c>
      <c r="L1180">
        <v>3</v>
      </c>
      <c r="M1180" s="1" t="s">
        <v>35</v>
      </c>
      <c r="N1180">
        <v>2783</v>
      </c>
      <c r="O1180">
        <v>1</v>
      </c>
      <c r="P1180" s="1" t="s">
        <v>39</v>
      </c>
      <c r="Q1180">
        <v>19</v>
      </c>
      <c r="R1180">
        <v>1</v>
      </c>
      <c r="S1180">
        <v>0</v>
      </c>
      <c r="T1180">
        <v>2</v>
      </c>
      <c r="U1180">
        <v>3</v>
      </c>
      <c r="V1180">
        <v>3</v>
      </c>
      <c r="W1180">
        <v>2</v>
      </c>
      <c r="X1180">
        <v>2</v>
      </c>
      <c r="Y1180">
        <v>2</v>
      </c>
      <c r="Z1180">
        <v>2</v>
      </c>
      <c r="AA1180">
        <v>0</v>
      </c>
      <c r="AB1180" s="1" t="s">
        <v>54</v>
      </c>
      <c r="AC1180" t="s">
        <v>46</v>
      </c>
      <c r="AD1180" t="s">
        <v>47</v>
      </c>
      <c r="AE1180" s="2">
        <v>1391.5</v>
      </c>
    </row>
    <row r="1181" spans="1:31" x14ac:dyDescent="0.35">
      <c r="A1181">
        <v>34</v>
      </c>
      <c r="B1181" s="1" t="s">
        <v>39</v>
      </c>
      <c r="C1181" s="1" t="s">
        <v>40</v>
      </c>
      <c r="D1181">
        <v>3</v>
      </c>
      <c r="E1181">
        <v>3</v>
      </c>
      <c r="F1181" s="1" t="s">
        <v>32</v>
      </c>
      <c r="G1181">
        <v>4</v>
      </c>
      <c r="H1181" s="1" t="s">
        <v>33</v>
      </c>
      <c r="I1181">
        <v>3</v>
      </c>
      <c r="J1181">
        <v>2</v>
      </c>
      <c r="K1181" s="1" t="s">
        <v>42</v>
      </c>
      <c r="L1181">
        <v>2</v>
      </c>
      <c r="M1181" s="1" t="s">
        <v>50</v>
      </c>
      <c r="N1181">
        <v>5433</v>
      </c>
      <c r="O1181">
        <v>1</v>
      </c>
      <c r="P1181" s="1" t="s">
        <v>39</v>
      </c>
      <c r="Q1181">
        <v>12</v>
      </c>
      <c r="R1181">
        <v>3</v>
      </c>
      <c r="S1181">
        <v>1</v>
      </c>
      <c r="T1181">
        <v>11</v>
      </c>
      <c r="U1181">
        <v>2</v>
      </c>
      <c r="V1181">
        <v>3</v>
      </c>
      <c r="W1181">
        <v>11</v>
      </c>
      <c r="X1181">
        <v>8</v>
      </c>
      <c r="Y1181">
        <v>7</v>
      </c>
      <c r="Z1181">
        <v>9</v>
      </c>
      <c r="AA1181">
        <v>0</v>
      </c>
      <c r="AB1181" s="1" t="s">
        <v>48</v>
      </c>
      <c r="AC1181" t="s">
        <v>37</v>
      </c>
      <c r="AD1181" t="s">
        <v>57</v>
      </c>
      <c r="AE1181" s="2">
        <v>493.90909090909093</v>
      </c>
    </row>
    <row r="1182" spans="1:31" x14ac:dyDescent="0.35">
      <c r="A1182">
        <v>36</v>
      </c>
      <c r="B1182" s="1" t="s">
        <v>39</v>
      </c>
      <c r="C1182" s="1" t="s">
        <v>40</v>
      </c>
      <c r="D1182">
        <v>7</v>
      </c>
      <c r="E1182">
        <v>3</v>
      </c>
      <c r="F1182" s="1" t="s">
        <v>32</v>
      </c>
      <c r="G1182">
        <v>1</v>
      </c>
      <c r="H1182" s="1" t="s">
        <v>41</v>
      </c>
      <c r="I1182">
        <v>3</v>
      </c>
      <c r="J1182">
        <v>1</v>
      </c>
      <c r="K1182" s="1" t="s">
        <v>45</v>
      </c>
      <c r="L1182">
        <v>2</v>
      </c>
      <c r="M1182" s="1" t="s">
        <v>35</v>
      </c>
      <c r="N1182">
        <v>2013</v>
      </c>
      <c r="O1182">
        <v>2</v>
      </c>
      <c r="P1182" s="1" t="s">
        <v>39</v>
      </c>
      <c r="Q1182">
        <v>11</v>
      </c>
      <c r="R1182">
        <v>3</v>
      </c>
      <c r="S1182">
        <v>0</v>
      </c>
      <c r="T1182">
        <v>15</v>
      </c>
      <c r="U1182">
        <v>4</v>
      </c>
      <c r="V1182">
        <v>3</v>
      </c>
      <c r="W1182">
        <v>4</v>
      </c>
      <c r="X1182">
        <v>3</v>
      </c>
      <c r="Y1182">
        <v>1</v>
      </c>
      <c r="Z1182">
        <v>3</v>
      </c>
      <c r="AA1182">
        <v>0</v>
      </c>
      <c r="AB1182" s="1" t="s">
        <v>36</v>
      </c>
      <c r="AC1182" t="s">
        <v>46</v>
      </c>
      <c r="AD1182" t="s">
        <v>53</v>
      </c>
      <c r="AE1182" s="2">
        <v>503.25</v>
      </c>
    </row>
    <row r="1183" spans="1:31" x14ac:dyDescent="0.35">
      <c r="A1183">
        <v>49</v>
      </c>
      <c r="B1183" s="1" t="s">
        <v>39</v>
      </c>
      <c r="C1183" s="1" t="s">
        <v>40</v>
      </c>
      <c r="D1183">
        <v>6</v>
      </c>
      <c r="E1183">
        <v>1</v>
      </c>
      <c r="F1183" s="1" t="s">
        <v>32</v>
      </c>
      <c r="G1183">
        <v>3</v>
      </c>
      <c r="H1183" s="1" t="s">
        <v>33</v>
      </c>
      <c r="I1183">
        <v>2</v>
      </c>
      <c r="J1183">
        <v>4</v>
      </c>
      <c r="K1183" s="1" t="s">
        <v>52</v>
      </c>
      <c r="L1183">
        <v>3</v>
      </c>
      <c r="M1183" s="1" t="s">
        <v>43</v>
      </c>
      <c r="N1183">
        <v>13966</v>
      </c>
      <c r="O1183">
        <v>2</v>
      </c>
      <c r="P1183" s="1" t="s">
        <v>30</v>
      </c>
      <c r="Q1183">
        <v>19</v>
      </c>
      <c r="R1183">
        <v>2</v>
      </c>
      <c r="S1183">
        <v>1</v>
      </c>
      <c r="T1183">
        <v>30</v>
      </c>
      <c r="U1183">
        <v>3</v>
      </c>
      <c r="V1183">
        <v>3</v>
      </c>
      <c r="W1183">
        <v>15</v>
      </c>
      <c r="X1183">
        <v>11</v>
      </c>
      <c r="Y1183">
        <v>2</v>
      </c>
      <c r="Z1183">
        <v>12</v>
      </c>
      <c r="AA1183">
        <v>0</v>
      </c>
      <c r="AB1183" s="1" t="s">
        <v>82</v>
      </c>
      <c r="AC1183" t="s">
        <v>56</v>
      </c>
      <c r="AD1183" t="s">
        <v>57</v>
      </c>
      <c r="AE1183" s="2">
        <v>931.06666666666672</v>
      </c>
    </row>
    <row r="1184" spans="1:31" x14ac:dyDescent="0.35">
      <c r="A1184">
        <v>36</v>
      </c>
      <c r="B1184" s="1" t="s">
        <v>39</v>
      </c>
      <c r="C1184" s="1" t="s">
        <v>40</v>
      </c>
      <c r="D1184">
        <v>1</v>
      </c>
      <c r="E1184">
        <v>4</v>
      </c>
      <c r="F1184" s="1" t="s">
        <v>49</v>
      </c>
      <c r="G1184">
        <v>4</v>
      </c>
      <c r="H1184" s="1" t="s">
        <v>33</v>
      </c>
      <c r="I1184">
        <v>2</v>
      </c>
      <c r="J1184">
        <v>2</v>
      </c>
      <c r="K1184" s="1" t="s">
        <v>51</v>
      </c>
      <c r="L1184">
        <v>3</v>
      </c>
      <c r="M1184" s="1" t="s">
        <v>43</v>
      </c>
      <c r="N1184">
        <v>4374</v>
      </c>
      <c r="O1184">
        <v>0</v>
      </c>
      <c r="P1184" s="1" t="s">
        <v>39</v>
      </c>
      <c r="Q1184">
        <v>15</v>
      </c>
      <c r="R1184">
        <v>3</v>
      </c>
      <c r="S1184">
        <v>0</v>
      </c>
      <c r="T1184">
        <v>4</v>
      </c>
      <c r="U1184">
        <v>6</v>
      </c>
      <c r="V1184">
        <v>3</v>
      </c>
      <c r="W1184">
        <v>3</v>
      </c>
      <c r="X1184">
        <v>2</v>
      </c>
      <c r="Y1184">
        <v>1</v>
      </c>
      <c r="Z1184">
        <v>2</v>
      </c>
      <c r="AA1184">
        <v>0</v>
      </c>
      <c r="AB1184" s="1" t="s">
        <v>36</v>
      </c>
      <c r="AC1184" t="s">
        <v>37</v>
      </c>
      <c r="AD1184" t="s">
        <v>53</v>
      </c>
      <c r="AE1184" s="2">
        <v>1458</v>
      </c>
    </row>
    <row r="1185" spans="1:31" x14ac:dyDescent="0.35">
      <c r="A1185">
        <v>36</v>
      </c>
      <c r="B1185" s="1" t="s">
        <v>39</v>
      </c>
      <c r="C1185" s="1" t="s">
        <v>40</v>
      </c>
      <c r="D1185">
        <v>3</v>
      </c>
      <c r="E1185">
        <v>2</v>
      </c>
      <c r="F1185" s="1" t="s">
        <v>32</v>
      </c>
      <c r="G1185">
        <v>4</v>
      </c>
      <c r="H1185" s="1" t="s">
        <v>41</v>
      </c>
      <c r="I1185">
        <v>4</v>
      </c>
      <c r="J1185">
        <v>2</v>
      </c>
      <c r="K1185" s="1" t="s">
        <v>52</v>
      </c>
      <c r="L1185">
        <v>1</v>
      </c>
      <c r="M1185" s="1" t="s">
        <v>50</v>
      </c>
      <c r="N1185">
        <v>6842</v>
      </c>
      <c r="O1185">
        <v>6</v>
      </c>
      <c r="P1185" s="1" t="s">
        <v>39</v>
      </c>
      <c r="Q1185">
        <v>20</v>
      </c>
      <c r="R1185">
        <v>1</v>
      </c>
      <c r="S1185">
        <v>1</v>
      </c>
      <c r="T1185">
        <v>13</v>
      </c>
      <c r="U1185">
        <v>3</v>
      </c>
      <c r="V1185">
        <v>3</v>
      </c>
      <c r="W1185">
        <v>5</v>
      </c>
      <c r="X1185">
        <v>4</v>
      </c>
      <c r="Y1185">
        <v>0</v>
      </c>
      <c r="Z1185">
        <v>4</v>
      </c>
      <c r="AA1185">
        <v>0</v>
      </c>
      <c r="AB1185" s="1" t="s">
        <v>36</v>
      </c>
      <c r="AC1185" t="s">
        <v>37</v>
      </c>
      <c r="AD1185" t="s">
        <v>53</v>
      </c>
      <c r="AE1185" s="2">
        <v>1368.4</v>
      </c>
    </row>
    <row r="1186" spans="1:31" x14ac:dyDescent="0.35">
      <c r="A1186">
        <v>54</v>
      </c>
      <c r="B1186" s="1" t="s">
        <v>39</v>
      </c>
      <c r="C1186" s="1" t="s">
        <v>40</v>
      </c>
      <c r="D1186">
        <v>22</v>
      </c>
      <c r="E1186">
        <v>5</v>
      </c>
      <c r="F1186" s="1" t="s">
        <v>49</v>
      </c>
      <c r="G1186">
        <v>2</v>
      </c>
      <c r="H1186" s="1" t="s">
        <v>33</v>
      </c>
      <c r="I1186">
        <v>3</v>
      </c>
      <c r="J1186">
        <v>4</v>
      </c>
      <c r="K1186" s="1" t="s">
        <v>55</v>
      </c>
      <c r="L1186">
        <v>3</v>
      </c>
      <c r="M1186" s="1" t="s">
        <v>43</v>
      </c>
      <c r="N1186">
        <v>17426</v>
      </c>
      <c r="O1186">
        <v>3</v>
      </c>
      <c r="P1186" s="1" t="s">
        <v>39</v>
      </c>
      <c r="Q1186">
        <v>25</v>
      </c>
      <c r="R1186">
        <v>3</v>
      </c>
      <c r="S1186">
        <v>1</v>
      </c>
      <c r="T1186">
        <v>36</v>
      </c>
      <c r="U1186">
        <v>6</v>
      </c>
      <c r="V1186">
        <v>3</v>
      </c>
      <c r="W1186">
        <v>10</v>
      </c>
      <c r="X1186">
        <v>8</v>
      </c>
      <c r="Y1186">
        <v>4</v>
      </c>
      <c r="Z1186">
        <v>7</v>
      </c>
      <c r="AA1186">
        <v>0</v>
      </c>
      <c r="AB1186" s="1" t="s">
        <v>82</v>
      </c>
      <c r="AC1186" t="s">
        <v>56</v>
      </c>
      <c r="AD1186" t="s">
        <v>38</v>
      </c>
      <c r="AE1186" s="2">
        <v>1742.6</v>
      </c>
    </row>
    <row r="1187" spans="1:31" x14ac:dyDescent="0.35">
      <c r="A1187">
        <v>43</v>
      </c>
      <c r="B1187" s="1" t="s">
        <v>39</v>
      </c>
      <c r="C1187" s="1" t="s">
        <v>40</v>
      </c>
      <c r="D1187">
        <v>15</v>
      </c>
      <c r="E1187">
        <v>2</v>
      </c>
      <c r="F1187" s="1" t="s">
        <v>32</v>
      </c>
      <c r="G1187">
        <v>3</v>
      </c>
      <c r="H1187" s="1" t="s">
        <v>41</v>
      </c>
      <c r="I1187">
        <v>2</v>
      </c>
      <c r="J1187">
        <v>4</v>
      </c>
      <c r="K1187" s="1" t="s">
        <v>59</v>
      </c>
      <c r="L1187">
        <v>3</v>
      </c>
      <c r="M1187" s="1" t="s">
        <v>43</v>
      </c>
      <c r="N1187">
        <v>17603</v>
      </c>
      <c r="O1187">
        <v>1</v>
      </c>
      <c r="P1187" s="1" t="s">
        <v>39</v>
      </c>
      <c r="Q1187">
        <v>24</v>
      </c>
      <c r="R1187">
        <v>1</v>
      </c>
      <c r="S1187">
        <v>1</v>
      </c>
      <c r="T1187">
        <v>14</v>
      </c>
      <c r="U1187">
        <v>3</v>
      </c>
      <c r="V1187">
        <v>3</v>
      </c>
      <c r="W1187">
        <v>14</v>
      </c>
      <c r="X1187">
        <v>10</v>
      </c>
      <c r="Y1187">
        <v>6</v>
      </c>
      <c r="Z1187">
        <v>11</v>
      </c>
      <c r="AA1187">
        <v>0</v>
      </c>
      <c r="AB1187" s="1" t="s">
        <v>36</v>
      </c>
      <c r="AC1187" t="s">
        <v>56</v>
      </c>
      <c r="AD1187" t="s">
        <v>57</v>
      </c>
      <c r="AE1187" s="2">
        <v>1257.3571428571429</v>
      </c>
    </row>
    <row r="1188" spans="1:31" x14ac:dyDescent="0.35">
      <c r="A1188">
        <v>35</v>
      </c>
      <c r="B1188" s="1" t="s">
        <v>30</v>
      </c>
      <c r="C1188" s="1" t="s">
        <v>31</v>
      </c>
      <c r="D1188">
        <v>12</v>
      </c>
      <c r="E1188">
        <v>4</v>
      </c>
      <c r="F1188" s="1" t="s">
        <v>44</v>
      </c>
      <c r="G1188">
        <v>4</v>
      </c>
      <c r="H1188" s="1" t="s">
        <v>41</v>
      </c>
      <c r="I1188">
        <v>3</v>
      </c>
      <c r="J1188">
        <v>2</v>
      </c>
      <c r="K1188" s="1" t="s">
        <v>34</v>
      </c>
      <c r="L1188">
        <v>4</v>
      </c>
      <c r="M1188" s="1" t="s">
        <v>35</v>
      </c>
      <c r="N1188">
        <v>4581</v>
      </c>
      <c r="O1188">
        <v>3</v>
      </c>
      <c r="P1188" s="1" t="s">
        <v>30</v>
      </c>
      <c r="Q1188">
        <v>24</v>
      </c>
      <c r="R1188">
        <v>1</v>
      </c>
      <c r="S1188">
        <v>0</v>
      </c>
      <c r="T1188">
        <v>13</v>
      </c>
      <c r="U1188">
        <v>2</v>
      </c>
      <c r="V1188">
        <v>4</v>
      </c>
      <c r="W1188">
        <v>11</v>
      </c>
      <c r="X1188">
        <v>9</v>
      </c>
      <c r="Y1188">
        <v>6</v>
      </c>
      <c r="Z1188">
        <v>7</v>
      </c>
      <c r="AA1188">
        <v>1</v>
      </c>
      <c r="AB1188" s="1" t="s">
        <v>48</v>
      </c>
      <c r="AC1188" t="s">
        <v>37</v>
      </c>
      <c r="AD1188" t="s">
        <v>57</v>
      </c>
      <c r="AE1188" s="2">
        <v>416.45454545454544</v>
      </c>
    </row>
    <row r="1189" spans="1:31" x14ac:dyDescent="0.35">
      <c r="A1189">
        <v>38</v>
      </c>
      <c r="B1189" s="1" t="s">
        <v>39</v>
      </c>
      <c r="C1189" s="1" t="s">
        <v>40</v>
      </c>
      <c r="D1189">
        <v>1</v>
      </c>
      <c r="E1189">
        <v>3</v>
      </c>
      <c r="F1189" s="1" t="s">
        <v>32</v>
      </c>
      <c r="G1189">
        <v>4</v>
      </c>
      <c r="H1189" s="1" t="s">
        <v>41</v>
      </c>
      <c r="I1189">
        <v>3</v>
      </c>
      <c r="J1189">
        <v>2</v>
      </c>
      <c r="K1189" s="1" t="s">
        <v>42</v>
      </c>
      <c r="L1189">
        <v>4</v>
      </c>
      <c r="M1189" s="1" t="s">
        <v>43</v>
      </c>
      <c r="N1189">
        <v>4735</v>
      </c>
      <c r="O1189">
        <v>7</v>
      </c>
      <c r="P1189" s="1" t="s">
        <v>39</v>
      </c>
      <c r="Q1189">
        <v>15</v>
      </c>
      <c r="R1189">
        <v>4</v>
      </c>
      <c r="S1189">
        <v>2</v>
      </c>
      <c r="T1189">
        <v>19</v>
      </c>
      <c r="U1189">
        <v>4</v>
      </c>
      <c r="V1189">
        <v>4</v>
      </c>
      <c r="W1189">
        <v>13</v>
      </c>
      <c r="X1189">
        <v>11</v>
      </c>
      <c r="Y1189">
        <v>2</v>
      </c>
      <c r="Z1189">
        <v>9</v>
      </c>
      <c r="AA1189">
        <v>0</v>
      </c>
      <c r="AB1189" s="1" t="s">
        <v>36</v>
      </c>
      <c r="AC1189" t="s">
        <v>37</v>
      </c>
      <c r="AD1189" t="s">
        <v>57</v>
      </c>
      <c r="AE1189" s="2">
        <v>364.23076923076923</v>
      </c>
    </row>
    <row r="1190" spans="1:31" x14ac:dyDescent="0.35">
      <c r="A1190">
        <v>29</v>
      </c>
      <c r="B1190" s="1" t="s">
        <v>39</v>
      </c>
      <c r="C1190" s="1" t="s">
        <v>31</v>
      </c>
      <c r="D1190">
        <v>5</v>
      </c>
      <c r="E1190">
        <v>3</v>
      </c>
      <c r="F1190" s="1" t="s">
        <v>49</v>
      </c>
      <c r="G1190">
        <v>1</v>
      </c>
      <c r="H1190" s="1" t="s">
        <v>41</v>
      </c>
      <c r="I1190">
        <v>2</v>
      </c>
      <c r="J1190">
        <v>2</v>
      </c>
      <c r="K1190" s="1" t="s">
        <v>34</v>
      </c>
      <c r="L1190">
        <v>2</v>
      </c>
      <c r="M1190" s="1" t="s">
        <v>50</v>
      </c>
      <c r="N1190">
        <v>4187</v>
      </c>
      <c r="O1190">
        <v>1</v>
      </c>
      <c r="P1190" s="1" t="s">
        <v>30</v>
      </c>
      <c r="Q1190">
        <v>13</v>
      </c>
      <c r="R1190">
        <v>2</v>
      </c>
      <c r="S1190">
        <v>1</v>
      </c>
      <c r="T1190">
        <v>10</v>
      </c>
      <c r="U1190">
        <v>3</v>
      </c>
      <c r="V1190">
        <v>2</v>
      </c>
      <c r="W1190">
        <v>10</v>
      </c>
      <c r="X1190">
        <v>0</v>
      </c>
      <c r="Y1190">
        <v>0</v>
      </c>
      <c r="Z1190">
        <v>9</v>
      </c>
      <c r="AA1190">
        <v>0</v>
      </c>
      <c r="AB1190" s="1" t="s">
        <v>48</v>
      </c>
      <c r="AC1190" t="s">
        <v>37</v>
      </c>
      <c r="AD1190" t="s">
        <v>38</v>
      </c>
      <c r="AE1190" s="2">
        <v>418.7</v>
      </c>
    </row>
    <row r="1191" spans="1:31" x14ac:dyDescent="0.35">
      <c r="A1191">
        <v>33</v>
      </c>
      <c r="B1191" s="1" t="s">
        <v>39</v>
      </c>
      <c r="C1191" s="1" t="s">
        <v>31</v>
      </c>
      <c r="D1191">
        <v>2</v>
      </c>
      <c r="E1191">
        <v>4</v>
      </c>
      <c r="F1191" s="1" t="s">
        <v>49</v>
      </c>
      <c r="G1191">
        <v>4</v>
      </c>
      <c r="H1191" s="1" t="s">
        <v>41</v>
      </c>
      <c r="I1191">
        <v>3</v>
      </c>
      <c r="J1191">
        <v>2</v>
      </c>
      <c r="K1191" s="1" t="s">
        <v>34</v>
      </c>
      <c r="L1191">
        <v>4</v>
      </c>
      <c r="M1191" s="1" t="s">
        <v>50</v>
      </c>
      <c r="N1191">
        <v>5505</v>
      </c>
      <c r="O1191">
        <v>1</v>
      </c>
      <c r="P1191" s="1" t="s">
        <v>39</v>
      </c>
      <c r="Q1191">
        <v>14</v>
      </c>
      <c r="R1191">
        <v>3</v>
      </c>
      <c r="S1191">
        <v>2</v>
      </c>
      <c r="T1191">
        <v>6</v>
      </c>
      <c r="U1191">
        <v>5</v>
      </c>
      <c r="V1191">
        <v>3</v>
      </c>
      <c r="W1191">
        <v>6</v>
      </c>
      <c r="X1191">
        <v>2</v>
      </c>
      <c r="Y1191">
        <v>0</v>
      </c>
      <c r="Z1191">
        <v>4</v>
      </c>
      <c r="AA1191">
        <v>0</v>
      </c>
      <c r="AB1191" s="1" t="s">
        <v>48</v>
      </c>
      <c r="AC1191" t="s">
        <v>37</v>
      </c>
      <c r="AD1191" t="s">
        <v>38</v>
      </c>
      <c r="AE1191" s="2">
        <v>917.5</v>
      </c>
    </row>
    <row r="1192" spans="1:31" x14ac:dyDescent="0.35">
      <c r="A1192">
        <v>32</v>
      </c>
      <c r="B1192" s="1" t="s">
        <v>39</v>
      </c>
      <c r="C1192" s="1" t="s">
        <v>40</v>
      </c>
      <c r="D1192">
        <v>2</v>
      </c>
      <c r="E1192">
        <v>3</v>
      </c>
      <c r="F1192" s="1" t="s">
        <v>49</v>
      </c>
      <c r="G1192">
        <v>4</v>
      </c>
      <c r="H1192" s="1" t="s">
        <v>41</v>
      </c>
      <c r="I1192">
        <v>3</v>
      </c>
      <c r="J1192">
        <v>2</v>
      </c>
      <c r="K1192" s="1" t="s">
        <v>42</v>
      </c>
      <c r="L1192">
        <v>2</v>
      </c>
      <c r="M1192" s="1" t="s">
        <v>50</v>
      </c>
      <c r="N1192">
        <v>5470</v>
      </c>
      <c r="O1192">
        <v>0</v>
      </c>
      <c r="P1192" s="1" t="s">
        <v>39</v>
      </c>
      <c r="Q1192">
        <v>13</v>
      </c>
      <c r="R1192">
        <v>3</v>
      </c>
      <c r="S1192">
        <v>2</v>
      </c>
      <c r="T1192">
        <v>10</v>
      </c>
      <c r="U1192">
        <v>4</v>
      </c>
      <c r="V1192">
        <v>2</v>
      </c>
      <c r="W1192">
        <v>9</v>
      </c>
      <c r="X1192">
        <v>5</v>
      </c>
      <c r="Y1192">
        <v>1</v>
      </c>
      <c r="Z1192">
        <v>6</v>
      </c>
      <c r="AA1192">
        <v>0</v>
      </c>
      <c r="AB1192" s="1" t="s">
        <v>48</v>
      </c>
      <c r="AC1192" t="s">
        <v>37</v>
      </c>
      <c r="AD1192" t="s">
        <v>38</v>
      </c>
      <c r="AE1192" s="2">
        <v>607.77777777777783</v>
      </c>
    </row>
    <row r="1193" spans="1:31" x14ac:dyDescent="0.35">
      <c r="A1193">
        <v>31</v>
      </c>
      <c r="B1193" s="1" t="s">
        <v>39</v>
      </c>
      <c r="C1193" s="1" t="s">
        <v>31</v>
      </c>
      <c r="D1193">
        <v>5</v>
      </c>
      <c r="E1193">
        <v>4</v>
      </c>
      <c r="F1193" s="1" t="s">
        <v>32</v>
      </c>
      <c r="G1193">
        <v>1</v>
      </c>
      <c r="H1193" s="1" t="s">
        <v>33</v>
      </c>
      <c r="I1193">
        <v>3</v>
      </c>
      <c r="J1193">
        <v>2</v>
      </c>
      <c r="K1193" s="1" t="s">
        <v>34</v>
      </c>
      <c r="L1193">
        <v>4</v>
      </c>
      <c r="M1193" s="1" t="s">
        <v>43</v>
      </c>
      <c r="N1193">
        <v>5476</v>
      </c>
      <c r="O1193">
        <v>1</v>
      </c>
      <c r="P1193" s="1" t="s">
        <v>39</v>
      </c>
      <c r="Q1193">
        <v>11</v>
      </c>
      <c r="R1193">
        <v>1</v>
      </c>
      <c r="S1193">
        <v>2</v>
      </c>
      <c r="T1193">
        <v>10</v>
      </c>
      <c r="U1193">
        <v>2</v>
      </c>
      <c r="V1193">
        <v>3</v>
      </c>
      <c r="W1193">
        <v>10</v>
      </c>
      <c r="X1193">
        <v>0</v>
      </c>
      <c r="Y1193">
        <v>0</v>
      </c>
      <c r="Z1193">
        <v>2</v>
      </c>
      <c r="AA1193">
        <v>0</v>
      </c>
      <c r="AB1193" s="1" t="s">
        <v>48</v>
      </c>
      <c r="AC1193" t="s">
        <v>37</v>
      </c>
      <c r="AD1193" t="s">
        <v>38</v>
      </c>
      <c r="AE1193" s="2">
        <v>547.6</v>
      </c>
    </row>
    <row r="1194" spans="1:31" x14ac:dyDescent="0.35">
      <c r="A1194">
        <v>49</v>
      </c>
      <c r="B1194" s="1" t="s">
        <v>39</v>
      </c>
      <c r="C1194" s="1" t="s">
        <v>40</v>
      </c>
      <c r="D1194">
        <v>16</v>
      </c>
      <c r="E1194">
        <v>3</v>
      </c>
      <c r="F1194" s="1" t="s">
        <v>49</v>
      </c>
      <c r="G1194">
        <v>4</v>
      </c>
      <c r="H1194" s="1" t="s">
        <v>33</v>
      </c>
      <c r="I1194">
        <v>3</v>
      </c>
      <c r="J1194">
        <v>1</v>
      </c>
      <c r="K1194" s="1" t="s">
        <v>45</v>
      </c>
      <c r="L1194">
        <v>1</v>
      </c>
      <c r="M1194" s="1" t="s">
        <v>50</v>
      </c>
      <c r="N1194">
        <v>2587</v>
      </c>
      <c r="O1194">
        <v>4</v>
      </c>
      <c r="P1194" s="1" t="s">
        <v>30</v>
      </c>
      <c r="Q1194">
        <v>16</v>
      </c>
      <c r="R1194">
        <v>2</v>
      </c>
      <c r="S1194">
        <v>1</v>
      </c>
      <c r="T1194">
        <v>17</v>
      </c>
      <c r="U1194">
        <v>2</v>
      </c>
      <c r="V1194">
        <v>2</v>
      </c>
      <c r="W1194">
        <v>2</v>
      </c>
      <c r="X1194">
        <v>2</v>
      </c>
      <c r="Y1194">
        <v>2</v>
      </c>
      <c r="Z1194">
        <v>2</v>
      </c>
      <c r="AA1194">
        <v>0</v>
      </c>
      <c r="AB1194" s="1" t="s">
        <v>82</v>
      </c>
      <c r="AC1194" t="s">
        <v>46</v>
      </c>
      <c r="AD1194" t="s">
        <v>47</v>
      </c>
      <c r="AE1194" s="2">
        <v>1293.5</v>
      </c>
    </row>
    <row r="1195" spans="1:31" x14ac:dyDescent="0.35">
      <c r="A1195">
        <v>38</v>
      </c>
      <c r="B1195" s="1" t="s">
        <v>39</v>
      </c>
      <c r="C1195" s="1" t="s">
        <v>40</v>
      </c>
      <c r="D1195">
        <v>2</v>
      </c>
      <c r="E1195">
        <v>3</v>
      </c>
      <c r="F1195" s="1" t="s">
        <v>49</v>
      </c>
      <c r="G1195">
        <v>4</v>
      </c>
      <c r="H1195" s="1" t="s">
        <v>33</v>
      </c>
      <c r="I1195">
        <v>2</v>
      </c>
      <c r="J1195">
        <v>1</v>
      </c>
      <c r="K1195" s="1" t="s">
        <v>45</v>
      </c>
      <c r="L1195">
        <v>2</v>
      </c>
      <c r="M1195" s="1" t="s">
        <v>35</v>
      </c>
      <c r="N1195">
        <v>2440</v>
      </c>
      <c r="O1195">
        <v>1</v>
      </c>
      <c r="P1195" s="1" t="s">
        <v>39</v>
      </c>
      <c r="Q1195">
        <v>22</v>
      </c>
      <c r="R1195">
        <v>2</v>
      </c>
      <c r="S1195">
        <v>0</v>
      </c>
      <c r="T1195">
        <v>4</v>
      </c>
      <c r="U1195">
        <v>3</v>
      </c>
      <c r="V1195">
        <v>3</v>
      </c>
      <c r="W1195">
        <v>4</v>
      </c>
      <c r="X1195">
        <v>3</v>
      </c>
      <c r="Y1195">
        <v>3</v>
      </c>
      <c r="Z1195">
        <v>3</v>
      </c>
      <c r="AA1195">
        <v>0</v>
      </c>
      <c r="AB1195" s="1" t="s">
        <v>36</v>
      </c>
      <c r="AC1195" t="s">
        <v>46</v>
      </c>
      <c r="AD1195" t="s">
        <v>53</v>
      </c>
      <c r="AE1195" s="2">
        <v>610</v>
      </c>
    </row>
    <row r="1196" spans="1:31" x14ac:dyDescent="0.35">
      <c r="A1196">
        <v>47</v>
      </c>
      <c r="B1196" s="1" t="s">
        <v>39</v>
      </c>
      <c r="C1196" s="1" t="s">
        <v>31</v>
      </c>
      <c r="D1196">
        <v>2</v>
      </c>
      <c r="E1196">
        <v>4</v>
      </c>
      <c r="F1196" s="1" t="s">
        <v>32</v>
      </c>
      <c r="G1196">
        <v>2</v>
      </c>
      <c r="H1196" s="1" t="s">
        <v>33</v>
      </c>
      <c r="I1196">
        <v>4</v>
      </c>
      <c r="J1196">
        <v>4</v>
      </c>
      <c r="K1196" s="1" t="s">
        <v>55</v>
      </c>
      <c r="L1196">
        <v>2</v>
      </c>
      <c r="M1196" s="1" t="s">
        <v>50</v>
      </c>
      <c r="N1196">
        <v>15972</v>
      </c>
      <c r="O1196">
        <v>6</v>
      </c>
      <c r="P1196" s="1" t="s">
        <v>39</v>
      </c>
      <c r="Q1196">
        <v>14</v>
      </c>
      <c r="R1196">
        <v>3</v>
      </c>
      <c r="S1196">
        <v>3</v>
      </c>
      <c r="T1196">
        <v>29</v>
      </c>
      <c r="U1196">
        <v>2</v>
      </c>
      <c r="V1196">
        <v>3</v>
      </c>
      <c r="W1196">
        <v>3</v>
      </c>
      <c r="X1196">
        <v>2</v>
      </c>
      <c r="Y1196">
        <v>1</v>
      </c>
      <c r="Z1196">
        <v>2</v>
      </c>
      <c r="AA1196">
        <v>0</v>
      </c>
      <c r="AB1196" s="1" t="s">
        <v>82</v>
      </c>
      <c r="AC1196" t="s">
        <v>56</v>
      </c>
      <c r="AD1196" t="s">
        <v>53</v>
      </c>
      <c r="AE1196" s="2">
        <v>5324</v>
      </c>
    </row>
    <row r="1197" spans="1:31" x14ac:dyDescent="0.35">
      <c r="A1197">
        <v>49</v>
      </c>
      <c r="B1197" s="1" t="s">
        <v>39</v>
      </c>
      <c r="C1197" s="1" t="s">
        <v>40</v>
      </c>
      <c r="D1197">
        <v>1</v>
      </c>
      <c r="E1197">
        <v>3</v>
      </c>
      <c r="F1197" s="1" t="s">
        <v>32</v>
      </c>
      <c r="G1197">
        <v>3</v>
      </c>
      <c r="H1197" s="1" t="s">
        <v>41</v>
      </c>
      <c r="I1197">
        <v>3</v>
      </c>
      <c r="J1197">
        <v>4</v>
      </c>
      <c r="K1197" s="1" t="s">
        <v>55</v>
      </c>
      <c r="L1197">
        <v>3</v>
      </c>
      <c r="M1197" s="1" t="s">
        <v>35</v>
      </c>
      <c r="N1197">
        <v>15379</v>
      </c>
      <c r="O1197">
        <v>4</v>
      </c>
      <c r="P1197" s="1" t="s">
        <v>39</v>
      </c>
      <c r="Q1197">
        <v>14</v>
      </c>
      <c r="R1197">
        <v>1</v>
      </c>
      <c r="S1197">
        <v>0</v>
      </c>
      <c r="T1197">
        <v>23</v>
      </c>
      <c r="U1197">
        <v>2</v>
      </c>
      <c r="V1197">
        <v>3</v>
      </c>
      <c r="W1197">
        <v>8</v>
      </c>
      <c r="X1197">
        <v>7</v>
      </c>
      <c r="Y1197">
        <v>0</v>
      </c>
      <c r="Z1197">
        <v>0</v>
      </c>
      <c r="AA1197">
        <v>0</v>
      </c>
      <c r="AB1197" s="1" t="s">
        <v>82</v>
      </c>
      <c r="AC1197" t="s">
        <v>56</v>
      </c>
      <c r="AD1197" t="s">
        <v>38</v>
      </c>
      <c r="AE1197" s="2">
        <v>1922.375</v>
      </c>
    </row>
    <row r="1198" spans="1:31" x14ac:dyDescent="0.35">
      <c r="A1198">
        <v>41</v>
      </c>
      <c r="B1198" s="1" t="s">
        <v>39</v>
      </c>
      <c r="C1198" s="1" t="s">
        <v>31</v>
      </c>
      <c r="D1198">
        <v>23</v>
      </c>
      <c r="E1198">
        <v>2</v>
      </c>
      <c r="F1198" s="1" t="s">
        <v>32</v>
      </c>
      <c r="G1198">
        <v>4</v>
      </c>
      <c r="H1198" s="1" t="s">
        <v>41</v>
      </c>
      <c r="I1198">
        <v>3</v>
      </c>
      <c r="J1198">
        <v>3</v>
      </c>
      <c r="K1198" s="1" t="s">
        <v>34</v>
      </c>
      <c r="L1198">
        <v>3</v>
      </c>
      <c r="M1198" s="1" t="s">
        <v>35</v>
      </c>
      <c r="N1198">
        <v>7082</v>
      </c>
      <c r="O1198">
        <v>3</v>
      </c>
      <c r="P1198" s="1" t="s">
        <v>30</v>
      </c>
      <c r="Q1198">
        <v>16</v>
      </c>
      <c r="R1198">
        <v>4</v>
      </c>
      <c r="S1198">
        <v>0</v>
      </c>
      <c r="T1198">
        <v>21</v>
      </c>
      <c r="U1198">
        <v>2</v>
      </c>
      <c r="V1198">
        <v>3</v>
      </c>
      <c r="W1198">
        <v>2</v>
      </c>
      <c r="X1198">
        <v>0</v>
      </c>
      <c r="Y1198">
        <v>0</v>
      </c>
      <c r="Z1198">
        <v>2</v>
      </c>
      <c r="AA1198">
        <v>0</v>
      </c>
      <c r="AB1198" s="1" t="s">
        <v>36</v>
      </c>
      <c r="AC1198" t="s">
        <v>37</v>
      </c>
      <c r="AD1198" t="s">
        <v>47</v>
      </c>
      <c r="AE1198" s="2">
        <v>3541</v>
      </c>
    </row>
    <row r="1199" spans="1:31" x14ac:dyDescent="0.35">
      <c r="A1199">
        <v>20</v>
      </c>
      <c r="B1199" s="1" t="s">
        <v>39</v>
      </c>
      <c r="C1199" s="1" t="s">
        <v>31</v>
      </c>
      <c r="D1199">
        <v>9</v>
      </c>
      <c r="E1199">
        <v>1</v>
      </c>
      <c r="F1199" s="1" t="s">
        <v>32</v>
      </c>
      <c r="G1199">
        <v>4</v>
      </c>
      <c r="H1199" s="1" t="s">
        <v>41</v>
      </c>
      <c r="I1199">
        <v>3</v>
      </c>
      <c r="J1199">
        <v>1</v>
      </c>
      <c r="K1199" s="1" t="s">
        <v>58</v>
      </c>
      <c r="L1199">
        <v>1</v>
      </c>
      <c r="M1199" s="1" t="s">
        <v>35</v>
      </c>
      <c r="N1199">
        <v>2728</v>
      </c>
      <c r="O1199">
        <v>1</v>
      </c>
      <c r="P1199" s="1" t="s">
        <v>39</v>
      </c>
      <c r="Q1199">
        <v>11</v>
      </c>
      <c r="R1199">
        <v>1</v>
      </c>
      <c r="S1199">
        <v>0</v>
      </c>
      <c r="T1199">
        <v>2</v>
      </c>
      <c r="U1199">
        <v>3</v>
      </c>
      <c r="V1199">
        <v>3</v>
      </c>
      <c r="W1199">
        <v>2</v>
      </c>
      <c r="X1199">
        <v>2</v>
      </c>
      <c r="Y1199">
        <v>0</v>
      </c>
      <c r="Z1199">
        <v>2</v>
      </c>
      <c r="AA1199">
        <v>0</v>
      </c>
      <c r="AB1199" s="1" t="s">
        <v>54</v>
      </c>
      <c r="AC1199" t="s">
        <v>46</v>
      </c>
      <c r="AD1199" t="s">
        <v>47</v>
      </c>
      <c r="AE1199" s="2">
        <v>1364</v>
      </c>
    </row>
    <row r="1200" spans="1:31" x14ac:dyDescent="0.35">
      <c r="A1200">
        <v>33</v>
      </c>
      <c r="B1200" s="1" t="s">
        <v>39</v>
      </c>
      <c r="C1200" s="1" t="s">
        <v>31</v>
      </c>
      <c r="D1200">
        <v>16</v>
      </c>
      <c r="E1200">
        <v>3</v>
      </c>
      <c r="F1200" s="1" t="s">
        <v>32</v>
      </c>
      <c r="G1200">
        <v>3</v>
      </c>
      <c r="H1200" s="1" t="s">
        <v>33</v>
      </c>
      <c r="I1200">
        <v>3</v>
      </c>
      <c r="J1200">
        <v>2</v>
      </c>
      <c r="K1200" s="1" t="s">
        <v>34</v>
      </c>
      <c r="L1200">
        <v>4</v>
      </c>
      <c r="M1200" s="1" t="s">
        <v>50</v>
      </c>
      <c r="N1200">
        <v>5368</v>
      </c>
      <c r="O1200">
        <v>1</v>
      </c>
      <c r="P1200" s="1" t="s">
        <v>30</v>
      </c>
      <c r="Q1200">
        <v>25</v>
      </c>
      <c r="R1200">
        <v>3</v>
      </c>
      <c r="S1200">
        <v>1</v>
      </c>
      <c r="T1200">
        <v>7</v>
      </c>
      <c r="U1200">
        <v>2</v>
      </c>
      <c r="V1200">
        <v>3</v>
      </c>
      <c r="W1200">
        <v>6</v>
      </c>
      <c r="X1200">
        <v>5</v>
      </c>
      <c r="Y1200">
        <v>1</v>
      </c>
      <c r="Z1200">
        <v>2</v>
      </c>
      <c r="AA1200">
        <v>0</v>
      </c>
      <c r="AB1200" s="1" t="s">
        <v>48</v>
      </c>
      <c r="AC1200" t="s">
        <v>37</v>
      </c>
      <c r="AD1200" t="s">
        <v>38</v>
      </c>
      <c r="AE1200" s="2">
        <v>894.66666666666663</v>
      </c>
    </row>
    <row r="1201" spans="1:31" x14ac:dyDescent="0.35">
      <c r="A1201">
        <v>36</v>
      </c>
      <c r="B1201" s="1" t="s">
        <v>39</v>
      </c>
      <c r="C1201" s="1" t="s">
        <v>40</v>
      </c>
      <c r="D1201">
        <v>26</v>
      </c>
      <c r="E1201">
        <v>4</v>
      </c>
      <c r="F1201" s="1" t="s">
        <v>32</v>
      </c>
      <c r="G1201">
        <v>1</v>
      </c>
      <c r="H1201" s="1" t="s">
        <v>41</v>
      </c>
      <c r="I1201">
        <v>3</v>
      </c>
      <c r="J1201">
        <v>2</v>
      </c>
      <c r="K1201" s="1" t="s">
        <v>52</v>
      </c>
      <c r="L1201">
        <v>3</v>
      </c>
      <c r="M1201" s="1" t="s">
        <v>43</v>
      </c>
      <c r="N1201">
        <v>5347</v>
      </c>
      <c r="O1201">
        <v>6</v>
      </c>
      <c r="P1201" s="1" t="s">
        <v>39</v>
      </c>
      <c r="Q1201">
        <v>14</v>
      </c>
      <c r="R1201">
        <v>2</v>
      </c>
      <c r="S1201">
        <v>2</v>
      </c>
      <c r="T1201">
        <v>10</v>
      </c>
      <c r="U1201">
        <v>2</v>
      </c>
      <c r="V1201">
        <v>2</v>
      </c>
      <c r="W1201">
        <v>3</v>
      </c>
      <c r="X1201">
        <v>2</v>
      </c>
      <c r="Y1201">
        <v>0</v>
      </c>
      <c r="Z1201">
        <v>2</v>
      </c>
      <c r="AA1201">
        <v>0</v>
      </c>
      <c r="AB1201" s="1" t="s">
        <v>36</v>
      </c>
      <c r="AC1201" t="s">
        <v>37</v>
      </c>
      <c r="AD1201" t="s">
        <v>53</v>
      </c>
      <c r="AE1201" s="2">
        <v>1782.3333333333333</v>
      </c>
    </row>
    <row r="1202" spans="1:31" x14ac:dyDescent="0.35">
      <c r="A1202">
        <v>44</v>
      </c>
      <c r="B1202" s="1" t="s">
        <v>39</v>
      </c>
      <c r="C1202" s="1" t="s">
        <v>62</v>
      </c>
      <c r="D1202">
        <v>1</v>
      </c>
      <c r="E1202">
        <v>3</v>
      </c>
      <c r="F1202" s="1" t="s">
        <v>32</v>
      </c>
      <c r="G1202">
        <v>3</v>
      </c>
      <c r="H1202" s="1" t="s">
        <v>33</v>
      </c>
      <c r="I1202">
        <v>3</v>
      </c>
      <c r="J1202">
        <v>1</v>
      </c>
      <c r="K1202" s="1" t="s">
        <v>62</v>
      </c>
      <c r="L1202">
        <v>4</v>
      </c>
      <c r="M1202" s="1" t="s">
        <v>50</v>
      </c>
      <c r="N1202">
        <v>3195</v>
      </c>
      <c r="O1202">
        <v>4</v>
      </c>
      <c r="P1202" s="1" t="s">
        <v>30</v>
      </c>
      <c r="Q1202">
        <v>18</v>
      </c>
      <c r="R1202">
        <v>1</v>
      </c>
      <c r="S1202">
        <v>3</v>
      </c>
      <c r="T1202">
        <v>8</v>
      </c>
      <c r="U1202">
        <v>2</v>
      </c>
      <c r="V1202">
        <v>3</v>
      </c>
      <c r="W1202">
        <v>2</v>
      </c>
      <c r="X1202">
        <v>2</v>
      </c>
      <c r="Y1202">
        <v>2</v>
      </c>
      <c r="Z1202">
        <v>2</v>
      </c>
      <c r="AA1202">
        <v>0</v>
      </c>
      <c r="AB1202" s="1" t="s">
        <v>36</v>
      </c>
      <c r="AC1202" t="s">
        <v>46</v>
      </c>
      <c r="AD1202" t="s">
        <v>47</v>
      </c>
      <c r="AE1202" s="2">
        <v>1597.5</v>
      </c>
    </row>
    <row r="1203" spans="1:31" x14ac:dyDescent="0.35">
      <c r="A1203">
        <v>23</v>
      </c>
      <c r="B1203" s="1" t="s">
        <v>30</v>
      </c>
      <c r="C1203" s="1" t="s">
        <v>40</v>
      </c>
      <c r="D1203">
        <v>8</v>
      </c>
      <c r="E1203">
        <v>1</v>
      </c>
      <c r="F1203" s="1" t="s">
        <v>49</v>
      </c>
      <c r="G1203">
        <v>4</v>
      </c>
      <c r="H1203" s="1" t="s">
        <v>41</v>
      </c>
      <c r="I1203">
        <v>2</v>
      </c>
      <c r="J1203">
        <v>1</v>
      </c>
      <c r="K1203" s="1" t="s">
        <v>45</v>
      </c>
      <c r="L1203">
        <v>3</v>
      </c>
      <c r="M1203" s="1" t="s">
        <v>35</v>
      </c>
      <c r="N1203">
        <v>3989</v>
      </c>
      <c r="O1203">
        <v>1</v>
      </c>
      <c r="P1203" s="1" t="s">
        <v>30</v>
      </c>
      <c r="Q1203">
        <v>11</v>
      </c>
      <c r="R1203">
        <v>1</v>
      </c>
      <c r="S1203">
        <v>0</v>
      </c>
      <c r="T1203">
        <v>5</v>
      </c>
      <c r="U1203">
        <v>2</v>
      </c>
      <c r="V1203">
        <v>3</v>
      </c>
      <c r="W1203">
        <v>5</v>
      </c>
      <c r="X1203">
        <v>4</v>
      </c>
      <c r="Y1203">
        <v>1</v>
      </c>
      <c r="Z1203">
        <v>2</v>
      </c>
      <c r="AA1203">
        <v>1</v>
      </c>
      <c r="AB1203" s="1" t="s">
        <v>54</v>
      </c>
      <c r="AC1203" t="s">
        <v>46</v>
      </c>
      <c r="AD1203" t="s">
        <v>53</v>
      </c>
      <c r="AE1203" s="2">
        <v>797.8</v>
      </c>
    </row>
    <row r="1204" spans="1:31" x14ac:dyDescent="0.35">
      <c r="A1204">
        <v>38</v>
      </c>
      <c r="B1204" s="1" t="s">
        <v>39</v>
      </c>
      <c r="C1204" s="1" t="s">
        <v>40</v>
      </c>
      <c r="D1204">
        <v>4</v>
      </c>
      <c r="E1204">
        <v>2</v>
      </c>
      <c r="F1204" s="1" t="s">
        <v>49</v>
      </c>
      <c r="G1204">
        <v>4</v>
      </c>
      <c r="H1204" s="1" t="s">
        <v>33</v>
      </c>
      <c r="I1204">
        <v>3</v>
      </c>
      <c r="J1204">
        <v>1</v>
      </c>
      <c r="K1204" s="1" t="s">
        <v>45</v>
      </c>
      <c r="L1204">
        <v>3</v>
      </c>
      <c r="M1204" s="1" t="s">
        <v>43</v>
      </c>
      <c r="N1204">
        <v>3306</v>
      </c>
      <c r="O1204">
        <v>7</v>
      </c>
      <c r="P1204" s="1" t="s">
        <v>39</v>
      </c>
      <c r="Q1204">
        <v>19</v>
      </c>
      <c r="R1204">
        <v>4</v>
      </c>
      <c r="S1204">
        <v>1</v>
      </c>
      <c r="T1204">
        <v>7</v>
      </c>
      <c r="U1204">
        <v>5</v>
      </c>
      <c r="V1204">
        <v>2</v>
      </c>
      <c r="W1204">
        <v>0</v>
      </c>
      <c r="X1204">
        <v>0</v>
      </c>
      <c r="Y1204">
        <v>0</v>
      </c>
      <c r="Z1204">
        <v>0</v>
      </c>
      <c r="AA1204">
        <v>0</v>
      </c>
      <c r="AB1204" s="1" t="s">
        <v>36</v>
      </c>
      <c r="AC1204" t="s">
        <v>46</v>
      </c>
      <c r="AD1204" t="s">
        <v>47</v>
      </c>
      <c r="AE1204" s="2">
        <v>3306</v>
      </c>
    </row>
    <row r="1205" spans="1:31" x14ac:dyDescent="0.35">
      <c r="A1205">
        <v>53</v>
      </c>
      <c r="B1205" s="1" t="s">
        <v>39</v>
      </c>
      <c r="C1205" s="1" t="s">
        <v>40</v>
      </c>
      <c r="D1205">
        <v>24</v>
      </c>
      <c r="E1205">
        <v>4</v>
      </c>
      <c r="F1205" s="1" t="s">
        <v>49</v>
      </c>
      <c r="G1205">
        <v>2</v>
      </c>
      <c r="H1205" s="1" t="s">
        <v>41</v>
      </c>
      <c r="I1205">
        <v>4</v>
      </c>
      <c r="J1205">
        <v>3</v>
      </c>
      <c r="K1205" s="1" t="s">
        <v>52</v>
      </c>
      <c r="L1205">
        <v>4</v>
      </c>
      <c r="M1205" s="1" t="s">
        <v>43</v>
      </c>
      <c r="N1205">
        <v>7005</v>
      </c>
      <c r="O1205">
        <v>3</v>
      </c>
      <c r="P1205" s="1" t="s">
        <v>39</v>
      </c>
      <c r="Q1205">
        <v>15</v>
      </c>
      <c r="R1205">
        <v>3</v>
      </c>
      <c r="S1205">
        <v>0</v>
      </c>
      <c r="T1205">
        <v>11</v>
      </c>
      <c r="U1205">
        <v>2</v>
      </c>
      <c r="V1205">
        <v>3</v>
      </c>
      <c r="W1205">
        <v>4</v>
      </c>
      <c r="X1205">
        <v>3</v>
      </c>
      <c r="Y1205">
        <v>1</v>
      </c>
      <c r="Z1205">
        <v>2</v>
      </c>
      <c r="AA1205">
        <v>0</v>
      </c>
      <c r="AB1205" s="1" t="s">
        <v>82</v>
      </c>
      <c r="AC1205" t="s">
        <v>37</v>
      </c>
      <c r="AD1205" t="s">
        <v>53</v>
      </c>
      <c r="AE1205" s="2">
        <v>1751.25</v>
      </c>
    </row>
    <row r="1206" spans="1:31" x14ac:dyDescent="0.35">
      <c r="A1206">
        <v>48</v>
      </c>
      <c r="B1206" s="1" t="s">
        <v>30</v>
      </c>
      <c r="C1206" s="1" t="s">
        <v>31</v>
      </c>
      <c r="D1206">
        <v>7</v>
      </c>
      <c r="E1206">
        <v>2</v>
      </c>
      <c r="F1206" s="1" t="s">
        <v>49</v>
      </c>
      <c r="G1206">
        <v>4</v>
      </c>
      <c r="H1206" s="1" t="s">
        <v>33</v>
      </c>
      <c r="I1206">
        <v>3</v>
      </c>
      <c r="J1206">
        <v>1</v>
      </c>
      <c r="K1206" s="1" t="s">
        <v>58</v>
      </c>
      <c r="L1206">
        <v>3</v>
      </c>
      <c r="M1206" s="1" t="s">
        <v>43</v>
      </c>
      <c r="N1206">
        <v>2655</v>
      </c>
      <c r="O1206">
        <v>2</v>
      </c>
      <c r="P1206" s="1" t="s">
        <v>30</v>
      </c>
      <c r="Q1206">
        <v>11</v>
      </c>
      <c r="R1206">
        <v>3</v>
      </c>
      <c r="S1206">
        <v>2</v>
      </c>
      <c r="T1206">
        <v>19</v>
      </c>
      <c r="U1206">
        <v>3</v>
      </c>
      <c r="V1206">
        <v>3</v>
      </c>
      <c r="W1206">
        <v>9</v>
      </c>
      <c r="X1206">
        <v>7</v>
      </c>
      <c r="Y1206">
        <v>7</v>
      </c>
      <c r="Z1206">
        <v>7</v>
      </c>
      <c r="AA1206">
        <v>1</v>
      </c>
      <c r="AB1206" s="1" t="s">
        <v>82</v>
      </c>
      <c r="AC1206" t="s">
        <v>46</v>
      </c>
      <c r="AD1206" t="s">
        <v>38</v>
      </c>
      <c r="AE1206" s="2">
        <v>295</v>
      </c>
    </row>
    <row r="1207" spans="1:31" x14ac:dyDescent="0.35">
      <c r="A1207">
        <v>32</v>
      </c>
      <c r="B1207" s="1" t="s">
        <v>30</v>
      </c>
      <c r="C1207" s="1" t="s">
        <v>40</v>
      </c>
      <c r="D1207">
        <v>2</v>
      </c>
      <c r="E1207">
        <v>4</v>
      </c>
      <c r="F1207" s="1" t="s">
        <v>32</v>
      </c>
      <c r="G1207">
        <v>4</v>
      </c>
      <c r="H1207" s="1" t="s">
        <v>41</v>
      </c>
      <c r="I1207">
        <v>3</v>
      </c>
      <c r="J1207">
        <v>1</v>
      </c>
      <c r="K1207" s="1" t="s">
        <v>45</v>
      </c>
      <c r="L1207">
        <v>2</v>
      </c>
      <c r="M1207" s="1" t="s">
        <v>35</v>
      </c>
      <c r="N1207">
        <v>1393</v>
      </c>
      <c r="O1207">
        <v>1</v>
      </c>
      <c r="P1207" s="1" t="s">
        <v>39</v>
      </c>
      <c r="Q1207">
        <v>12</v>
      </c>
      <c r="R1207">
        <v>1</v>
      </c>
      <c r="S1207">
        <v>0</v>
      </c>
      <c r="T1207">
        <v>1</v>
      </c>
      <c r="U1207">
        <v>2</v>
      </c>
      <c r="V1207">
        <v>3</v>
      </c>
      <c r="W1207">
        <v>1</v>
      </c>
      <c r="X1207">
        <v>0</v>
      </c>
      <c r="Y1207">
        <v>0</v>
      </c>
      <c r="Z1207">
        <v>0</v>
      </c>
      <c r="AA1207">
        <v>1</v>
      </c>
      <c r="AB1207" s="1" t="s">
        <v>48</v>
      </c>
      <c r="AC1207" t="s">
        <v>46</v>
      </c>
      <c r="AD1207" t="s">
        <v>47</v>
      </c>
      <c r="AE1207" s="2">
        <v>1393</v>
      </c>
    </row>
    <row r="1208" spans="1:31" x14ac:dyDescent="0.35">
      <c r="A1208">
        <v>26</v>
      </c>
      <c r="B1208" s="1" t="s">
        <v>39</v>
      </c>
      <c r="C1208" s="1" t="s">
        <v>40</v>
      </c>
      <c r="D1208">
        <v>7</v>
      </c>
      <c r="E1208">
        <v>3</v>
      </c>
      <c r="F1208" s="1" t="s">
        <v>49</v>
      </c>
      <c r="G1208">
        <v>4</v>
      </c>
      <c r="H1208" s="1" t="s">
        <v>41</v>
      </c>
      <c r="I1208">
        <v>3</v>
      </c>
      <c r="J1208">
        <v>1</v>
      </c>
      <c r="K1208" s="1" t="s">
        <v>45</v>
      </c>
      <c r="L1208">
        <v>4</v>
      </c>
      <c r="M1208" s="1" t="s">
        <v>35</v>
      </c>
      <c r="N1208">
        <v>2570</v>
      </c>
      <c r="O1208">
        <v>1</v>
      </c>
      <c r="P1208" s="1" t="s">
        <v>39</v>
      </c>
      <c r="Q1208">
        <v>20</v>
      </c>
      <c r="R1208">
        <v>3</v>
      </c>
      <c r="S1208">
        <v>0</v>
      </c>
      <c r="T1208">
        <v>7</v>
      </c>
      <c r="U1208">
        <v>5</v>
      </c>
      <c r="V1208">
        <v>3</v>
      </c>
      <c r="W1208">
        <v>7</v>
      </c>
      <c r="X1208">
        <v>7</v>
      </c>
      <c r="Y1208">
        <v>5</v>
      </c>
      <c r="Z1208">
        <v>7</v>
      </c>
      <c r="AA1208">
        <v>0</v>
      </c>
      <c r="AB1208" s="1" t="s">
        <v>48</v>
      </c>
      <c r="AC1208" t="s">
        <v>46</v>
      </c>
      <c r="AD1208" t="s">
        <v>38</v>
      </c>
      <c r="AE1208" s="2">
        <v>367.14285714285717</v>
      </c>
    </row>
    <row r="1209" spans="1:31" x14ac:dyDescent="0.35">
      <c r="A1209">
        <v>55</v>
      </c>
      <c r="B1209" s="1" t="s">
        <v>39</v>
      </c>
      <c r="C1209" s="1" t="s">
        <v>40</v>
      </c>
      <c r="D1209">
        <v>22</v>
      </c>
      <c r="E1209">
        <v>3</v>
      </c>
      <c r="F1209" s="1" t="s">
        <v>61</v>
      </c>
      <c r="G1209">
        <v>1</v>
      </c>
      <c r="H1209" s="1" t="s">
        <v>41</v>
      </c>
      <c r="I1209">
        <v>2</v>
      </c>
      <c r="J1209">
        <v>1</v>
      </c>
      <c r="K1209" s="1" t="s">
        <v>42</v>
      </c>
      <c r="L1209">
        <v>2</v>
      </c>
      <c r="M1209" s="1" t="s">
        <v>50</v>
      </c>
      <c r="N1209">
        <v>3537</v>
      </c>
      <c r="O1209">
        <v>5</v>
      </c>
      <c r="P1209" s="1" t="s">
        <v>39</v>
      </c>
      <c r="Q1209">
        <v>12</v>
      </c>
      <c r="R1209">
        <v>4</v>
      </c>
      <c r="S1209">
        <v>1</v>
      </c>
      <c r="T1209">
        <v>8</v>
      </c>
      <c r="U1209">
        <v>1</v>
      </c>
      <c r="V1209">
        <v>3</v>
      </c>
      <c r="W1209">
        <v>4</v>
      </c>
      <c r="X1209">
        <v>2</v>
      </c>
      <c r="Y1209">
        <v>1</v>
      </c>
      <c r="Z1209">
        <v>2</v>
      </c>
      <c r="AA1209">
        <v>0</v>
      </c>
      <c r="AB1209" s="1" t="s">
        <v>82</v>
      </c>
      <c r="AC1209" t="s">
        <v>46</v>
      </c>
      <c r="AD1209" t="s">
        <v>53</v>
      </c>
      <c r="AE1209" s="2">
        <v>884.25</v>
      </c>
    </row>
    <row r="1210" spans="1:31" x14ac:dyDescent="0.35">
      <c r="A1210">
        <v>34</v>
      </c>
      <c r="B1210" s="1" t="s">
        <v>39</v>
      </c>
      <c r="C1210" s="1" t="s">
        <v>40</v>
      </c>
      <c r="D1210">
        <v>5</v>
      </c>
      <c r="E1210">
        <v>2</v>
      </c>
      <c r="F1210" s="1" t="s">
        <v>49</v>
      </c>
      <c r="G1210">
        <v>2</v>
      </c>
      <c r="H1210" s="1" t="s">
        <v>41</v>
      </c>
      <c r="I1210">
        <v>2</v>
      </c>
      <c r="J1210">
        <v>2</v>
      </c>
      <c r="K1210" s="1" t="s">
        <v>45</v>
      </c>
      <c r="L1210">
        <v>4</v>
      </c>
      <c r="M1210" s="1" t="s">
        <v>43</v>
      </c>
      <c r="N1210">
        <v>3986</v>
      </c>
      <c r="O1210">
        <v>1</v>
      </c>
      <c r="P1210" s="1" t="s">
        <v>39</v>
      </c>
      <c r="Q1210">
        <v>14</v>
      </c>
      <c r="R1210">
        <v>3</v>
      </c>
      <c r="S1210">
        <v>1</v>
      </c>
      <c r="T1210">
        <v>15</v>
      </c>
      <c r="U1210">
        <v>3</v>
      </c>
      <c r="V1210">
        <v>4</v>
      </c>
      <c r="W1210">
        <v>15</v>
      </c>
      <c r="X1210">
        <v>10</v>
      </c>
      <c r="Y1210">
        <v>4</v>
      </c>
      <c r="Z1210">
        <v>13</v>
      </c>
      <c r="AA1210">
        <v>0</v>
      </c>
      <c r="AB1210" s="1" t="s">
        <v>48</v>
      </c>
      <c r="AC1210" t="s">
        <v>46</v>
      </c>
      <c r="AD1210" t="s">
        <v>57</v>
      </c>
      <c r="AE1210" s="2">
        <v>265.73333333333335</v>
      </c>
    </row>
    <row r="1211" spans="1:31" x14ac:dyDescent="0.35">
      <c r="A1211">
        <v>60</v>
      </c>
      <c r="B1211" s="1" t="s">
        <v>39</v>
      </c>
      <c r="C1211" s="1" t="s">
        <v>40</v>
      </c>
      <c r="D1211">
        <v>1</v>
      </c>
      <c r="E1211">
        <v>4</v>
      </c>
      <c r="F1211" s="1" t="s">
        <v>49</v>
      </c>
      <c r="G1211">
        <v>3</v>
      </c>
      <c r="H1211" s="1" t="s">
        <v>41</v>
      </c>
      <c r="I1211">
        <v>1</v>
      </c>
      <c r="J1211">
        <v>3</v>
      </c>
      <c r="K1211" s="1" t="s">
        <v>52</v>
      </c>
      <c r="L1211">
        <v>4</v>
      </c>
      <c r="M1211" s="1" t="s">
        <v>50</v>
      </c>
      <c r="N1211">
        <v>10883</v>
      </c>
      <c r="O1211">
        <v>3</v>
      </c>
      <c r="P1211" s="1" t="s">
        <v>39</v>
      </c>
      <c r="Q1211">
        <v>20</v>
      </c>
      <c r="R1211">
        <v>3</v>
      </c>
      <c r="S1211">
        <v>1</v>
      </c>
      <c r="T1211">
        <v>19</v>
      </c>
      <c r="U1211">
        <v>2</v>
      </c>
      <c r="V1211">
        <v>4</v>
      </c>
      <c r="W1211">
        <v>1</v>
      </c>
      <c r="X1211">
        <v>0</v>
      </c>
      <c r="Y1211">
        <v>0</v>
      </c>
      <c r="Z1211">
        <v>0</v>
      </c>
      <c r="AA1211">
        <v>0</v>
      </c>
      <c r="AB1211" s="1" t="s">
        <v>82</v>
      </c>
      <c r="AC1211" t="s">
        <v>56</v>
      </c>
      <c r="AD1211" t="s">
        <v>47</v>
      </c>
      <c r="AE1211" s="2">
        <v>10883</v>
      </c>
    </row>
    <row r="1212" spans="1:31" x14ac:dyDescent="0.35">
      <c r="A1212">
        <v>33</v>
      </c>
      <c r="B1212" s="1" t="s">
        <v>39</v>
      </c>
      <c r="C1212" s="1" t="s">
        <v>40</v>
      </c>
      <c r="D1212">
        <v>21</v>
      </c>
      <c r="E1212">
        <v>3</v>
      </c>
      <c r="F1212" s="1" t="s">
        <v>49</v>
      </c>
      <c r="G1212">
        <v>2</v>
      </c>
      <c r="H1212" s="1" t="s">
        <v>41</v>
      </c>
      <c r="I1212">
        <v>4</v>
      </c>
      <c r="J1212">
        <v>1</v>
      </c>
      <c r="K1212" s="1" t="s">
        <v>45</v>
      </c>
      <c r="L1212">
        <v>2</v>
      </c>
      <c r="M1212" s="1" t="s">
        <v>43</v>
      </c>
      <c r="N1212">
        <v>2028</v>
      </c>
      <c r="O1212">
        <v>1</v>
      </c>
      <c r="P1212" s="1" t="s">
        <v>39</v>
      </c>
      <c r="Q1212">
        <v>18</v>
      </c>
      <c r="R1212">
        <v>4</v>
      </c>
      <c r="S1212">
        <v>3</v>
      </c>
      <c r="T1212">
        <v>14</v>
      </c>
      <c r="U1212">
        <v>6</v>
      </c>
      <c r="V1212">
        <v>3</v>
      </c>
      <c r="W1212">
        <v>14</v>
      </c>
      <c r="X1212">
        <v>11</v>
      </c>
      <c r="Y1212">
        <v>2</v>
      </c>
      <c r="Z1212">
        <v>13</v>
      </c>
      <c r="AA1212">
        <v>0</v>
      </c>
      <c r="AB1212" s="1" t="s">
        <v>48</v>
      </c>
      <c r="AC1212" t="s">
        <v>46</v>
      </c>
      <c r="AD1212" t="s">
        <v>57</v>
      </c>
      <c r="AE1212" s="2">
        <v>144.85714285714286</v>
      </c>
    </row>
    <row r="1213" spans="1:31" x14ac:dyDescent="0.35">
      <c r="A1213">
        <v>37</v>
      </c>
      <c r="B1213" s="1" t="s">
        <v>39</v>
      </c>
      <c r="C1213" s="1" t="s">
        <v>31</v>
      </c>
      <c r="D1213">
        <v>1</v>
      </c>
      <c r="E1213">
        <v>4</v>
      </c>
      <c r="F1213" s="1" t="s">
        <v>49</v>
      </c>
      <c r="G1213">
        <v>3</v>
      </c>
      <c r="H1213" s="1" t="s">
        <v>41</v>
      </c>
      <c r="I1213">
        <v>1</v>
      </c>
      <c r="J1213">
        <v>2</v>
      </c>
      <c r="K1213" s="1" t="s">
        <v>34</v>
      </c>
      <c r="L1213">
        <v>4</v>
      </c>
      <c r="M1213" s="1" t="s">
        <v>50</v>
      </c>
      <c r="N1213">
        <v>9525</v>
      </c>
      <c r="O1213">
        <v>1</v>
      </c>
      <c r="P1213" s="1" t="s">
        <v>39</v>
      </c>
      <c r="Q1213">
        <v>14</v>
      </c>
      <c r="R1213">
        <v>3</v>
      </c>
      <c r="S1213">
        <v>2</v>
      </c>
      <c r="T1213">
        <v>6</v>
      </c>
      <c r="U1213">
        <v>2</v>
      </c>
      <c r="V1213">
        <v>2</v>
      </c>
      <c r="W1213">
        <v>6</v>
      </c>
      <c r="X1213">
        <v>3</v>
      </c>
      <c r="Y1213">
        <v>1</v>
      </c>
      <c r="Z1213">
        <v>3</v>
      </c>
      <c r="AA1213">
        <v>0</v>
      </c>
      <c r="AB1213" s="1" t="s">
        <v>36</v>
      </c>
      <c r="AC1213" t="s">
        <v>37</v>
      </c>
      <c r="AD1213" t="s">
        <v>38</v>
      </c>
      <c r="AE1213" s="2">
        <v>1587.5</v>
      </c>
    </row>
    <row r="1214" spans="1:31" x14ac:dyDescent="0.35">
      <c r="A1214">
        <v>34</v>
      </c>
      <c r="B1214" s="1" t="s">
        <v>39</v>
      </c>
      <c r="C1214" s="1" t="s">
        <v>40</v>
      </c>
      <c r="D1214">
        <v>19</v>
      </c>
      <c r="E1214">
        <v>3</v>
      </c>
      <c r="F1214" s="1" t="s">
        <v>32</v>
      </c>
      <c r="G1214">
        <v>2</v>
      </c>
      <c r="H1214" s="1" t="s">
        <v>33</v>
      </c>
      <c r="I1214">
        <v>2</v>
      </c>
      <c r="J1214">
        <v>1</v>
      </c>
      <c r="K1214" s="1" t="s">
        <v>42</v>
      </c>
      <c r="L1214">
        <v>4</v>
      </c>
      <c r="M1214" s="1" t="s">
        <v>43</v>
      </c>
      <c r="N1214">
        <v>2929</v>
      </c>
      <c r="O1214">
        <v>1</v>
      </c>
      <c r="P1214" s="1" t="s">
        <v>39</v>
      </c>
      <c r="Q1214">
        <v>12</v>
      </c>
      <c r="R1214">
        <v>2</v>
      </c>
      <c r="S1214">
        <v>0</v>
      </c>
      <c r="T1214">
        <v>10</v>
      </c>
      <c r="U1214">
        <v>3</v>
      </c>
      <c r="V1214">
        <v>3</v>
      </c>
      <c r="W1214">
        <v>10</v>
      </c>
      <c r="X1214">
        <v>9</v>
      </c>
      <c r="Y1214">
        <v>8</v>
      </c>
      <c r="Z1214">
        <v>7</v>
      </c>
      <c r="AA1214">
        <v>0</v>
      </c>
      <c r="AB1214" s="1" t="s">
        <v>48</v>
      </c>
      <c r="AC1214" t="s">
        <v>46</v>
      </c>
      <c r="AD1214" t="s">
        <v>38</v>
      </c>
      <c r="AE1214" s="2">
        <v>292.89999999999998</v>
      </c>
    </row>
    <row r="1215" spans="1:31" x14ac:dyDescent="0.35">
      <c r="A1215">
        <v>23</v>
      </c>
      <c r="B1215" s="1" t="s">
        <v>30</v>
      </c>
      <c r="C1215" s="1" t="s">
        <v>31</v>
      </c>
      <c r="D1215">
        <v>7</v>
      </c>
      <c r="E1215">
        <v>3</v>
      </c>
      <c r="F1215" s="1" t="s">
        <v>32</v>
      </c>
      <c r="G1215">
        <v>3</v>
      </c>
      <c r="H1215" s="1" t="s">
        <v>41</v>
      </c>
      <c r="I1215">
        <v>3</v>
      </c>
      <c r="J1215">
        <v>1</v>
      </c>
      <c r="K1215" s="1" t="s">
        <v>58</v>
      </c>
      <c r="L1215">
        <v>4</v>
      </c>
      <c r="M1215" s="1" t="s">
        <v>50</v>
      </c>
      <c r="N1215">
        <v>2275</v>
      </c>
      <c r="O1215">
        <v>1</v>
      </c>
      <c r="P1215" s="1" t="s">
        <v>30</v>
      </c>
      <c r="Q1215">
        <v>21</v>
      </c>
      <c r="R1215">
        <v>2</v>
      </c>
      <c r="S1215">
        <v>1</v>
      </c>
      <c r="T1215">
        <v>3</v>
      </c>
      <c r="U1215">
        <v>2</v>
      </c>
      <c r="V1215">
        <v>3</v>
      </c>
      <c r="W1215">
        <v>3</v>
      </c>
      <c r="X1215">
        <v>2</v>
      </c>
      <c r="Y1215">
        <v>0</v>
      </c>
      <c r="Z1215">
        <v>2</v>
      </c>
      <c r="AA1215">
        <v>1</v>
      </c>
      <c r="AB1215" s="1" t="s">
        <v>54</v>
      </c>
      <c r="AC1215" t="s">
        <v>46</v>
      </c>
      <c r="AD1215" t="s">
        <v>53</v>
      </c>
      <c r="AE1215" s="2">
        <v>758.33333333333337</v>
      </c>
    </row>
    <row r="1216" spans="1:31" x14ac:dyDescent="0.35">
      <c r="A1216">
        <v>44</v>
      </c>
      <c r="B1216" s="1" t="s">
        <v>39</v>
      </c>
      <c r="C1216" s="1" t="s">
        <v>40</v>
      </c>
      <c r="D1216">
        <v>2</v>
      </c>
      <c r="E1216">
        <v>3</v>
      </c>
      <c r="F1216" s="1" t="s">
        <v>32</v>
      </c>
      <c r="G1216">
        <v>3</v>
      </c>
      <c r="H1216" s="1" t="s">
        <v>33</v>
      </c>
      <c r="I1216">
        <v>4</v>
      </c>
      <c r="J1216">
        <v>3</v>
      </c>
      <c r="K1216" s="1" t="s">
        <v>52</v>
      </c>
      <c r="L1216">
        <v>4</v>
      </c>
      <c r="M1216" s="1" t="s">
        <v>43</v>
      </c>
      <c r="N1216">
        <v>7879</v>
      </c>
      <c r="O1216">
        <v>1</v>
      </c>
      <c r="P1216" s="1" t="s">
        <v>30</v>
      </c>
      <c r="Q1216">
        <v>19</v>
      </c>
      <c r="R1216">
        <v>2</v>
      </c>
      <c r="S1216">
        <v>1</v>
      </c>
      <c r="T1216">
        <v>9</v>
      </c>
      <c r="U1216">
        <v>2</v>
      </c>
      <c r="V1216">
        <v>3</v>
      </c>
      <c r="W1216">
        <v>8</v>
      </c>
      <c r="X1216">
        <v>7</v>
      </c>
      <c r="Y1216">
        <v>6</v>
      </c>
      <c r="Z1216">
        <v>7</v>
      </c>
      <c r="AA1216">
        <v>0</v>
      </c>
      <c r="AB1216" s="1" t="s">
        <v>36</v>
      </c>
      <c r="AC1216" t="s">
        <v>37</v>
      </c>
      <c r="AD1216" t="s">
        <v>38</v>
      </c>
      <c r="AE1216" s="2">
        <v>984.875</v>
      </c>
    </row>
    <row r="1217" spans="1:31" x14ac:dyDescent="0.35">
      <c r="A1217">
        <v>35</v>
      </c>
      <c r="B1217" s="1" t="s">
        <v>39</v>
      </c>
      <c r="C1217" s="1" t="s">
        <v>40</v>
      </c>
      <c r="D1217">
        <v>2</v>
      </c>
      <c r="E1217">
        <v>4</v>
      </c>
      <c r="F1217" s="1" t="s">
        <v>49</v>
      </c>
      <c r="G1217">
        <v>1</v>
      </c>
      <c r="H1217" s="1" t="s">
        <v>41</v>
      </c>
      <c r="I1217">
        <v>2</v>
      </c>
      <c r="J1217">
        <v>1</v>
      </c>
      <c r="K1217" s="1" t="s">
        <v>42</v>
      </c>
      <c r="L1217">
        <v>4</v>
      </c>
      <c r="M1217" s="1" t="s">
        <v>35</v>
      </c>
      <c r="N1217">
        <v>4930</v>
      </c>
      <c r="O1217">
        <v>0</v>
      </c>
      <c r="P1217" s="1" t="s">
        <v>30</v>
      </c>
      <c r="Q1217">
        <v>14</v>
      </c>
      <c r="R1217">
        <v>3</v>
      </c>
      <c r="S1217">
        <v>0</v>
      </c>
      <c r="T1217">
        <v>6</v>
      </c>
      <c r="U1217">
        <v>2</v>
      </c>
      <c r="V1217">
        <v>4</v>
      </c>
      <c r="W1217">
        <v>5</v>
      </c>
      <c r="X1217">
        <v>4</v>
      </c>
      <c r="Y1217">
        <v>1</v>
      </c>
      <c r="Z1217">
        <v>4</v>
      </c>
      <c r="AA1217">
        <v>0</v>
      </c>
      <c r="AB1217" s="1" t="s">
        <v>48</v>
      </c>
      <c r="AC1217" t="s">
        <v>37</v>
      </c>
      <c r="AD1217" t="s">
        <v>53</v>
      </c>
      <c r="AE1217" s="2">
        <v>986</v>
      </c>
    </row>
    <row r="1218" spans="1:31" x14ac:dyDescent="0.35">
      <c r="A1218">
        <v>43</v>
      </c>
      <c r="B1218" s="1" t="s">
        <v>39</v>
      </c>
      <c r="C1218" s="1" t="s">
        <v>31</v>
      </c>
      <c r="D1218">
        <v>2</v>
      </c>
      <c r="E1218">
        <v>3</v>
      </c>
      <c r="F1218" s="1" t="s">
        <v>49</v>
      </c>
      <c r="G1218">
        <v>4</v>
      </c>
      <c r="H1218" s="1" t="s">
        <v>41</v>
      </c>
      <c r="I1218">
        <v>3</v>
      </c>
      <c r="J1218">
        <v>2</v>
      </c>
      <c r="K1218" s="1" t="s">
        <v>34</v>
      </c>
      <c r="L1218">
        <v>4</v>
      </c>
      <c r="M1218" s="1" t="s">
        <v>43</v>
      </c>
      <c r="N1218">
        <v>7847</v>
      </c>
      <c r="O1218">
        <v>1</v>
      </c>
      <c r="P1218" s="1" t="s">
        <v>30</v>
      </c>
      <c r="Q1218">
        <v>17</v>
      </c>
      <c r="R1218">
        <v>1</v>
      </c>
      <c r="S1218">
        <v>1</v>
      </c>
      <c r="T1218">
        <v>10</v>
      </c>
      <c r="U1218">
        <v>3</v>
      </c>
      <c r="V1218">
        <v>3</v>
      </c>
      <c r="W1218">
        <v>10</v>
      </c>
      <c r="X1218">
        <v>9</v>
      </c>
      <c r="Y1218">
        <v>8</v>
      </c>
      <c r="Z1218">
        <v>8</v>
      </c>
      <c r="AA1218">
        <v>0</v>
      </c>
      <c r="AB1218" s="1" t="s">
        <v>36</v>
      </c>
      <c r="AC1218" t="s">
        <v>37</v>
      </c>
      <c r="AD1218" t="s">
        <v>38</v>
      </c>
      <c r="AE1218" s="2">
        <v>784.7</v>
      </c>
    </row>
    <row r="1219" spans="1:31" x14ac:dyDescent="0.35">
      <c r="A1219">
        <v>24</v>
      </c>
      <c r="B1219" s="1" t="s">
        <v>39</v>
      </c>
      <c r="C1219" s="1" t="s">
        <v>40</v>
      </c>
      <c r="D1219">
        <v>9</v>
      </c>
      <c r="E1219">
        <v>3</v>
      </c>
      <c r="F1219" s="1" t="s">
        <v>49</v>
      </c>
      <c r="G1219">
        <v>3</v>
      </c>
      <c r="H1219" s="1" t="s">
        <v>41</v>
      </c>
      <c r="I1219">
        <v>4</v>
      </c>
      <c r="J1219">
        <v>1</v>
      </c>
      <c r="K1219" s="1" t="s">
        <v>42</v>
      </c>
      <c r="L1219">
        <v>3</v>
      </c>
      <c r="M1219" s="1" t="s">
        <v>43</v>
      </c>
      <c r="N1219">
        <v>4401</v>
      </c>
      <c r="O1219">
        <v>1</v>
      </c>
      <c r="P1219" s="1" t="s">
        <v>39</v>
      </c>
      <c r="Q1219">
        <v>16</v>
      </c>
      <c r="R1219">
        <v>4</v>
      </c>
      <c r="S1219">
        <v>1</v>
      </c>
      <c r="T1219">
        <v>5</v>
      </c>
      <c r="U1219">
        <v>1</v>
      </c>
      <c r="V1219">
        <v>3</v>
      </c>
      <c r="W1219">
        <v>5</v>
      </c>
      <c r="X1219">
        <v>3</v>
      </c>
      <c r="Y1219">
        <v>0</v>
      </c>
      <c r="Z1219">
        <v>4</v>
      </c>
      <c r="AA1219">
        <v>0</v>
      </c>
      <c r="AB1219" s="1" t="s">
        <v>54</v>
      </c>
      <c r="AC1219" t="s">
        <v>37</v>
      </c>
      <c r="AD1219" t="s">
        <v>53</v>
      </c>
      <c r="AE1219" s="2">
        <v>880.2</v>
      </c>
    </row>
    <row r="1220" spans="1:31" x14ac:dyDescent="0.35">
      <c r="A1220">
        <v>41</v>
      </c>
      <c r="B1220" s="1" t="s">
        <v>39</v>
      </c>
      <c r="C1220" s="1" t="s">
        <v>31</v>
      </c>
      <c r="D1220">
        <v>6</v>
      </c>
      <c r="E1220">
        <v>3</v>
      </c>
      <c r="F1220" s="1" t="s">
        <v>60</v>
      </c>
      <c r="G1220">
        <v>4</v>
      </c>
      <c r="H1220" s="1" t="s">
        <v>41</v>
      </c>
      <c r="I1220">
        <v>3</v>
      </c>
      <c r="J1220">
        <v>3</v>
      </c>
      <c r="K1220" s="1" t="s">
        <v>34</v>
      </c>
      <c r="L1220">
        <v>3</v>
      </c>
      <c r="M1220" s="1" t="s">
        <v>35</v>
      </c>
      <c r="N1220">
        <v>9241</v>
      </c>
      <c r="O1220">
        <v>1</v>
      </c>
      <c r="P1220" s="1" t="s">
        <v>39</v>
      </c>
      <c r="Q1220">
        <v>12</v>
      </c>
      <c r="R1220">
        <v>2</v>
      </c>
      <c r="S1220">
        <v>0</v>
      </c>
      <c r="T1220">
        <v>10</v>
      </c>
      <c r="U1220">
        <v>3</v>
      </c>
      <c r="V1220">
        <v>3</v>
      </c>
      <c r="W1220">
        <v>10</v>
      </c>
      <c r="X1220">
        <v>8</v>
      </c>
      <c r="Y1220">
        <v>8</v>
      </c>
      <c r="Z1220">
        <v>7</v>
      </c>
      <c r="AA1220">
        <v>0</v>
      </c>
      <c r="AB1220" s="1" t="s">
        <v>36</v>
      </c>
      <c r="AC1220" t="s">
        <v>37</v>
      </c>
      <c r="AD1220" t="s">
        <v>38</v>
      </c>
      <c r="AE1220" s="2">
        <v>924.1</v>
      </c>
    </row>
    <row r="1221" spans="1:31" x14ac:dyDescent="0.35">
      <c r="A1221">
        <v>29</v>
      </c>
      <c r="B1221" s="1" t="s">
        <v>39</v>
      </c>
      <c r="C1221" s="1" t="s">
        <v>40</v>
      </c>
      <c r="D1221">
        <v>9</v>
      </c>
      <c r="E1221">
        <v>4</v>
      </c>
      <c r="F1221" s="1" t="s">
        <v>49</v>
      </c>
      <c r="G1221">
        <v>4</v>
      </c>
      <c r="H1221" s="1" t="s">
        <v>33</v>
      </c>
      <c r="I1221">
        <v>3</v>
      </c>
      <c r="J1221">
        <v>1</v>
      </c>
      <c r="K1221" s="1" t="s">
        <v>45</v>
      </c>
      <c r="L1221">
        <v>3</v>
      </c>
      <c r="M1221" s="1" t="s">
        <v>43</v>
      </c>
      <c r="N1221">
        <v>2974</v>
      </c>
      <c r="O1221">
        <v>9</v>
      </c>
      <c r="P1221" s="1" t="s">
        <v>39</v>
      </c>
      <c r="Q1221">
        <v>17</v>
      </c>
      <c r="R1221">
        <v>3</v>
      </c>
      <c r="S1221">
        <v>1</v>
      </c>
      <c r="T1221">
        <v>9</v>
      </c>
      <c r="U1221">
        <v>2</v>
      </c>
      <c r="V1221">
        <v>3</v>
      </c>
      <c r="W1221">
        <v>5</v>
      </c>
      <c r="X1221">
        <v>3</v>
      </c>
      <c r="Y1221">
        <v>1</v>
      </c>
      <c r="Z1221">
        <v>2</v>
      </c>
      <c r="AA1221">
        <v>0</v>
      </c>
      <c r="AB1221" s="1" t="s">
        <v>48</v>
      </c>
      <c r="AC1221" t="s">
        <v>46</v>
      </c>
      <c r="AD1221" t="s">
        <v>53</v>
      </c>
      <c r="AE1221" s="2">
        <v>594.79999999999995</v>
      </c>
    </row>
    <row r="1222" spans="1:31" x14ac:dyDescent="0.35">
      <c r="A1222">
        <v>36</v>
      </c>
      <c r="B1222" s="1" t="s">
        <v>39</v>
      </c>
      <c r="C1222" s="1" t="s">
        <v>31</v>
      </c>
      <c r="D1222">
        <v>2</v>
      </c>
      <c r="E1222">
        <v>4</v>
      </c>
      <c r="F1222" s="1" t="s">
        <v>32</v>
      </c>
      <c r="G1222">
        <v>3</v>
      </c>
      <c r="H1222" s="1" t="s">
        <v>33</v>
      </c>
      <c r="I1222">
        <v>3</v>
      </c>
      <c r="J1222">
        <v>2</v>
      </c>
      <c r="K1222" s="1" t="s">
        <v>58</v>
      </c>
      <c r="L1222">
        <v>4</v>
      </c>
      <c r="M1222" s="1" t="s">
        <v>35</v>
      </c>
      <c r="N1222">
        <v>4502</v>
      </c>
      <c r="O1222">
        <v>3</v>
      </c>
      <c r="P1222" s="1" t="s">
        <v>39</v>
      </c>
      <c r="Q1222">
        <v>15</v>
      </c>
      <c r="R1222">
        <v>3</v>
      </c>
      <c r="S1222">
        <v>0</v>
      </c>
      <c r="T1222">
        <v>17</v>
      </c>
      <c r="U1222">
        <v>2</v>
      </c>
      <c r="V1222">
        <v>2</v>
      </c>
      <c r="W1222">
        <v>13</v>
      </c>
      <c r="X1222">
        <v>7</v>
      </c>
      <c r="Y1222">
        <v>6</v>
      </c>
      <c r="Z1222">
        <v>7</v>
      </c>
      <c r="AA1222">
        <v>0</v>
      </c>
      <c r="AB1222" s="1" t="s">
        <v>36</v>
      </c>
      <c r="AC1222" t="s">
        <v>37</v>
      </c>
      <c r="AD1222" t="s">
        <v>57</v>
      </c>
      <c r="AE1222" s="2">
        <v>346.30769230769232</v>
      </c>
    </row>
    <row r="1223" spans="1:31" x14ac:dyDescent="0.35">
      <c r="A1223">
        <v>45</v>
      </c>
      <c r="B1223" s="1" t="s">
        <v>39</v>
      </c>
      <c r="C1223" s="1" t="s">
        <v>40</v>
      </c>
      <c r="D1223">
        <v>1</v>
      </c>
      <c r="E1223">
        <v>1</v>
      </c>
      <c r="F1223" s="1" t="s">
        <v>32</v>
      </c>
      <c r="G1223">
        <v>3</v>
      </c>
      <c r="H1223" s="1" t="s">
        <v>41</v>
      </c>
      <c r="I1223">
        <v>2</v>
      </c>
      <c r="J1223">
        <v>3</v>
      </c>
      <c r="K1223" s="1" t="s">
        <v>52</v>
      </c>
      <c r="L1223">
        <v>3</v>
      </c>
      <c r="M1223" s="1" t="s">
        <v>43</v>
      </c>
      <c r="N1223">
        <v>10748</v>
      </c>
      <c r="O1223">
        <v>3</v>
      </c>
      <c r="P1223" s="1" t="s">
        <v>39</v>
      </c>
      <c r="Q1223">
        <v>23</v>
      </c>
      <c r="R1223">
        <v>4</v>
      </c>
      <c r="S1223">
        <v>1</v>
      </c>
      <c r="T1223">
        <v>25</v>
      </c>
      <c r="U1223">
        <v>3</v>
      </c>
      <c r="V1223">
        <v>2</v>
      </c>
      <c r="W1223">
        <v>23</v>
      </c>
      <c r="X1223">
        <v>15</v>
      </c>
      <c r="Y1223">
        <v>14</v>
      </c>
      <c r="Z1223">
        <v>4</v>
      </c>
      <c r="AA1223">
        <v>0</v>
      </c>
      <c r="AB1223" s="1" t="s">
        <v>36</v>
      </c>
      <c r="AC1223" t="s">
        <v>56</v>
      </c>
      <c r="AD1223" t="s">
        <v>57</v>
      </c>
      <c r="AE1223" s="2">
        <v>467.30434782608694</v>
      </c>
    </row>
    <row r="1224" spans="1:31" x14ac:dyDescent="0.35">
      <c r="A1224">
        <v>24</v>
      </c>
      <c r="B1224" s="1" t="s">
        <v>30</v>
      </c>
      <c r="C1224" s="1" t="s">
        <v>62</v>
      </c>
      <c r="D1224">
        <v>22</v>
      </c>
      <c r="E1224">
        <v>1</v>
      </c>
      <c r="F1224" s="1" t="s">
        <v>62</v>
      </c>
      <c r="G1224">
        <v>4</v>
      </c>
      <c r="H1224" s="1" t="s">
        <v>41</v>
      </c>
      <c r="I1224">
        <v>1</v>
      </c>
      <c r="J1224">
        <v>1</v>
      </c>
      <c r="K1224" s="1" t="s">
        <v>62</v>
      </c>
      <c r="L1224">
        <v>3</v>
      </c>
      <c r="M1224" s="1" t="s">
        <v>43</v>
      </c>
      <c r="N1224">
        <v>1555</v>
      </c>
      <c r="O1224">
        <v>1</v>
      </c>
      <c r="P1224" s="1" t="s">
        <v>39</v>
      </c>
      <c r="Q1224">
        <v>11</v>
      </c>
      <c r="R1224">
        <v>3</v>
      </c>
      <c r="S1224">
        <v>1</v>
      </c>
      <c r="T1224">
        <v>1</v>
      </c>
      <c r="U1224">
        <v>2</v>
      </c>
      <c r="V1224">
        <v>3</v>
      </c>
      <c r="W1224">
        <v>1</v>
      </c>
      <c r="X1224">
        <v>0</v>
      </c>
      <c r="Y1224">
        <v>0</v>
      </c>
      <c r="Z1224">
        <v>0</v>
      </c>
      <c r="AA1224">
        <v>1</v>
      </c>
      <c r="AB1224" s="1" t="s">
        <v>54</v>
      </c>
      <c r="AC1224" t="s">
        <v>46</v>
      </c>
      <c r="AD1224" t="s">
        <v>47</v>
      </c>
      <c r="AE1224" s="2">
        <v>1555</v>
      </c>
    </row>
    <row r="1225" spans="1:31" x14ac:dyDescent="0.35">
      <c r="A1225">
        <v>47</v>
      </c>
      <c r="B1225" s="1" t="s">
        <v>30</v>
      </c>
      <c r="C1225" s="1" t="s">
        <v>31</v>
      </c>
      <c r="D1225">
        <v>9</v>
      </c>
      <c r="E1225">
        <v>3</v>
      </c>
      <c r="F1225" s="1" t="s">
        <v>32</v>
      </c>
      <c r="G1225">
        <v>3</v>
      </c>
      <c r="H1225" s="1" t="s">
        <v>41</v>
      </c>
      <c r="I1225">
        <v>1</v>
      </c>
      <c r="J1225">
        <v>4</v>
      </c>
      <c r="K1225" s="1" t="s">
        <v>34</v>
      </c>
      <c r="L1225">
        <v>3</v>
      </c>
      <c r="M1225" s="1" t="s">
        <v>43</v>
      </c>
      <c r="N1225">
        <v>12936</v>
      </c>
      <c r="O1225">
        <v>7</v>
      </c>
      <c r="P1225" s="1" t="s">
        <v>39</v>
      </c>
      <c r="Q1225">
        <v>11</v>
      </c>
      <c r="R1225">
        <v>3</v>
      </c>
      <c r="S1225">
        <v>0</v>
      </c>
      <c r="T1225">
        <v>25</v>
      </c>
      <c r="U1225">
        <v>3</v>
      </c>
      <c r="V1225">
        <v>1</v>
      </c>
      <c r="W1225">
        <v>23</v>
      </c>
      <c r="X1225">
        <v>5</v>
      </c>
      <c r="Y1225">
        <v>14</v>
      </c>
      <c r="Z1225">
        <v>10</v>
      </c>
      <c r="AA1225">
        <v>1</v>
      </c>
      <c r="AB1225" s="1" t="s">
        <v>82</v>
      </c>
      <c r="AC1225" t="s">
        <v>56</v>
      </c>
      <c r="AD1225" t="s">
        <v>57</v>
      </c>
      <c r="AE1225" s="2">
        <v>562.43478260869563</v>
      </c>
    </row>
    <row r="1226" spans="1:31" x14ac:dyDescent="0.35">
      <c r="A1226">
        <v>26</v>
      </c>
      <c r="B1226" s="1" t="s">
        <v>39</v>
      </c>
      <c r="C1226" s="1" t="s">
        <v>40</v>
      </c>
      <c r="D1226">
        <v>17</v>
      </c>
      <c r="E1226">
        <v>4</v>
      </c>
      <c r="F1226" s="1" t="s">
        <v>49</v>
      </c>
      <c r="G1226">
        <v>4</v>
      </c>
      <c r="H1226" s="1" t="s">
        <v>41</v>
      </c>
      <c r="I1226">
        <v>1</v>
      </c>
      <c r="J1226">
        <v>1</v>
      </c>
      <c r="K1226" s="1" t="s">
        <v>45</v>
      </c>
      <c r="L1226">
        <v>3</v>
      </c>
      <c r="M1226" s="1" t="s">
        <v>43</v>
      </c>
      <c r="N1226">
        <v>2305</v>
      </c>
      <c r="O1226">
        <v>1</v>
      </c>
      <c r="P1226" s="1" t="s">
        <v>39</v>
      </c>
      <c r="Q1226">
        <v>15</v>
      </c>
      <c r="R1226">
        <v>3</v>
      </c>
      <c r="S1226">
        <v>3</v>
      </c>
      <c r="T1226">
        <v>3</v>
      </c>
      <c r="U1226">
        <v>3</v>
      </c>
      <c r="V1226">
        <v>4</v>
      </c>
      <c r="W1226">
        <v>3</v>
      </c>
      <c r="X1226">
        <v>2</v>
      </c>
      <c r="Y1226">
        <v>0</v>
      </c>
      <c r="Z1226">
        <v>2</v>
      </c>
      <c r="AA1226">
        <v>0</v>
      </c>
      <c r="AB1226" s="1" t="s">
        <v>48</v>
      </c>
      <c r="AC1226" t="s">
        <v>46</v>
      </c>
      <c r="AD1226" t="s">
        <v>53</v>
      </c>
      <c r="AE1226" s="2">
        <v>768.33333333333337</v>
      </c>
    </row>
    <row r="1227" spans="1:31" x14ac:dyDescent="0.35">
      <c r="A1227">
        <v>45</v>
      </c>
      <c r="B1227" s="1" t="s">
        <v>39</v>
      </c>
      <c r="C1227" s="1" t="s">
        <v>40</v>
      </c>
      <c r="D1227">
        <v>28</v>
      </c>
      <c r="E1227">
        <v>2</v>
      </c>
      <c r="F1227" s="1" t="s">
        <v>61</v>
      </c>
      <c r="G1227">
        <v>4</v>
      </c>
      <c r="H1227" s="1" t="s">
        <v>33</v>
      </c>
      <c r="I1227">
        <v>2</v>
      </c>
      <c r="J1227">
        <v>4</v>
      </c>
      <c r="K1227" s="1" t="s">
        <v>59</v>
      </c>
      <c r="L1227">
        <v>2</v>
      </c>
      <c r="M1227" s="1" t="s">
        <v>35</v>
      </c>
      <c r="N1227">
        <v>16704</v>
      </c>
      <c r="O1227">
        <v>1</v>
      </c>
      <c r="P1227" s="1" t="s">
        <v>39</v>
      </c>
      <c r="Q1227">
        <v>11</v>
      </c>
      <c r="R1227">
        <v>3</v>
      </c>
      <c r="S1227">
        <v>0</v>
      </c>
      <c r="T1227">
        <v>21</v>
      </c>
      <c r="U1227">
        <v>2</v>
      </c>
      <c r="V1227">
        <v>3</v>
      </c>
      <c r="W1227">
        <v>21</v>
      </c>
      <c r="X1227">
        <v>6</v>
      </c>
      <c r="Y1227">
        <v>8</v>
      </c>
      <c r="Z1227">
        <v>6</v>
      </c>
      <c r="AA1227">
        <v>0</v>
      </c>
      <c r="AB1227" s="1" t="s">
        <v>36</v>
      </c>
      <c r="AC1227" t="s">
        <v>56</v>
      </c>
      <c r="AD1227" t="s">
        <v>57</v>
      </c>
      <c r="AE1227" s="2">
        <v>795.42857142857144</v>
      </c>
    </row>
    <row r="1228" spans="1:31" x14ac:dyDescent="0.35">
      <c r="A1228">
        <v>32</v>
      </c>
      <c r="B1228" s="1" t="s">
        <v>39</v>
      </c>
      <c r="C1228" s="1" t="s">
        <v>40</v>
      </c>
      <c r="D1228">
        <v>10</v>
      </c>
      <c r="E1228">
        <v>3</v>
      </c>
      <c r="F1228" s="1" t="s">
        <v>32</v>
      </c>
      <c r="G1228">
        <v>1</v>
      </c>
      <c r="H1228" s="1" t="s">
        <v>41</v>
      </c>
      <c r="I1228">
        <v>3</v>
      </c>
      <c r="J1228">
        <v>1</v>
      </c>
      <c r="K1228" s="1" t="s">
        <v>42</v>
      </c>
      <c r="L1228">
        <v>3</v>
      </c>
      <c r="M1228" s="1" t="s">
        <v>43</v>
      </c>
      <c r="N1228">
        <v>3433</v>
      </c>
      <c r="O1228">
        <v>6</v>
      </c>
      <c r="P1228" s="1" t="s">
        <v>39</v>
      </c>
      <c r="Q1228">
        <v>13</v>
      </c>
      <c r="R1228">
        <v>1</v>
      </c>
      <c r="S1228">
        <v>1</v>
      </c>
      <c r="T1228">
        <v>10</v>
      </c>
      <c r="U1228">
        <v>3</v>
      </c>
      <c r="V1228">
        <v>2</v>
      </c>
      <c r="W1228">
        <v>5</v>
      </c>
      <c r="X1228">
        <v>2</v>
      </c>
      <c r="Y1228">
        <v>1</v>
      </c>
      <c r="Z1228">
        <v>3</v>
      </c>
      <c r="AA1228">
        <v>0</v>
      </c>
      <c r="AB1228" s="1" t="s">
        <v>48</v>
      </c>
      <c r="AC1228" t="s">
        <v>46</v>
      </c>
      <c r="AD1228" t="s">
        <v>53</v>
      </c>
      <c r="AE1228" s="2">
        <v>686.6</v>
      </c>
    </row>
    <row r="1229" spans="1:31" x14ac:dyDescent="0.35">
      <c r="A1229">
        <v>31</v>
      </c>
      <c r="B1229" s="1" t="s">
        <v>39</v>
      </c>
      <c r="C1229" s="1" t="s">
        <v>40</v>
      </c>
      <c r="D1229">
        <v>2</v>
      </c>
      <c r="E1229">
        <v>4</v>
      </c>
      <c r="F1229" s="1" t="s">
        <v>32</v>
      </c>
      <c r="G1229">
        <v>2</v>
      </c>
      <c r="H1229" s="1" t="s">
        <v>41</v>
      </c>
      <c r="I1229">
        <v>3</v>
      </c>
      <c r="J1229">
        <v>1</v>
      </c>
      <c r="K1229" s="1" t="s">
        <v>45</v>
      </c>
      <c r="L1229">
        <v>3</v>
      </c>
      <c r="M1229" s="1" t="s">
        <v>43</v>
      </c>
      <c r="N1229">
        <v>3477</v>
      </c>
      <c r="O1229">
        <v>1</v>
      </c>
      <c r="P1229" s="1" t="s">
        <v>39</v>
      </c>
      <c r="Q1229">
        <v>14</v>
      </c>
      <c r="R1229">
        <v>4</v>
      </c>
      <c r="S1229">
        <v>1</v>
      </c>
      <c r="T1229">
        <v>6</v>
      </c>
      <c r="U1229">
        <v>2</v>
      </c>
      <c r="V1229">
        <v>4</v>
      </c>
      <c r="W1229">
        <v>5</v>
      </c>
      <c r="X1229">
        <v>2</v>
      </c>
      <c r="Y1229">
        <v>0</v>
      </c>
      <c r="Z1229">
        <v>3</v>
      </c>
      <c r="AA1229">
        <v>0</v>
      </c>
      <c r="AB1229" s="1" t="s">
        <v>48</v>
      </c>
      <c r="AC1229" t="s">
        <v>46</v>
      </c>
      <c r="AD1229" t="s">
        <v>53</v>
      </c>
      <c r="AE1229" s="2">
        <v>695.4</v>
      </c>
    </row>
    <row r="1230" spans="1:31" x14ac:dyDescent="0.35">
      <c r="A1230">
        <v>41</v>
      </c>
      <c r="B1230" s="1" t="s">
        <v>39</v>
      </c>
      <c r="C1230" s="1" t="s">
        <v>62</v>
      </c>
      <c r="D1230">
        <v>4</v>
      </c>
      <c r="E1230">
        <v>3</v>
      </c>
      <c r="F1230" s="1" t="s">
        <v>62</v>
      </c>
      <c r="G1230">
        <v>3</v>
      </c>
      <c r="H1230" s="1" t="s">
        <v>41</v>
      </c>
      <c r="I1230">
        <v>1</v>
      </c>
      <c r="J1230">
        <v>2</v>
      </c>
      <c r="K1230" s="1" t="s">
        <v>62</v>
      </c>
      <c r="L1230">
        <v>2</v>
      </c>
      <c r="M1230" s="1" t="s">
        <v>43</v>
      </c>
      <c r="N1230">
        <v>6430</v>
      </c>
      <c r="O1230">
        <v>6</v>
      </c>
      <c r="P1230" s="1" t="s">
        <v>39</v>
      </c>
      <c r="Q1230">
        <v>19</v>
      </c>
      <c r="R1230">
        <v>2</v>
      </c>
      <c r="S1230">
        <v>1</v>
      </c>
      <c r="T1230">
        <v>10</v>
      </c>
      <c r="U1230">
        <v>4</v>
      </c>
      <c r="V1230">
        <v>3</v>
      </c>
      <c r="W1230">
        <v>3</v>
      </c>
      <c r="X1230">
        <v>2</v>
      </c>
      <c r="Y1230">
        <v>1</v>
      </c>
      <c r="Z1230">
        <v>2</v>
      </c>
      <c r="AA1230">
        <v>0</v>
      </c>
      <c r="AB1230" s="1" t="s">
        <v>36</v>
      </c>
      <c r="AC1230" t="s">
        <v>37</v>
      </c>
      <c r="AD1230" t="s">
        <v>53</v>
      </c>
      <c r="AE1230" s="2">
        <v>2143.3333333333335</v>
      </c>
    </row>
    <row r="1231" spans="1:31" x14ac:dyDescent="0.35">
      <c r="A1231">
        <v>40</v>
      </c>
      <c r="B1231" s="1" t="s">
        <v>39</v>
      </c>
      <c r="C1231" s="1" t="s">
        <v>40</v>
      </c>
      <c r="D1231">
        <v>8</v>
      </c>
      <c r="E1231">
        <v>2</v>
      </c>
      <c r="F1231" s="1" t="s">
        <v>32</v>
      </c>
      <c r="G1231">
        <v>2</v>
      </c>
      <c r="H1231" s="1" t="s">
        <v>33</v>
      </c>
      <c r="I1231">
        <v>3</v>
      </c>
      <c r="J1231">
        <v>2</v>
      </c>
      <c r="K1231" s="1" t="s">
        <v>51</v>
      </c>
      <c r="L1231">
        <v>1</v>
      </c>
      <c r="M1231" s="1" t="s">
        <v>43</v>
      </c>
      <c r="N1231">
        <v>6516</v>
      </c>
      <c r="O1231">
        <v>2</v>
      </c>
      <c r="P1231" s="1" t="s">
        <v>30</v>
      </c>
      <c r="Q1231">
        <v>16</v>
      </c>
      <c r="R1231">
        <v>2</v>
      </c>
      <c r="S1231">
        <v>1</v>
      </c>
      <c r="T1231">
        <v>18</v>
      </c>
      <c r="U1231">
        <v>3</v>
      </c>
      <c r="V1231">
        <v>3</v>
      </c>
      <c r="W1231">
        <v>1</v>
      </c>
      <c r="X1231">
        <v>0</v>
      </c>
      <c r="Y1231">
        <v>0</v>
      </c>
      <c r="Z1231">
        <v>0</v>
      </c>
      <c r="AA1231">
        <v>0</v>
      </c>
      <c r="AB1231" s="1" t="s">
        <v>36</v>
      </c>
      <c r="AC1231" t="s">
        <v>37</v>
      </c>
      <c r="AD1231" t="s">
        <v>47</v>
      </c>
      <c r="AE1231" s="2">
        <v>6516</v>
      </c>
    </row>
    <row r="1232" spans="1:31" x14ac:dyDescent="0.35">
      <c r="A1232">
        <v>24</v>
      </c>
      <c r="B1232" s="1" t="s">
        <v>39</v>
      </c>
      <c r="C1232" s="1" t="s">
        <v>40</v>
      </c>
      <c r="D1232">
        <v>29</v>
      </c>
      <c r="E1232">
        <v>1</v>
      </c>
      <c r="F1232" s="1" t="s">
        <v>49</v>
      </c>
      <c r="G1232">
        <v>2</v>
      </c>
      <c r="H1232" s="1" t="s">
        <v>41</v>
      </c>
      <c r="I1232">
        <v>3</v>
      </c>
      <c r="J1232">
        <v>1</v>
      </c>
      <c r="K1232" s="1" t="s">
        <v>45</v>
      </c>
      <c r="L1232">
        <v>1</v>
      </c>
      <c r="M1232" s="1" t="s">
        <v>50</v>
      </c>
      <c r="N1232">
        <v>3907</v>
      </c>
      <c r="O1232">
        <v>1</v>
      </c>
      <c r="P1232" s="1" t="s">
        <v>39</v>
      </c>
      <c r="Q1232">
        <v>13</v>
      </c>
      <c r="R1232">
        <v>2</v>
      </c>
      <c r="S1232">
        <v>3</v>
      </c>
      <c r="T1232">
        <v>6</v>
      </c>
      <c r="U1232">
        <v>2</v>
      </c>
      <c r="V1232">
        <v>4</v>
      </c>
      <c r="W1232">
        <v>6</v>
      </c>
      <c r="X1232">
        <v>2</v>
      </c>
      <c r="Y1232">
        <v>1</v>
      </c>
      <c r="Z1232">
        <v>2</v>
      </c>
      <c r="AA1232">
        <v>0</v>
      </c>
      <c r="AB1232" s="1" t="s">
        <v>54</v>
      </c>
      <c r="AC1232" t="s">
        <v>46</v>
      </c>
      <c r="AD1232" t="s">
        <v>38</v>
      </c>
      <c r="AE1232" s="2">
        <v>651.16666666666663</v>
      </c>
    </row>
    <row r="1233" spans="1:31" x14ac:dyDescent="0.35">
      <c r="A1233">
        <v>46</v>
      </c>
      <c r="B1233" s="1" t="s">
        <v>39</v>
      </c>
      <c r="C1233" s="1" t="s">
        <v>40</v>
      </c>
      <c r="D1233">
        <v>13</v>
      </c>
      <c r="E1233">
        <v>4</v>
      </c>
      <c r="F1233" s="1" t="s">
        <v>32</v>
      </c>
      <c r="G1233">
        <v>3</v>
      </c>
      <c r="H1233" s="1" t="s">
        <v>41</v>
      </c>
      <c r="I1233">
        <v>3</v>
      </c>
      <c r="J1233">
        <v>2</v>
      </c>
      <c r="K1233" s="1" t="s">
        <v>52</v>
      </c>
      <c r="L1233">
        <v>2</v>
      </c>
      <c r="M1233" s="1" t="s">
        <v>35</v>
      </c>
      <c r="N1233">
        <v>5562</v>
      </c>
      <c r="O1233">
        <v>6</v>
      </c>
      <c r="P1233" s="1" t="s">
        <v>39</v>
      </c>
      <c r="Q1233">
        <v>14</v>
      </c>
      <c r="R1233">
        <v>4</v>
      </c>
      <c r="S1233">
        <v>0</v>
      </c>
      <c r="T1233">
        <v>19</v>
      </c>
      <c r="U1233">
        <v>3</v>
      </c>
      <c r="V1233">
        <v>3</v>
      </c>
      <c r="W1233">
        <v>10</v>
      </c>
      <c r="X1233">
        <v>7</v>
      </c>
      <c r="Y1233">
        <v>0</v>
      </c>
      <c r="Z1233">
        <v>9</v>
      </c>
      <c r="AA1233">
        <v>0</v>
      </c>
      <c r="AB1233" s="1" t="s">
        <v>82</v>
      </c>
      <c r="AC1233" t="s">
        <v>37</v>
      </c>
      <c r="AD1233" t="s">
        <v>38</v>
      </c>
      <c r="AE1233" s="2">
        <v>556.20000000000005</v>
      </c>
    </row>
    <row r="1234" spans="1:31" x14ac:dyDescent="0.35">
      <c r="A1234">
        <v>35</v>
      </c>
      <c r="B1234" s="1" t="s">
        <v>39</v>
      </c>
      <c r="C1234" s="1" t="s">
        <v>40</v>
      </c>
      <c r="D1234">
        <v>27</v>
      </c>
      <c r="E1234">
        <v>4</v>
      </c>
      <c r="F1234" s="1" t="s">
        <v>32</v>
      </c>
      <c r="G1234">
        <v>4</v>
      </c>
      <c r="H1234" s="1" t="s">
        <v>41</v>
      </c>
      <c r="I1234">
        <v>3</v>
      </c>
      <c r="J1234">
        <v>2</v>
      </c>
      <c r="K1234" s="1" t="s">
        <v>51</v>
      </c>
      <c r="L1234">
        <v>3</v>
      </c>
      <c r="M1234" s="1" t="s">
        <v>43</v>
      </c>
      <c r="N1234">
        <v>6883</v>
      </c>
      <c r="O1234">
        <v>2</v>
      </c>
      <c r="P1234" s="1" t="s">
        <v>39</v>
      </c>
      <c r="Q1234">
        <v>16</v>
      </c>
      <c r="R1234">
        <v>2</v>
      </c>
      <c r="S1234">
        <v>1</v>
      </c>
      <c r="T1234">
        <v>17</v>
      </c>
      <c r="U1234">
        <v>3</v>
      </c>
      <c r="V1234">
        <v>3</v>
      </c>
      <c r="W1234">
        <v>7</v>
      </c>
      <c r="X1234">
        <v>7</v>
      </c>
      <c r="Y1234">
        <v>0</v>
      </c>
      <c r="Z1234">
        <v>7</v>
      </c>
      <c r="AA1234">
        <v>0</v>
      </c>
      <c r="AB1234" s="1" t="s">
        <v>48</v>
      </c>
      <c r="AC1234" t="s">
        <v>37</v>
      </c>
      <c r="AD1234" t="s">
        <v>38</v>
      </c>
      <c r="AE1234" s="2">
        <v>983.28571428571433</v>
      </c>
    </row>
    <row r="1235" spans="1:31" x14ac:dyDescent="0.35">
      <c r="A1235">
        <v>30</v>
      </c>
      <c r="B1235" s="1" t="s">
        <v>39</v>
      </c>
      <c r="C1235" s="1" t="s">
        <v>40</v>
      </c>
      <c r="D1235">
        <v>16</v>
      </c>
      <c r="E1235">
        <v>1</v>
      </c>
      <c r="F1235" s="1" t="s">
        <v>32</v>
      </c>
      <c r="G1235">
        <v>2</v>
      </c>
      <c r="H1235" s="1" t="s">
        <v>41</v>
      </c>
      <c r="I1235">
        <v>3</v>
      </c>
      <c r="J1235">
        <v>1</v>
      </c>
      <c r="K1235" s="1" t="s">
        <v>42</v>
      </c>
      <c r="L1235">
        <v>4</v>
      </c>
      <c r="M1235" s="1" t="s">
        <v>43</v>
      </c>
      <c r="N1235">
        <v>2862</v>
      </c>
      <c r="O1235">
        <v>1</v>
      </c>
      <c r="P1235" s="1" t="s">
        <v>39</v>
      </c>
      <c r="Q1235">
        <v>12</v>
      </c>
      <c r="R1235">
        <v>2</v>
      </c>
      <c r="S1235">
        <v>1</v>
      </c>
      <c r="T1235">
        <v>10</v>
      </c>
      <c r="U1235">
        <v>2</v>
      </c>
      <c r="V1235">
        <v>2</v>
      </c>
      <c r="W1235">
        <v>10</v>
      </c>
      <c r="X1235">
        <v>0</v>
      </c>
      <c r="Y1235">
        <v>0</v>
      </c>
      <c r="Z1235">
        <v>8</v>
      </c>
      <c r="AA1235">
        <v>0</v>
      </c>
      <c r="AB1235" s="1" t="s">
        <v>48</v>
      </c>
      <c r="AC1235" t="s">
        <v>46</v>
      </c>
      <c r="AD1235" t="s">
        <v>38</v>
      </c>
      <c r="AE1235" s="2">
        <v>286.2</v>
      </c>
    </row>
    <row r="1236" spans="1:31" x14ac:dyDescent="0.35">
      <c r="A1236">
        <v>47</v>
      </c>
      <c r="B1236" s="1" t="s">
        <v>39</v>
      </c>
      <c r="C1236" s="1" t="s">
        <v>31</v>
      </c>
      <c r="D1236">
        <v>2</v>
      </c>
      <c r="E1236">
        <v>4</v>
      </c>
      <c r="F1236" s="1" t="s">
        <v>60</v>
      </c>
      <c r="G1236">
        <v>3</v>
      </c>
      <c r="H1236" s="1" t="s">
        <v>41</v>
      </c>
      <c r="I1236">
        <v>3</v>
      </c>
      <c r="J1236">
        <v>2</v>
      </c>
      <c r="K1236" s="1" t="s">
        <v>34</v>
      </c>
      <c r="L1236">
        <v>2</v>
      </c>
      <c r="M1236" s="1" t="s">
        <v>43</v>
      </c>
      <c r="N1236">
        <v>4978</v>
      </c>
      <c r="O1236">
        <v>7</v>
      </c>
      <c r="P1236" s="1" t="s">
        <v>39</v>
      </c>
      <c r="Q1236">
        <v>11</v>
      </c>
      <c r="R1236">
        <v>4</v>
      </c>
      <c r="S1236">
        <v>1</v>
      </c>
      <c r="T1236">
        <v>4</v>
      </c>
      <c r="U1236">
        <v>3</v>
      </c>
      <c r="V1236">
        <v>1</v>
      </c>
      <c r="W1236">
        <v>1</v>
      </c>
      <c r="X1236">
        <v>0</v>
      </c>
      <c r="Y1236">
        <v>0</v>
      </c>
      <c r="Z1236">
        <v>0</v>
      </c>
      <c r="AA1236">
        <v>0</v>
      </c>
      <c r="AB1236" s="1" t="s">
        <v>82</v>
      </c>
      <c r="AC1236" t="s">
        <v>37</v>
      </c>
      <c r="AD1236" t="s">
        <v>47</v>
      </c>
      <c r="AE1236" s="2">
        <v>4978</v>
      </c>
    </row>
    <row r="1237" spans="1:31" x14ac:dyDescent="0.35">
      <c r="A1237">
        <v>46</v>
      </c>
      <c r="B1237" s="1" t="s">
        <v>39</v>
      </c>
      <c r="C1237" s="1" t="s">
        <v>31</v>
      </c>
      <c r="D1237">
        <v>2</v>
      </c>
      <c r="E1237">
        <v>3</v>
      </c>
      <c r="F1237" s="1" t="s">
        <v>32</v>
      </c>
      <c r="G1237">
        <v>3</v>
      </c>
      <c r="H1237" s="1" t="s">
        <v>41</v>
      </c>
      <c r="I1237">
        <v>3</v>
      </c>
      <c r="J1237">
        <v>3</v>
      </c>
      <c r="K1237" s="1" t="s">
        <v>34</v>
      </c>
      <c r="L1237">
        <v>4</v>
      </c>
      <c r="M1237" s="1" t="s">
        <v>50</v>
      </c>
      <c r="N1237">
        <v>10368</v>
      </c>
      <c r="O1237">
        <v>4</v>
      </c>
      <c r="P1237" s="1" t="s">
        <v>30</v>
      </c>
      <c r="Q1237">
        <v>12</v>
      </c>
      <c r="R1237">
        <v>2</v>
      </c>
      <c r="S1237">
        <v>1</v>
      </c>
      <c r="T1237">
        <v>13</v>
      </c>
      <c r="U1237">
        <v>5</v>
      </c>
      <c r="V1237">
        <v>2</v>
      </c>
      <c r="W1237">
        <v>10</v>
      </c>
      <c r="X1237">
        <v>6</v>
      </c>
      <c r="Y1237">
        <v>0</v>
      </c>
      <c r="Z1237">
        <v>3</v>
      </c>
      <c r="AA1237">
        <v>0</v>
      </c>
      <c r="AB1237" s="1" t="s">
        <v>82</v>
      </c>
      <c r="AC1237" t="s">
        <v>56</v>
      </c>
      <c r="AD1237" t="s">
        <v>38</v>
      </c>
      <c r="AE1237" s="2">
        <v>1036.8</v>
      </c>
    </row>
    <row r="1238" spans="1:31" x14ac:dyDescent="0.35">
      <c r="A1238">
        <v>36</v>
      </c>
      <c r="B1238" s="1" t="s">
        <v>30</v>
      </c>
      <c r="C1238" s="1" t="s">
        <v>31</v>
      </c>
      <c r="D1238">
        <v>13</v>
      </c>
      <c r="E1238">
        <v>5</v>
      </c>
      <c r="F1238" s="1" t="s">
        <v>60</v>
      </c>
      <c r="G1238">
        <v>2</v>
      </c>
      <c r="H1238" s="1" t="s">
        <v>41</v>
      </c>
      <c r="I1238">
        <v>2</v>
      </c>
      <c r="J1238">
        <v>2</v>
      </c>
      <c r="K1238" s="1" t="s">
        <v>34</v>
      </c>
      <c r="L1238">
        <v>1</v>
      </c>
      <c r="M1238" s="1" t="s">
        <v>50</v>
      </c>
      <c r="N1238">
        <v>6134</v>
      </c>
      <c r="O1238">
        <v>5</v>
      </c>
      <c r="P1238" s="1" t="s">
        <v>30</v>
      </c>
      <c r="Q1238">
        <v>13</v>
      </c>
      <c r="R1238">
        <v>2</v>
      </c>
      <c r="S1238">
        <v>3</v>
      </c>
      <c r="T1238">
        <v>16</v>
      </c>
      <c r="U1238">
        <v>3</v>
      </c>
      <c r="V1238">
        <v>3</v>
      </c>
      <c r="W1238">
        <v>2</v>
      </c>
      <c r="X1238">
        <v>2</v>
      </c>
      <c r="Y1238">
        <v>2</v>
      </c>
      <c r="Z1238">
        <v>2</v>
      </c>
      <c r="AA1238">
        <v>1</v>
      </c>
      <c r="AB1238" s="1" t="s">
        <v>36</v>
      </c>
      <c r="AC1238" t="s">
        <v>37</v>
      </c>
      <c r="AD1238" t="s">
        <v>47</v>
      </c>
      <c r="AE1238" s="2">
        <v>3067</v>
      </c>
    </row>
    <row r="1239" spans="1:31" x14ac:dyDescent="0.35">
      <c r="A1239">
        <v>32</v>
      </c>
      <c r="B1239" s="1" t="s">
        <v>30</v>
      </c>
      <c r="C1239" s="1" t="s">
        <v>31</v>
      </c>
      <c r="D1239">
        <v>1</v>
      </c>
      <c r="E1239">
        <v>2</v>
      </c>
      <c r="F1239" s="1" t="s">
        <v>32</v>
      </c>
      <c r="G1239">
        <v>1</v>
      </c>
      <c r="H1239" s="1" t="s">
        <v>41</v>
      </c>
      <c r="I1239">
        <v>1</v>
      </c>
      <c r="J1239">
        <v>2</v>
      </c>
      <c r="K1239" s="1" t="s">
        <v>34</v>
      </c>
      <c r="L1239">
        <v>2</v>
      </c>
      <c r="M1239" s="1" t="s">
        <v>35</v>
      </c>
      <c r="N1239">
        <v>6735</v>
      </c>
      <c r="O1239">
        <v>6</v>
      </c>
      <c r="P1239" s="1" t="s">
        <v>39</v>
      </c>
      <c r="Q1239">
        <v>15</v>
      </c>
      <c r="R1239">
        <v>2</v>
      </c>
      <c r="S1239">
        <v>0</v>
      </c>
      <c r="T1239">
        <v>10</v>
      </c>
      <c r="U1239">
        <v>2</v>
      </c>
      <c r="V1239">
        <v>3</v>
      </c>
      <c r="W1239">
        <v>0</v>
      </c>
      <c r="X1239">
        <v>0</v>
      </c>
      <c r="Y1239">
        <v>0</v>
      </c>
      <c r="Z1239">
        <v>0</v>
      </c>
      <c r="AA1239">
        <v>1</v>
      </c>
      <c r="AB1239" s="1" t="s">
        <v>48</v>
      </c>
      <c r="AC1239" t="s">
        <v>37</v>
      </c>
      <c r="AD1239" t="s">
        <v>47</v>
      </c>
      <c r="AE1239" s="2">
        <v>6735</v>
      </c>
    </row>
    <row r="1240" spans="1:31" x14ac:dyDescent="0.35">
      <c r="A1240">
        <v>23</v>
      </c>
      <c r="B1240" s="1" t="s">
        <v>39</v>
      </c>
      <c r="C1240" s="1" t="s">
        <v>40</v>
      </c>
      <c r="D1240">
        <v>4</v>
      </c>
      <c r="E1240">
        <v>1</v>
      </c>
      <c r="F1240" s="1" t="s">
        <v>49</v>
      </c>
      <c r="G1240">
        <v>3</v>
      </c>
      <c r="H1240" s="1" t="s">
        <v>33</v>
      </c>
      <c r="I1240">
        <v>3</v>
      </c>
      <c r="J1240">
        <v>1</v>
      </c>
      <c r="K1240" s="1" t="s">
        <v>45</v>
      </c>
      <c r="L1240">
        <v>2</v>
      </c>
      <c r="M1240" s="1" t="s">
        <v>35</v>
      </c>
      <c r="N1240">
        <v>3295</v>
      </c>
      <c r="O1240">
        <v>1</v>
      </c>
      <c r="P1240" s="1" t="s">
        <v>39</v>
      </c>
      <c r="Q1240">
        <v>13</v>
      </c>
      <c r="R1240">
        <v>3</v>
      </c>
      <c r="S1240">
        <v>0</v>
      </c>
      <c r="T1240">
        <v>3</v>
      </c>
      <c r="U1240">
        <v>3</v>
      </c>
      <c r="V1240">
        <v>1</v>
      </c>
      <c r="W1240">
        <v>3</v>
      </c>
      <c r="X1240">
        <v>2</v>
      </c>
      <c r="Y1240">
        <v>1</v>
      </c>
      <c r="Z1240">
        <v>2</v>
      </c>
      <c r="AA1240">
        <v>0</v>
      </c>
      <c r="AB1240" s="1" t="s">
        <v>54</v>
      </c>
      <c r="AC1240" t="s">
        <v>46</v>
      </c>
      <c r="AD1240" t="s">
        <v>53</v>
      </c>
      <c r="AE1240" s="2">
        <v>1098.3333333333333</v>
      </c>
    </row>
    <row r="1241" spans="1:31" x14ac:dyDescent="0.35">
      <c r="A1241">
        <v>31</v>
      </c>
      <c r="B1241" s="1" t="s">
        <v>39</v>
      </c>
      <c r="C1241" s="1" t="s">
        <v>40</v>
      </c>
      <c r="D1241">
        <v>24</v>
      </c>
      <c r="E1241">
        <v>1</v>
      </c>
      <c r="F1241" s="1" t="s">
        <v>61</v>
      </c>
      <c r="G1241">
        <v>4</v>
      </c>
      <c r="H1241" s="1" t="s">
        <v>33</v>
      </c>
      <c r="I1241">
        <v>3</v>
      </c>
      <c r="J1241">
        <v>2</v>
      </c>
      <c r="K1241" s="1" t="s">
        <v>51</v>
      </c>
      <c r="L1241">
        <v>4</v>
      </c>
      <c r="M1241" s="1" t="s">
        <v>35</v>
      </c>
      <c r="N1241">
        <v>5238</v>
      </c>
      <c r="O1241">
        <v>2</v>
      </c>
      <c r="P1241" s="1" t="s">
        <v>39</v>
      </c>
      <c r="Q1241">
        <v>20</v>
      </c>
      <c r="R1241">
        <v>4</v>
      </c>
      <c r="S1241">
        <v>0</v>
      </c>
      <c r="T1241">
        <v>9</v>
      </c>
      <c r="U1241">
        <v>3</v>
      </c>
      <c r="V1241">
        <v>2</v>
      </c>
      <c r="W1241">
        <v>5</v>
      </c>
      <c r="X1241">
        <v>4</v>
      </c>
      <c r="Y1241">
        <v>1</v>
      </c>
      <c r="Z1241">
        <v>4</v>
      </c>
      <c r="AA1241">
        <v>0</v>
      </c>
      <c r="AB1241" s="1" t="s">
        <v>48</v>
      </c>
      <c r="AC1241" t="s">
        <v>37</v>
      </c>
      <c r="AD1241" t="s">
        <v>53</v>
      </c>
      <c r="AE1241" s="2">
        <v>1047.5999999999999</v>
      </c>
    </row>
    <row r="1242" spans="1:31" x14ac:dyDescent="0.35">
      <c r="A1242">
        <v>39</v>
      </c>
      <c r="B1242" s="1" t="s">
        <v>39</v>
      </c>
      <c r="C1242" s="1" t="s">
        <v>40</v>
      </c>
      <c r="D1242">
        <v>1</v>
      </c>
      <c r="E1242">
        <v>3</v>
      </c>
      <c r="F1242" s="1" t="s">
        <v>32</v>
      </c>
      <c r="G1242">
        <v>4</v>
      </c>
      <c r="H1242" s="1" t="s">
        <v>41</v>
      </c>
      <c r="I1242">
        <v>3</v>
      </c>
      <c r="J1242">
        <v>2</v>
      </c>
      <c r="K1242" s="1" t="s">
        <v>45</v>
      </c>
      <c r="L1242">
        <v>4</v>
      </c>
      <c r="M1242" s="1" t="s">
        <v>43</v>
      </c>
      <c r="N1242">
        <v>6472</v>
      </c>
      <c r="O1242">
        <v>1</v>
      </c>
      <c r="P1242" s="1" t="s">
        <v>30</v>
      </c>
      <c r="Q1242">
        <v>15</v>
      </c>
      <c r="R1242">
        <v>4</v>
      </c>
      <c r="S1242">
        <v>1</v>
      </c>
      <c r="T1242">
        <v>9</v>
      </c>
      <c r="U1242">
        <v>2</v>
      </c>
      <c r="V1242">
        <v>3</v>
      </c>
      <c r="W1242">
        <v>9</v>
      </c>
      <c r="X1242">
        <v>8</v>
      </c>
      <c r="Y1242">
        <v>5</v>
      </c>
      <c r="Z1242">
        <v>8</v>
      </c>
      <c r="AA1242">
        <v>0</v>
      </c>
      <c r="AB1242" s="1" t="s">
        <v>36</v>
      </c>
      <c r="AC1242" t="s">
        <v>37</v>
      </c>
      <c r="AD1242" t="s">
        <v>38</v>
      </c>
      <c r="AE1242" s="2">
        <v>719.11111111111109</v>
      </c>
    </row>
    <row r="1243" spans="1:31" x14ac:dyDescent="0.35">
      <c r="A1243">
        <v>32</v>
      </c>
      <c r="B1243" s="1" t="s">
        <v>39</v>
      </c>
      <c r="C1243" s="1" t="s">
        <v>31</v>
      </c>
      <c r="D1243">
        <v>19</v>
      </c>
      <c r="E1243">
        <v>3</v>
      </c>
      <c r="F1243" s="1" t="s">
        <v>32</v>
      </c>
      <c r="G1243">
        <v>4</v>
      </c>
      <c r="H1243" s="1" t="s">
        <v>41</v>
      </c>
      <c r="I1243">
        <v>1</v>
      </c>
      <c r="J1243">
        <v>3</v>
      </c>
      <c r="K1243" s="1" t="s">
        <v>34</v>
      </c>
      <c r="L1243">
        <v>3</v>
      </c>
      <c r="M1243" s="1" t="s">
        <v>43</v>
      </c>
      <c r="N1243">
        <v>9610</v>
      </c>
      <c r="O1243">
        <v>3</v>
      </c>
      <c r="P1243" s="1" t="s">
        <v>39</v>
      </c>
      <c r="Q1243">
        <v>13</v>
      </c>
      <c r="R1243">
        <v>3</v>
      </c>
      <c r="S1243">
        <v>1</v>
      </c>
      <c r="T1243">
        <v>10</v>
      </c>
      <c r="U1243">
        <v>2</v>
      </c>
      <c r="V1243">
        <v>1</v>
      </c>
      <c r="W1243">
        <v>4</v>
      </c>
      <c r="X1243">
        <v>3</v>
      </c>
      <c r="Y1243">
        <v>0</v>
      </c>
      <c r="Z1243">
        <v>2</v>
      </c>
      <c r="AA1243">
        <v>0</v>
      </c>
      <c r="AB1243" s="1" t="s">
        <v>48</v>
      </c>
      <c r="AC1243" t="s">
        <v>37</v>
      </c>
      <c r="AD1243" t="s">
        <v>53</v>
      </c>
      <c r="AE1243" s="2">
        <v>2402.5</v>
      </c>
    </row>
    <row r="1244" spans="1:31" x14ac:dyDescent="0.35">
      <c r="A1244">
        <v>40</v>
      </c>
      <c r="B1244" s="1" t="s">
        <v>39</v>
      </c>
      <c r="C1244" s="1" t="s">
        <v>31</v>
      </c>
      <c r="D1244">
        <v>7</v>
      </c>
      <c r="E1244">
        <v>4</v>
      </c>
      <c r="F1244" s="1" t="s">
        <v>49</v>
      </c>
      <c r="G1244">
        <v>2</v>
      </c>
      <c r="H1244" s="1" t="s">
        <v>41</v>
      </c>
      <c r="I1244">
        <v>3</v>
      </c>
      <c r="J1244">
        <v>5</v>
      </c>
      <c r="K1244" s="1" t="s">
        <v>55</v>
      </c>
      <c r="L1244">
        <v>2</v>
      </c>
      <c r="M1244" s="1" t="s">
        <v>35</v>
      </c>
      <c r="N1244">
        <v>19833</v>
      </c>
      <c r="O1244">
        <v>1</v>
      </c>
      <c r="P1244" s="1" t="s">
        <v>39</v>
      </c>
      <c r="Q1244">
        <v>14</v>
      </c>
      <c r="R1244">
        <v>2</v>
      </c>
      <c r="S1244">
        <v>0</v>
      </c>
      <c r="T1244">
        <v>21</v>
      </c>
      <c r="U1244">
        <v>3</v>
      </c>
      <c r="V1244">
        <v>2</v>
      </c>
      <c r="W1244">
        <v>21</v>
      </c>
      <c r="X1244">
        <v>8</v>
      </c>
      <c r="Y1244">
        <v>12</v>
      </c>
      <c r="Z1244">
        <v>8</v>
      </c>
      <c r="AA1244">
        <v>0</v>
      </c>
      <c r="AB1244" s="1" t="s">
        <v>36</v>
      </c>
      <c r="AC1244" t="s">
        <v>56</v>
      </c>
      <c r="AD1244" t="s">
        <v>57</v>
      </c>
      <c r="AE1244" s="2">
        <v>944.42857142857144</v>
      </c>
    </row>
    <row r="1245" spans="1:31" x14ac:dyDescent="0.35">
      <c r="A1245">
        <v>45</v>
      </c>
      <c r="B1245" s="1" t="s">
        <v>39</v>
      </c>
      <c r="C1245" s="1" t="s">
        <v>62</v>
      </c>
      <c r="D1245">
        <v>4</v>
      </c>
      <c r="E1245">
        <v>3</v>
      </c>
      <c r="F1245" s="1" t="s">
        <v>32</v>
      </c>
      <c r="G1245">
        <v>3</v>
      </c>
      <c r="H1245" s="1" t="s">
        <v>33</v>
      </c>
      <c r="I1245">
        <v>1</v>
      </c>
      <c r="J1245">
        <v>3</v>
      </c>
      <c r="K1245" s="1" t="s">
        <v>62</v>
      </c>
      <c r="L1245">
        <v>3</v>
      </c>
      <c r="M1245" s="1" t="s">
        <v>43</v>
      </c>
      <c r="N1245">
        <v>9756</v>
      </c>
      <c r="O1245">
        <v>4</v>
      </c>
      <c r="P1245" s="1" t="s">
        <v>39</v>
      </c>
      <c r="Q1245">
        <v>21</v>
      </c>
      <c r="R1245">
        <v>3</v>
      </c>
      <c r="S1245">
        <v>2</v>
      </c>
      <c r="T1245">
        <v>9</v>
      </c>
      <c r="U1245">
        <v>2</v>
      </c>
      <c r="V1245">
        <v>4</v>
      </c>
      <c r="W1245">
        <v>5</v>
      </c>
      <c r="X1245">
        <v>0</v>
      </c>
      <c r="Y1245">
        <v>0</v>
      </c>
      <c r="Z1245">
        <v>3</v>
      </c>
      <c r="AA1245">
        <v>0</v>
      </c>
      <c r="AB1245" s="1" t="s">
        <v>36</v>
      </c>
      <c r="AC1245" t="s">
        <v>37</v>
      </c>
      <c r="AD1245" t="s">
        <v>53</v>
      </c>
      <c r="AE1245" s="2">
        <v>1951.2</v>
      </c>
    </row>
    <row r="1246" spans="1:31" x14ac:dyDescent="0.35">
      <c r="A1246">
        <v>30</v>
      </c>
      <c r="B1246" s="1" t="s">
        <v>39</v>
      </c>
      <c r="C1246" s="1" t="s">
        <v>40</v>
      </c>
      <c r="D1246">
        <v>2</v>
      </c>
      <c r="E1246">
        <v>4</v>
      </c>
      <c r="F1246" s="1" t="s">
        <v>61</v>
      </c>
      <c r="G1246">
        <v>4</v>
      </c>
      <c r="H1246" s="1" t="s">
        <v>33</v>
      </c>
      <c r="I1246">
        <v>2</v>
      </c>
      <c r="J1246">
        <v>1</v>
      </c>
      <c r="K1246" s="1" t="s">
        <v>42</v>
      </c>
      <c r="L1246">
        <v>1</v>
      </c>
      <c r="M1246" s="1" t="s">
        <v>35</v>
      </c>
      <c r="N1246">
        <v>4968</v>
      </c>
      <c r="O1246">
        <v>0</v>
      </c>
      <c r="P1246" s="1" t="s">
        <v>39</v>
      </c>
      <c r="Q1246">
        <v>16</v>
      </c>
      <c r="R1246">
        <v>4</v>
      </c>
      <c r="S1246">
        <v>0</v>
      </c>
      <c r="T1246">
        <v>10</v>
      </c>
      <c r="U1246">
        <v>2</v>
      </c>
      <c r="V1246">
        <v>3</v>
      </c>
      <c r="W1246">
        <v>9</v>
      </c>
      <c r="X1246">
        <v>7</v>
      </c>
      <c r="Y1246">
        <v>0</v>
      </c>
      <c r="Z1246">
        <v>7</v>
      </c>
      <c r="AA1246">
        <v>0</v>
      </c>
      <c r="AB1246" s="1" t="s">
        <v>48</v>
      </c>
      <c r="AC1246" t="s">
        <v>37</v>
      </c>
      <c r="AD1246" t="s">
        <v>38</v>
      </c>
      <c r="AE1246" s="2">
        <v>552</v>
      </c>
    </row>
    <row r="1247" spans="1:31" x14ac:dyDescent="0.35">
      <c r="A1247">
        <v>24</v>
      </c>
      <c r="B1247" s="1" t="s">
        <v>39</v>
      </c>
      <c r="C1247" s="1" t="s">
        <v>62</v>
      </c>
      <c r="D1247">
        <v>10</v>
      </c>
      <c r="E1247">
        <v>3</v>
      </c>
      <c r="F1247" s="1" t="s">
        <v>49</v>
      </c>
      <c r="G1247">
        <v>1</v>
      </c>
      <c r="H1247" s="1" t="s">
        <v>41</v>
      </c>
      <c r="I1247">
        <v>3</v>
      </c>
      <c r="J1247">
        <v>1</v>
      </c>
      <c r="K1247" s="1" t="s">
        <v>62</v>
      </c>
      <c r="L1247">
        <v>4</v>
      </c>
      <c r="M1247" s="1" t="s">
        <v>43</v>
      </c>
      <c r="N1247">
        <v>2145</v>
      </c>
      <c r="O1247">
        <v>0</v>
      </c>
      <c r="P1247" s="1" t="s">
        <v>39</v>
      </c>
      <c r="Q1247">
        <v>14</v>
      </c>
      <c r="R1247">
        <v>4</v>
      </c>
      <c r="S1247">
        <v>1</v>
      </c>
      <c r="T1247">
        <v>3</v>
      </c>
      <c r="U1247">
        <v>2</v>
      </c>
      <c r="V1247">
        <v>3</v>
      </c>
      <c r="W1247">
        <v>2</v>
      </c>
      <c r="X1247">
        <v>2</v>
      </c>
      <c r="Y1247">
        <v>2</v>
      </c>
      <c r="Z1247">
        <v>1</v>
      </c>
      <c r="AA1247">
        <v>0</v>
      </c>
      <c r="AB1247" s="1" t="s">
        <v>54</v>
      </c>
      <c r="AC1247" t="s">
        <v>46</v>
      </c>
      <c r="AD1247" t="s">
        <v>47</v>
      </c>
      <c r="AE1247" s="2">
        <v>1072.5</v>
      </c>
    </row>
    <row r="1248" spans="1:31" x14ac:dyDescent="0.35">
      <c r="A1248">
        <v>30</v>
      </c>
      <c r="B1248" s="1" t="s">
        <v>30</v>
      </c>
      <c r="C1248" s="1" t="s">
        <v>62</v>
      </c>
      <c r="D1248">
        <v>8</v>
      </c>
      <c r="E1248">
        <v>3</v>
      </c>
      <c r="F1248" s="1" t="s">
        <v>62</v>
      </c>
      <c r="G1248">
        <v>3</v>
      </c>
      <c r="H1248" s="1" t="s">
        <v>33</v>
      </c>
      <c r="I1248">
        <v>2</v>
      </c>
      <c r="J1248">
        <v>1</v>
      </c>
      <c r="K1248" s="1" t="s">
        <v>62</v>
      </c>
      <c r="L1248">
        <v>4</v>
      </c>
      <c r="M1248" s="1" t="s">
        <v>50</v>
      </c>
      <c r="N1248">
        <v>2180</v>
      </c>
      <c r="O1248">
        <v>6</v>
      </c>
      <c r="P1248" s="1" t="s">
        <v>39</v>
      </c>
      <c r="Q1248">
        <v>11</v>
      </c>
      <c r="R1248">
        <v>3</v>
      </c>
      <c r="S1248">
        <v>1</v>
      </c>
      <c r="T1248">
        <v>6</v>
      </c>
      <c r="U1248">
        <v>0</v>
      </c>
      <c r="V1248">
        <v>2</v>
      </c>
      <c r="W1248">
        <v>4</v>
      </c>
      <c r="X1248">
        <v>2</v>
      </c>
      <c r="Y1248">
        <v>1</v>
      </c>
      <c r="Z1248">
        <v>2</v>
      </c>
      <c r="AA1248">
        <v>1</v>
      </c>
      <c r="AB1248" s="1" t="s">
        <v>48</v>
      </c>
      <c r="AC1248" t="s">
        <v>46</v>
      </c>
      <c r="AD1248" t="s">
        <v>53</v>
      </c>
      <c r="AE1248" s="2">
        <v>545</v>
      </c>
    </row>
    <row r="1249" spans="1:31" x14ac:dyDescent="0.35">
      <c r="A1249">
        <v>31</v>
      </c>
      <c r="B1249" s="1" t="s">
        <v>39</v>
      </c>
      <c r="C1249" s="1" t="s">
        <v>31</v>
      </c>
      <c r="D1249">
        <v>5</v>
      </c>
      <c r="E1249">
        <v>3</v>
      </c>
      <c r="F1249" s="1" t="s">
        <v>61</v>
      </c>
      <c r="G1249">
        <v>1</v>
      </c>
      <c r="H1249" s="1" t="s">
        <v>41</v>
      </c>
      <c r="I1249">
        <v>3</v>
      </c>
      <c r="J1249">
        <v>2</v>
      </c>
      <c r="K1249" s="1" t="s">
        <v>34</v>
      </c>
      <c r="L1249">
        <v>3</v>
      </c>
      <c r="M1249" s="1" t="s">
        <v>43</v>
      </c>
      <c r="N1249">
        <v>8346</v>
      </c>
      <c r="O1249">
        <v>1</v>
      </c>
      <c r="P1249" s="1" t="s">
        <v>39</v>
      </c>
      <c r="Q1249">
        <v>19</v>
      </c>
      <c r="R1249">
        <v>3</v>
      </c>
      <c r="S1249">
        <v>1</v>
      </c>
      <c r="T1249">
        <v>6</v>
      </c>
      <c r="U1249">
        <v>3</v>
      </c>
      <c r="V1249">
        <v>3</v>
      </c>
      <c r="W1249">
        <v>5</v>
      </c>
      <c r="X1249">
        <v>2</v>
      </c>
      <c r="Y1249">
        <v>0</v>
      </c>
      <c r="Z1249">
        <v>2</v>
      </c>
      <c r="AA1249">
        <v>0</v>
      </c>
      <c r="AB1249" s="1" t="s">
        <v>48</v>
      </c>
      <c r="AC1249" t="s">
        <v>37</v>
      </c>
      <c r="AD1249" t="s">
        <v>53</v>
      </c>
      <c r="AE1249" s="2">
        <v>1669.2</v>
      </c>
    </row>
    <row r="1250" spans="1:31" x14ac:dyDescent="0.35">
      <c r="A1250">
        <v>27</v>
      </c>
      <c r="B1250" s="1" t="s">
        <v>39</v>
      </c>
      <c r="C1250" s="1" t="s">
        <v>40</v>
      </c>
      <c r="D1250">
        <v>8</v>
      </c>
      <c r="E1250">
        <v>3</v>
      </c>
      <c r="F1250" s="1" t="s">
        <v>49</v>
      </c>
      <c r="G1250">
        <v>3</v>
      </c>
      <c r="H1250" s="1" t="s">
        <v>33</v>
      </c>
      <c r="I1250">
        <v>3</v>
      </c>
      <c r="J1250">
        <v>1</v>
      </c>
      <c r="K1250" s="1" t="s">
        <v>42</v>
      </c>
      <c r="L1250">
        <v>4</v>
      </c>
      <c r="M1250" s="1" t="s">
        <v>35</v>
      </c>
      <c r="N1250">
        <v>3445</v>
      </c>
      <c r="O1250">
        <v>1</v>
      </c>
      <c r="P1250" s="1" t="s">
        <v>39</v>
      </c>
      <c r="Q1250">
        <v>11</v>
      </c>
      <c r="R1250">
        <v>3</v>
      </c>
      <c r="S1250">
        <v>0</v>
      </c>
      <c r="T1250">
        <v>6</v>
      </c>
      <c r="U1250">
        <v>5</v>
      </c>
      <c r="V1250">
        <v>2</v>
      </c>
      <c r="W1250">
        <v>6</v>
      </c>
      <c r="X1250">
        <v>2</v>
      </c>
      <c r="Y1250">
        <v>1</v>
      </c>
      <c r="Z1250">
        <v>4</v>
      </c>
      <c r="AA1250">
        <v>0</v>
      </c>
      <c r="AB1250" s="1" t="s">
        <v>48</v>
      </c>
      <c r="AC1250" t="s">
        <v>46</v>
      </c>
      <c r="AD1250" t="s">
        <v>38</v>
      </c>
      <c r="AE1250" s="2">
        <v>574.16666666666663</v>
      </c>
    </row>
    <row r="1251" spans="1:31" x14ac:dyDescent="0.35">
      <c r="A1251">
        <v>29</v>
      </c>
      <c r="B1251" s="1" t="s">
        <v>30</v>
      </c>
      <c r="C1251" s="1" t="s">
        <v>31</v>
      </c>
      <c r="D1251">
        <v>9</v>
      </c>
      <c r="E1251">
        <v>3</v>
      </c>
      <c r="F1251" s="1" t="s">
        <v>60</v>
      </c>
      <c r="G1251">
        <v>2</v>
      </c>
      <c r="H1251" s="1" t="s">
        <v>33</v>
      </c>
      <c r="I1251">
        <v>1</v>
      </c>
      <c r="J1251">
        <v>1</v>
      </c>
      <c r="K1251" s="1" t="s">
        <v>58</v>
      </c>
      <c r="L1251">
        <v>2</v>
      </c>
      <c r="M1251" s="1" t="s">
        <v>35</v>
      </c>
      <c r="N1251">
        <v>2760</v>
      </c>
      <c r="O1251">
        <v>1</v>
      </c>
      <c r="P1251" s="1" t="s">
        <v>39</v>
      </c>
      <c r="Q1251">
        <v>13</v>
      </c>
      <c r="R1251">
        <v>3</v>
      </c>
      <c r="S1251">
        <v>0</v>
      </c>
      <c r="T1251">
        <v>2</v>
      </c>
      <c r="U1251">
        <v>3</v>
      </c>
      <c r="V1251">
        <v>3</v>
      </c>
      <c r="W1251">
        <v>2</v>
      </c>
      <c r="X1251">
        <v>2</v>
      </c>
      <c r="Y1251">
        <v>2</v>
      </c>
      <c r="Z1251">
        <v>2</v>
      </c>
      <c r="AA1251">
        <v>1</v>
      </c>
      <c r="AB1251" s="1" t="s">
        <v>48</v>
      </c>
      <c r="AC1251" t="s">
        <v>46</v>
      </c>
      <c r="AD1251" t="s">
        <v>47</v>
      </c>
      <c r="AE1251" s="2">
        <v>1380</v>
      </c>
    </row>
    <row r="1252" spans="1:31" x14ac:dyDescent="0.35">
      <c r="A1252">
        <v>29</v>
      </c>
      <c r="B1252" s="1" t="s">
        <v>39</v>
      </c>
      <c r="C1252" s="1" t="s">
        <v>40</v>
      </c>
      <c r="D1252">
        <v>1</v>
      </c>
      <c r="E1252">
        <v>3</v>
      </c>
      <c r="F1252" s="1" t="s">
        <v>32</v>
      </c>
      <c r="G1252">
        <v>4</v>
      </c>
      <c r="H1252" s="1" t="s">
        <v>41</v>
      </c>
      <c r="I1252">
        <v>4</v>
      </c>
      <c r="J1252">
        <v>2</v>
      </c>
      <c r="K1252" s="1" t="s">
        <v>52</v>
      </c>
      <c r="L1252">
        <v>3</v>
      </c>
      <c r="M1252" s="1" t="s">
        <v>35</v>
      </c>
      <c r="N1252">
        <v>6294</v>
      </c>
      <c r="O1252">
        <v>8</v>
      </c>
      <c r="P1252" s="1" t="s">
        <v>30</v>
      </c>
      <c r="Q1252">
        <v>12</v>
      </c>
      <c r="R1252">
        <v>4</v>
      </c>
      <c r="S1252">
        <v>0</v>
      </c>
      <c r="T1252">
        <v>10</v>
      </c>
      <c r="U1252">
        <v>5</v>
      </c>
      <c r="V1252">
        <v>4</v>
      </c>
      <c r="W1252">
        <v>3</v>
      </c>
      <c r="X1252">
        <v>2</v>
      </c>
      <c r="Y1252">
        <v>0</v>
      </c>
      <c r="Z1252">
        <v>2</v>
      </c>
      <c r="AA1252">
        <v>0</v>
      </c>
      <c r="AB1252" s="1" t="s">
        <v>48</v>
      </c>
      <c r="AC1252" t="s">
        <v>37</v>
      </c>
      <c r="AD1252" t="s">
        <v>53</v>
      </c>
      <c r="AE1252" s="2">
        <v>2098</v>
      </c>
    </row>
    <row r="1253" spans="1:31" x14ac:dyDescent="0.35">
      <c r="A1253">
        <v>30</v>
      </c>
      <c r="B1253" s="1" t="s">
        <v>39</v>
      </c>
      <c r="C1253" s="1" t="s">
        <v>31</v>
      </c>
      <c r="D1253">
        <v>15</v>
      </c>
      <c r="E1253">
        <v>2</v>
      </c>
      <c r="F1253" s="1" t="s">
        <v>60</v>
      </c>
      <c r="G1253">
        <v>3</v>
      </c>
      <c r="H1253" s="1" t="s">
        <v>41</v>
      </c>
      <c r="I1253">
        <v>2</v>
      </c>
      <c r="J1253">
        <v>3</v>
      </c>
      <c r="K1253" s="1" t="s">
        <v>34</v>
      </c>
      <c r="L1253">
        <v>1</v>
      </c>
      <c r="M1253" s="1" t="s">
        <v>50</v>
      </c>
      <c r="N1253">
        <v>7140</v>
      </c>
      <c r="O1253">
        <v>2</v>
      </c>
      <c r="P1253" s="1" t="s">
        <v>39</v>
      </c>
      <c r="Q1253">
        <v>11</v>
      </c>
      <c r="R1253">
        <v>1</v>
      </c>
      <c r="S1253">
        <v>1</v>
      </c>
      <c r="T1253">
        <v>12</v>
      </c>
      <c r="U1253">
        <v>2</v>
      </c>
      <c r="V1253">
        <v>3</v>
      </c>
      <c r="W1253">
        <v>7</v>
      </c>
      <c r="X1253">
        <v>7</v>
      </c>
      <c r="Y1253">
        <v>1</v>
      </c>
      <c r="Z1253">
        <v>7</v>
      </c>
      <c r="AA1253">
        <v>0</v>
      </c>
      <c r="AB1253" s="1" t="s">
        <v>48</v>
      </c>
      <c r="AC1253" t="s">
        <v>37</v>
      </c>
      <c r="AD1253" t="s">
        <v>38</v>
      </c>
      <c r="AE1253" s="2">
        <v>1020</v>
      </c>
    </row>
    <row r="1254" spans="1:31" x14ac:dyDescent="0.35">
      <c r="A1254">
        <v>34</v>
      </c>
      <c r="B1254" s="1" t="s">
        <v>39</v>
      </c>
      <c r="C1254" s="1" t="s">
        <v>40</v>
      </c>
      <c r="D1254">
        <v>2</v>
      </c>
      <c r="E1254">
        <v>4</v>
      </c>
      <c r="F1254" s="1" t="s">
        <v>49</v>
      </c>
      <c r="G1254">
        <v>4</v>
      </c>
      <c r="H1254" s="1" t="s">
        <v>41</v>
      </c>
      <c r="I1254">
        <v>4</v>
      </c>
      <c r="J1254">
        <v>1</v>
      </c>
      <c r="K1254" s="1" t="s">
        <v>42</v>
      </c>
      <c r="L1254">
        <v>4</v>
      </c>
      <c r="M1254" s="1" t="s">
        <v>43</v>
      </c>
      <c r="N1254">
        <v>2932</v>
      </c>
      <c r="O1254">
        <v>0</v>
      </c>
      <c r="P1254" s="1" t="s">
        <v>30</v>
      </c>
      <c r="Q1254">
        <v>14</v>
      </c>
      <c r="R1254">
        <v>1</v>
      </c>
      <c r="S1254">
        <v>3</v>
      </c>
      <c r="T1254">
        <v>6</v>
      </c>
      <c r="U1254">
        <v>3</v>
      </c>
      <c r="V1254">
        <v>3</v>
      </c>
      <c r="W1254">
        <v>5</v>
      </c>
      <c r="X1254">
        <v>0</v>
      </c>
      <c r="Y1254">
        <v>1</v>
      </c>
      <c r="Z1254">
        <v>2</v>
      </c>
      <c r="AA1254">
        <v>0</v>
      </c>
      <c r="AB1254" s="1" t="s">
        <v>48</v>
      </c>
      <c r="AC1254" t="s">
        <v>46</v>
      </c>
      <c r="AD1254" t="s">
        <v>53</v>
      </c>
      <c r="AE1254" s="2">
        <v>586.4</v>
      </c>
    </row>
    <row r="1255" spans="1:31" x14ac:dyDescent="0.35">
      <c r="A1255">
        <v>33</v>
      </c>
      <c r="B1255" s="1" t="s">
        <v>39</v>
      </c>
      <c r="C1255" s="1" t="s">
        <v>31</v>
      </c>
      <c r="D1255">
        <v>2</v>
      </c>
      <c r="E1255">
        <v>3</v>
      </c>
      <c r="F1255" s="1" t="s">
        <v>60</v>
      </c>
      <c r="G1255">
        <v>4</v>
      </c>
      <c r="H1255" s="1" t="s">
        <v>33</v>
      </c>
      <c r="I1255">
        <v>3</v>
      </c>
      <c r="J1255">
        <v>2</v>
      </c>
      <c r="K1255" s="1" t="s">
        <v>34</v>
      </c>
      <c r="L1255">
        <v>2</v>
      </c>
      <c r="M1255" s="1" t="s">
        <v>35</v>
      </c>
      <c r="N1255">
        <v>5147</v>
      </c>
      <c r="O1255">
        <v>8</v>
      </c>
      <c r="P1255" s="1" t="s">
        <v>39</v>
      </c>
      <c r="Q1255">
        <v>15</v>
      </c>
      <c r="R1255">
        <v>4</v>
      </c>
      <c r="S1255">
        <v>0</v>
      </c>
      <c r="T1255">
        <v>13</v>
      </c>
      <c r="U1255">
        <v>2</v>
      </c>
      <c r="V1255">
        <v>2</v>
      </c>
      <c r="W1255">
        <v>11</v>
      </c>
      <c r="X1255">
        <v>7</v>
      </c>
      <c r="Y1255">
        <v>1</v>
      </c>
      <c r="Z1255">
        <v>7</v>
      </c>
      <c r="AA1255">
        <v>0</v>
      </c>
      <c r="AB1255" s="1" t="s">
        <v>48</v>
      </c>
      <c r="AC1255" t="s">
        <v>37</v>
      </c>
      <c r="AD1255" t="s">
        <v>57</v>
      </c>
      <c r="AE1255" s="2">
        <v>467.90909090909093</v>
      </c>
    </row>
    <row r="1256" spans="1:31" x14ac:dyDescent="0.35">
      <c r="A1256">
        <v>49</v>
      </c>
      <c r="B1256" s="1" t="s">
        <v>39</v>
      </c>
      <c r="C1256" s="1" t="s">
        <v>31</v>
      </c>
      <c r="D1256">
        <v>11</v>
      </c>
      <c r="E1256">
        <v>4</v>
      </c>
      <c r="F1256" s="1" t="s">
        <v>60</v>
      </c>
      <c r="G1256">
        <v>4</v>
      </c>
      <c r="H1256" s="1" t="s">
        <v>33</v>
      </c>
      <c r="I1256">
        <v>3</v>
      </c>
      <c r="J1256">
        <v>2</v>
      </c>
      <c r="K1256" s="1" t="s">
        <v>34</v>
      </c>
      <c r="L1256">
        <v>4</v>
      </c>
      <c r="M1256" s="1" t="s">
        <v>35</v>
      </c>
      <c r="N1256">
        <v>4507</v>
      </c>
      <c r="O1256">
        <v>3</v>
      </c>
      <c r="P1256" s="1" t="s">
        <v>39</v>
      </c>
      <c r="Q1256">
        <v>12</v>
      </c>
      <c r="R1256">
        <v>3</v>
      </c>
      <c r="S1256">
        <v>0</v>
      </c>
      <c r="T1256">
        <v>8</v>
      </c>
      <c r="U1256">
        <v>1</v>
      </c>
      <c r="V1256">
        <v>4</v>
      </c>
      <c r="W1256">
        <v>5</v>
      </c>
      <c r="X1256">
        <v>1</v>
      </c>
      <c r="Y1256">
        <v>0</v>
      </c>
      <c r="Z1256">
        <v>4</v>
      </c>
      <c r="AA1256">
        <v>0</v>
      </c>
      <c r="AB1256" s="1" t="s">
        <v>82</v>
      </c>
      <c r="AC1256" t="s">
        <v>37</v>
      </c>
      <c r="AD1256" t="s">
        <v>53</v>
      </c>
      <c r="AE1256" s="2">
        <v>901.4</v>
      </c>
    </row>
    <row r="1257" spans="1:31" x14ac:dyDescent="0.35">
      <c r="A1257">
        <v>33</v>
      </c>
      <c r="B1257" s="1" t="s">
        <v>30</v>
      </c>
      <c r="C1257" s="1" t="s">
        <v>31</v>
      </c>
      <c r="D1257">
        <v>16</v>
      </c>
      <c r="E1257">
        <v>3</v>
      </c>
      <c r="F1257" s="1" t="s">
        <v>32</v>
      </c>
      <c r="G1257">
        <v>1</v>
      </c>
      <c r="H1257" s="1" t="s">
        <v>33</v>
      </c>
      <c r="I1257">
        <v>3</v>
      </c>
      <c r="J1257">
        <v>3</v>
      </c>
      <c r="K1257" s="1" t="s">
        <v>34</v>
      </c>
      <c r="L1257">
        <v>1</v>
      </c>
      <c r="M1257" s="1" t="s">
        <v>35</v>
      </c>
      <c r="N1257">
        <v>8564</v>
      </c>
      <c r="O1257">
        <v>2</v>
      </c>
      <c r="P1257" s="1" t="s">
        <v>30</v>
      </c>
      <c r="Q1257">
        <v>20</v>
      </c>
      <c r="R1257">
        <v>3</v>
      </c>
      <c r="S1257">
        <v>0</v>
      </c>
      <c r="T1257">
        <v>11</v>
      </c>
      <c r="U1257">
        <v>2</v>
      </c>
      <c r="V1257">
        <v>2</v>
      </c>
      <c r="W1257">
        <v>0</v>
      </c>
      <c r="X1257">
        <v>0</v>
      </c>
      <c r="Y1257">
        <v>0</v>
      </c>
      <c r="Z1257">
        <v>0</v>
      </c>
      <c r="AA1257">
        <v>1</v>
      </c>
      <c r="AB1257" s="1" t="s">
        <v>48</v>
      </c>
      <c r="AC1257" t="s">
        <v>37</v>
      </c>
      <c r="AD1257" t="s">
        <v>47</v>
      </c>
      <c r="AE1257" s="2">
        <v>8564</v>
      </c>
    </row>
    <row r="1258" spans="1:31" x14ac:dyDescent="0.35">
      <c r="A1258">
        <v>38</v>
      </c>
      <c r="B1258" s="1" t="s">
        <v>39</v>
      </c>
      <c r="C1258" s="1" t="s">
        <v>40</v>
      </c>
      <c r="D1258">
        <v>2</v>
      </c>
      <c r="E1258">
        <v>2</v>
      </c>
      <c r="F1258" s="1" t="s">
        <v>49</v>
      </c>
      <c r="G1258">
        <v>3</v>
      </c>
      <c r="H1258" s="1" t="s">
        <v>33</v>
      </c>
      <c r="I1258">
        <v>2</v>
      </c>
      <c r="J1258">
        <v>1</v>
      </c>
      <c r="K1258" s="1" t="s">
        <v>45</v>
      </c>
      <c r="L1258">
        <v>2</v>
      </c>
      <c r="M1258" s="1" t="s">
        <v>43</v>
      </c>
      <c r="N1258">
        <v>2468</v>
      </c>
      <c r="O1258">
        <v>4</v>
      </c>
      <c r="P1258" s="1" t="s">
        <v>39</v>
      </c>
      <c r="Q1258">
        <v>14</v>
      </c>
      <c r="R1258">
        <v>2</v>
      </c>
      <c r="S1258">
        <v>1</v>
      </c>
      <c r="T1258">
        <v>9</v>
      </c>
      <c r="U1258">
        <v>4</v>
      </c>
      <c r="V1258">
        <v>2</v>
      </c>
      <c r="W1258">
        <v>6</v>
      </c>
      <c r="X1258">
        <v>1</v>
      </c>
      <c r="Y1258">
        <v>0</v>
      </c>
      <c r="Z1258">
        <v>5</v>
      </c>
      <c r="AA1258">
        <v>0</v>
      </c>
      <c r="AB1258" s="1" t="s">
        <v>36</v>
      </c>
      <c r="AC1258" t="s">
        <v>46</v>
      </c>
      <c r="AD1258" t="s">
        <v>38</v>
      </c>
      <c r="AE1258" s="2">
        <v>411.33333333333331</v>
      </c>
    </row>
    <row r="1259" spans="1:31" x14ac:dyDescent="0.35">
      <c r="A1259">
        <v>31</v>
      </c>
      <c r="B1259" s="1" t="s">
        <v>30</v>
      </c>
      <c r="C1259" s="1" t="s">
        <v>31</v>
      </c>
      <c r="D1259">
        <v>16</v>
      </c>
      <c r="E1259">
        <v>4</v>
      </c>
      <c r="F1259" s="1" t="s">
        <v>60</v>
      </c>
      <c r="G1259">
        <v>1</v>
      </c>
      <c r="H1259" s="1" t="s">
        <v>41</v>
      </c>
      <c r="I1259">
        <v>3</v>
      </c>
      <c r="J1259">
        <v>3</v>
      </c>
      <c r="K1259" s="1" t="s">
        <v>34</v>
      </c>
      <c r="L1259">
        <v>3</v>
      </c>
      <c r="M1259" s="1" t="s">
        <v>43</v>
      </c>
      <c r="N1259">
        <v>8161</v>
      </c>
      <c r="O1259">
        <v>2</v>
      </c>
      <c r="P1259" s="1" t="s">
        <v>39</v>
      </c>
      <c r="Q1259">
        <v>13</v>
      </c>
      <c r="R1259">
        <v>1</v>
      </c>
      <c r="S1259">
        <v>3</v>
      </c>
      <c r="T1259">
        <v>10</v>
      </c>
      <c r="U1259">
        <v>2</v>
      </c>
      <c r="V1259">
        <v>3</v>
      </c>
      <c r="W1259">
        <v>1</v>
      </c>
      <c r="X1259">
        <v>0</v>
      </c>
      <c r="Y1259">
        <v>0</v>
      </c>
      <c r="Z1259">
        <v>0</v>
      </c>
      <c r="AA1259">
        <v>1</v>
      </c>
      <c r="AB1259" s="1" t="s">
        <v>48</v>
      </c>
      <c r="AC1259" t="s">
        <v>37</v>
      </c>
      <c r="AD1259" t="s">
        <v>47</v>
      </c>
      <c r="AE1259" s="2">
        <v>8161</v>
      </c>
    </row>
    <row r="1260" spans="1:31" x14ac:dyDescent="0.35">
      <c r="A1260">
        <v>29</v>
      </c>
      <c r="B1260" s="1" t="s">
        <v>39</v>
      </c>
      <c r="C1260" s="1" t="s">
        <v>40</v>
      </c>
      <c r="D1260">
        <v>4</v>
      </c>
      <c r="E1260">
        <v>3</v>
      </c>
      <c r="F1260" s="1" t="s">
        <v>61</v>
      </c>
      <c r="G1260">
        <v>4</v>
      </c>
      <c r="H1260" s="1" t="s">
        <v>33</v>
      </c>
      <c r="I1260">
        <v>2</v>
      </c>
      <c r="J1260">
        <v>1</v>
      </c>
      <c r="K1260" s="1" t="s">
        <v>42</v>
      </c>
      <c r="L1260">
        <v>1</v>
      </c>
      <c r="M1260" s="1" t="s">
        <v>50</v>
      </c>
      <c r="N1260">
        <v>2109</v>
      </c>
      <c r="O1260">
        <v>1</v>
      </c>
      <c r="P1260" s="1" t="s">
        <v>39</v>
      </c>
      <c r="Q1260">
        <v>13</v>
      </c>
      <c r="R1260">
        <v>3</v>
      </c>
      <c r="S1260">
        <v>1</v>
      </c>
      <c r="T1260">
        <v>1</v>
      </c>
      <c r="U1260">
        <v>2</v>
      </c>
      <c r="V1260">
        <v>3</v>
      </c>
      <c r="W1260">
        <v>1</v>
      </c>
      <c r="X1260">
        <v>0</v>
      </c>
      <c r="Y1260">
        <v>0</v>
      </c>
      <c r="Z1260">
        <v>0</v>
      </c>
      <c r="AA1260">
        <v>0</v>
      </c>
      <c r="AB1260" s="1" t="s">
        <v>48</v>
      </c>
      <c r="AC1260" t="s">
        <v>46</v>
      </c>
      <c r="AD1260" t="s">
        <v>47</v>
      </c>
      <c r="AE1260" s="2">
        <v>2109</v>
      </c>
    </row>
    <row r="1261" spans="1:31" x14ac:dyDescent="0.35">
      <c r="A1261">
        <v>30</v>
      </c>
      <c r="B1261" s="1" t="s">
        <v>39</v>
      </c>
      <c r="C1261" s="1" t="s">
        <v>40</v>
      </c>
      <c r="D1261">
        <v>16</v>
      </c>
      <c r="E1261">
        <v>3</v>
      </c>
      <c r="F1261" s="1" t="s">
        <v>32</v>
      </c>
      <c r="G1261">
        <v>3</v>
      </c>
      <c r="H1261" s="1" t="s">
        <v>41</v>
      </c>
      <c r="I1261">
        <v>4</v>
      </c>
      <c r="J1261">
        <v>2</v>
      </c>
      <c r="K1261" s="1" t="s">
        <v>52</v>
      </c>
      <c r="L1261">
        <v>3</v>
      </c>
      <c r="M1261" s="1" t="s">
        <v>43</v>
      </c>
      <c r="N1261">
        <v>5294</v>
      </c>
      <c r="O1261">
        <v>3</v>
      </c>
      <c r="P1261" s="1" t="s">
        <v>39</v>
      </c>
      <c r="Q1261">
        <v>16</v>
      </c>
      <c r="R1261">
        <v>3</v>
      </c>
      <c r="S1261">
        <v>1</v>
      </c>
      <c r="T1261">
        <v>10</v>
      </c>
      <c r="U1261">
        <v>3</v>
      </c>
      <c r="V1261">
        <v>3</v>
      </c>
      <c r="W1261">
        <v>7</v>
      </c>
      <c r="X1261">
        <v>0</v>
      </c>
      <c r="Y1261">
        <v>1</v>
      </c>
      <c r="Z1261">
        <v>7</v>
      </c>
      <c r="AA1261">
        <v>0</v>
      </c>
      <c r="AB1261" s="1" t="s">
        <v>48</v>
      </c>
      <c r="AC1261" t="s">
        <v>37</v>
      </c>
      <c r="AD1261" t="s">
        <v>38</v>
      </c>
      <c r="AE1261" s="2">
        <v>756.28571428571433</v>
      </c>
    </row>
    <row r="1262" spans="1:31" x14ac:dyDescent="0.35">
      <c r="A1262">
        <v>32</v>
      </c>
      <c r="B1262" s="1" t="s">
        <v>39</v>
      </c>
      <c r="C1262" s="1" t="s">
        <v>40</v>
      </c>
      <c r="D1262">
        <v>5</v>
      </c>
      <c r="E1262">
        <v>4</v>
      </c>
      <c r="F1262" s="1" t="s">
        <v>61</v>
      </c>
      <c r="G1262">
        <v>2</v>
      </c>
      <c r="H1262" s="1" t="s">
        <v>41</v>
      </c>
      <c r="I1262">
        <v>3</v>
      </c>
      <c r="J1262">
        <v>1</v>
      </c>
      <c r="K1262" s="1" t="s">
        <v>42</v>
      </c>
      <c r="L1262">
        <v>2</v>
      </c>
      <c r="M1262" s="1" t="s">
        <v>35</v>
      </c>
      <c r="N1262">
        <v>2718</v>
      </c>
      <c r="O1262">
        <v>2</v>
      </c>
      <c r="P1262" s="1" t="s">
        <v>39</v>
      </c>
      <c r="Q1262">
        <v>14</v>
      </c>
      <c r="R1262">
        <v>2</v>
      </c>
      <c r="S1262">
        <v>0</v>
      </c>
      <c r="T1262">
        <v>12</v>
      </c>
      <c r="U1262">
        <v>3</v>
      </c>
      <c r="V1262">
        <v>3</v>
      </c>
      <c r="W1262">
        <v>7</v>
      </c>
      <c r="X1262">
        <v>7</v>
      </c>
      <c r="Y1262">
        <v>0</v>
      </c>
      <c r="Z1262">
        <v>7</v>
      </c>
      <c r="AA1262">
        <v>0</v>
      </c>
      <c r="AB1262" s="1" t="s">
        <v>48</v>
      </c>
      <c r="AC1262" t="s">
        <v>46</v>
      </c>
      <c r="AD1262" t="s">
        <v>38</v>
      </c>
      <c r="AE1262" s="2">
        <v>388.28571428571428</v>
      </c>
    </row>
    <row r="1263" spans="1:31" x14ac:dyDescent="0.35">
      <c r="A1263">
        <v>38</v>
      </c>
      <c r="B1263" s="1" t="s">
        <v>39</v>
      </c>
      <c r="C1263" s="1" t="s">
        <v>40</v>
      </c>
      <c r="D1263">
        <v>18</v>
      </c>
      <c r="E1263">
        <v>3</v>
      </c>
      <c r="F1263" s="1" t="s">
        <v>49</v>
      </c>
      <c r="G1263">
        <v>2</v>
      </c>
      <c r="H1263" s="1" t="s">
        <v>41</v>
      </c>
      <c r="I1263">
        <v>1</v>
      </c>
      <c r="J1263">
        <v>2</v>
      </c>
      <c r="K1263" s="1" t="s">
        <v>52</v>
      </c>
      <c r="L1263">
        <v>4</v>
      </c>
      <c r="M1263" s="1" t="s">
        <v>43</v>
      </c>
      <c r="N1263">
        <v>5811</v>
      </c>
      <c r="O1263">
        <v>3</v>
      </c>
      <c r="P1263" s="1" t="s">
        <v>30</v>
      </c>
      <c r="Q1263">
        <v>16</v>
      </c>
      <c r="R1263">
        <v>3</v>
      </c>
      <c r="S1263">
        <v>1</v>
      </c>
      <c r="T1263">
        <v>15</v>
      </c>
      <c r="U1263">
        <v>2</v>
      </c>
      <c r="V1263">
        <v>3</v>
      </c>
      <c r="W1263">
        <v>1</v>
      </c>
      <c r="X1263">
        <v>0</v>
      </c>
      <c r="Y1263">
        <v>1</v>
      </c>
      <c r="Z1263">
        <v>0</v>
      </c>
      <c r="AA1263">
        <v>0</v>
      </c>
      <c r="AB1263" s="1" t="s">
        <v>36</v>
      </c>
      <c r="AC1263" t="s">
        <v>37</v>
      </c>
      <c r="AD1263" t="s">
        <v>47</v>
      </c>
      <c r="AE1263" s="2">
        <v>5811</v>
      </c>
    </row>
    <row r="1264" spans="1:31" x14ac:dyDescent="0.35">
      <c r="A1264">
        <v>43</v>
      </c>
      <c r="B1264" s="1" t="s">
        <v>30</v>
      </c>
      <c r="C1264" s="1" t="s">
        <v>40</v>
      </c>
      <c r="D1264">
        <v>17</v>
      </c>
      <c r="E1264">
        <v>3</v>
      </c>
      <c r="F1264" s="1" t="s">
        <v>61</v>
      </c>
      <c r="G1264">
        <v>3</v>
      </c>
      <c r="H1264" s="1" t="s">
        <v>41</v>
      </c>
      <c r="I1264">
        <v>2</v>
      </c>
      <c r="J1264">
        <v>1</v>
      </c>
      <c r="K1264" s="1" t="s">
        <v>42</v>
      </c>
      <c r="L1264">
        <v>3</v>
      </c>
      <c r="M1264" s="1" t="s">
        <v>43</v>
      </c>
      <c r="N1264">
        <v>2437</v>
      </c>
      <c r="O1264">
        <v>9</v>
      </c>
      <c r="P1264" s="1" t="s">
        <v>30</v>
      </c>
      <c r="Q1264">
        <v>16</v>
      </c>
      <c r="R1264">
        <v>4</v>
      </c>
      <c r="S1264">
        <v>1</v>
      </c>
      <c r="T1264">
        <v>6</v>
      </c>
      <c r="U1264">
        <v>4</v>
      </c>
      <c r="V1264">
        <v>3</v>
      </c>
      <c r="W1264">
        <v>1</v>
      </c>
      <c r="X1264">
        <v>0</v>
      </c>
      <c r="Y1264">
        <v>0</v>
      </c>
      <c r="Z1264">
        <v>0</v>
      </c>
      <c r="AA1264">
        <v>1</v>
      </c>
      <c r="AB1264" s="1" t="s">
        <v>36</v>
      </c>
      <c r="AC1264" t="s">
        <v>46</v>
      </c>
      <c r="AD1264" t="s">
        <v>47</v>
      </c>
      <c r="AE1264" s="2">
        <v>2437</v>
      </c>
    </row>
    <row r="1265" spans="1:31" x14ac:dyDescent="0.35">
      <c r="A1265">
        <v>42</v>
      </c>
      <c r="B1265" s="1" t="s">
        <v>39</v>
      </c>
      <c r="C1265" s="1" t="s">
        <v>40</v>
      </c>
      <c r="D1265">
        <v>12</v>
      </c>
      <c r="E1265">
        <v>3</v>
      </c>
      <c r="F1265" s="1" t="s">
        <v>49</v>
      </c>
      <c r="G1265">
        <v>2</v>
      </c>
      <c r="H1265" s="1" t="s">
        <v>41</v>
      </c>
      <c r="I1265">
        <v>3</v>
      </c>
      <c r="J1265">
        <v>1</v>
      </c>
      <c r="K1265" s="1" t="s">
        <v>45</v>
      </c>
      <c r="L1265">
        <v>2</v>
      </c>
      <c r="M1265" s="1" t="s">
        <v>50</v>
      </c>
      <c r="N1265">
        <v>2766</v>
      </c>
      <c r="O1265">
        <v>8</v>
      </c>
      <c r="P1265" s="1" t="s">
        <v>39</v>
      </c>
      <c r="Q1265">
        <v>22</v>
      </c>
      <c r="R1265">
        <v>2</v>
      </c>
      <c r="S1265">
        <v>3</v>
      </c>
      <c r="T1265">
        <v>7</v>
      </c>
      <c r="U1265">
        <v>6</v>
      </c>
      <c r="V1265">
        <v>2</v>
      </c>
      <c r="W1265">
        <v>5</v>
      </c>
      <c r="X1265">
        <v>3</v>
      </c>
      <c r="Y1265">
        <v>0</v>
      </c>
      <c r="Z1265">
        <v>4</v>
      </c>
      <c r="AA1265">
        <v>0</v>
      </c>
      <c r="AB1265" s="1" t="s">
        <v>36</v>
      </c>
      <c r="AC1265" t="s">
        <v>46</v>
      </c>
      <c r="AD1265" t="s">
        <v>53</v>
      </c>
      <c r="AE1265" s="2">
        <v>553.20000000000005</v>
      </c>
    </row>
    <row r="1266" spans="1:31" x14ac:dyDescent="0.35">
      <c r="A1266">
        <v>55</v>
      </c>
      <c r="B1266" s="1" t="s">
        <v>39</v>
      </c>
      <c r="C1266" s="1" t="s">
        <v>40</v>
      </c>
      <c r="D1266">
        <v>2</v>
      </c>
      <c r="E1266">
        <v>3</v>
      </c>
      <c r="F1266" s="1" t="s">
        <v>49</v>
      </c>
      <c r="G1266">
        <v>3</v>
      </c>
      <c r="H1266" s="1" t="s">
        <v>41</v>
      </c>
      <c r="I1266">
        <v>2</v>
      </c>
      <c r="J1266">
        <v>5</v>
      </c>
      <c r="K1266" s="1" t="s">
        <v>59</v>
      </c>
      <c r="L1266">
        <v>1</v>
      </c>
      <c r="M1266" s="1" t="s">
        <v>43</v>
      </c>
      <c r="N1266">
        <v>19038</v>
      </c>
      <c r="O1266">
        <v>8</v>
      </c>
      <c r="P1266" s="1" t="s">
        <v>39</v>
      </c>
      <c r="Q1266">
        <v>12</v>
      </c>
      <c r="R1266">
        <v>2</v>
      </c>
      <c r="S1266">
        <v>3</v>
      </c>
      <c r="T1266">
        <v>34</v>
      </c>
      <c r="U1266">
        <v>2</v>
      </c>
      <c r="V1266">
        <v>3</v>
      </c>
      <c r="W1266">
        <v>1</v>
      </c>
      <c r="X1266">
        <v>0</v>
      </c>
      <c r="Y1266">
        <v>0</v>
      </c>
      <c r="Z1266">
        <v>0</v>
      </c>
      <c r="AA1266">
        <v>0</v>
      </c>
      <c r="AB1266" s="1" t="s">
        <v>82</v>
      </c>
      <c r="AC1266" t="s">
        <v>56</v>
      </c>
      <c r="AD1266" t="s">
        <v>47</v>
      </c>
      <c r="AE1266" s="2">
        <v>19038</v>
      </c>
    </row>
    <row r="1267" spans="1:31" x14ac:dyDescent="0.35">
      <c r="A1267">
        <v>33</v>
      </c>
      <c r="B1267" s="1" t="s">
        <v>39</v>
      </c>
      <c r="C1267" s="1" t="s">
        <v>40</v>
      </c>
      <c r="D1267">
        <v>4</v>
      </c>
      <c r="E1267">
        <v>3</v>
      </c>
      <c r="F1267" s="1" t="s">
        <v>61</v>
      </c>
      <c r="G1267">
        <v>4</v>
      </c>
      <c r="H1267" s="1" t="s">
        <v>41</v>
      </c>
      <c r="I1267">
        <v>3</v>
      </c>
      <c r="J1267">
        <v>2</v>
      </c>
      <c r="K1267" s="1" t="s">
        <v>42</v>
      </c>
      <c r="L1267">
        <v>2</v>
      </c>
      <c r="M1267" s="1" t="s">
        <v>50</v>
      </c>
      <c r="N1267">
        <v>3055</v>
      </c>
      <c r="O1267">
        <v>5</v>
      </c>
      <c r="P1267" s="1" t="s">
        <v>39</v>
      </c>
      <c r="Q1267">
        <v>15</v>
      </c>
      <c r="R1267">
        <v>4</v>
      </c>
      <c r="S1267">
        <v>2</v>
      </c>
      <c r="T1267">
        <v>11</v>
      </c>
      <c r="U1267">
        <v>2</v>
      </c>
      <c r="V1267">
        <v>2</v>
      </c>
      <c r="W1267">
        <v>9</v>
      </c>
      <c r="X1267">
        <v>8</v>
      </c>
      <c r="Y1267">
        <v>1</v>
      </c>
      <c r="Z1267">
        <v>7</v>
      </c>
      <c r="AA1267">
        <v>0</v>
      </c>
      <c r="AB1267" s="1" t="s">
        <v>48</v>
      </c>
      <c r="AC1267" t="s">
        <v>46</v>
      </c>
      <c r="AD1267" t="s">
        <v>38</v>
      </c>
      <c r="AE1267" s="2">
        <v>339.44444444444446</v>
      </c>
    </row>
    <row r="1268" spans="1:31" x14ac:dyDescent="0.35">
      <c r="A1268">
        <v>41</v>
      </c>
      <c r="B1268" s="1" t="s">
        <v>39</v>
      </c>
      <c r="C1268" s="1" t="s">
        <v>40</v>
      </c>
      <c r="D1268">
        <v>9</v>
      </c>
      <c r="E1268">
        <v>4</v>
      </c>
      <c r="F1268" s="1" t="s">
        <v>32</v>
      </c>
      <c r="G1268">
        <v>3</v>
      </c>
      <c r="H1268" s="1" t="s">
        <v>41</v>
      </c>
      <c r="I1268">
        <v>3</v>
      </c>
      <c r="J1268">
        <v>1</v>
      </c>
      <c r="K1268" s="1" t="s">
        <v>45</v>
      </c>
      <c r="L1268">
        <v>1</v>
      </c>
      <c r="M1268" s="1" t="s">
        <v>50</v>
      </c>
      <c r="N1268">
        <v>2289</v>
      </c>
      <c r="O1268">
        <v>1</v>
      </c>
      <c r="P1268" s="1" t="s">
        <v>39</v>
      </c>
      <c r="Q1268">
        <v>20</v>
      </c>
      <c r="R1268">
        <v>2</v>
      </c>
      <c r="S1268">
        <v>2</v>
      </c>
      <c r="T1268">
        <v>5</v>
      </c>
      <c r="U1268">
        <v>2</v>
      </c>
      <c r="V1268">
        <v>3</v>
      </c>
      <c r="W1268">
        <v>5</v>
      </c>
      <c r="X1268">
        <v>3</v>
      </c>
      <c r="Y1268">
        <v>0</v>
      </c>
      <c r="Z1268">
        <v>4</v>
      </c>
      <c r="AA1268">
        <v>0</v>
      </c>
      <c r="AB1268" s="1" t="s">
        <v>36</v>
      </c>
      <c r="AC1268" t="s">
        <v>46</v>
      </c>
      <c r="AD1268" t="s">
        <v>53</v>
      </c>
      <c r="AE1268" s="2">
        <v>457.8</v>
      </c>
    </row>
    <row r="1269" spans="1:31" x14ac:dyDescent="0.35">
      <c r="A1269">
        <v>34</v>
      </c>
      <c r="B1269" s="1" t="s">
        <v>39</v>
      </c>
      <c r="C1269" s="1" t="s">
        <v>31</v>
      </c>
      <c r="D1269">
        <v>10</v>
      </c>
      <c r="E1269">
        <v>3</v>
      </c>
      <c r="F1269" s="1" t="s">
        <v>32</v>
      </c>
      <c r="G1269">
        <v>4</v>
      </c>
      <c r="H1269" s="1" t="s">
        <v>41</v>
      </c>
      <c r="I1269">
        <v>3</v>
      </c>
      <c r="J1269">
        <v>2</v>
      </c>
      <c r="K1269" s="1" t="s">
        <v>34</v>
      </c>
      <c r="L1269">
        <v>3</v>
      </c>
      <c r="M1269" s="1" t="s">
        <v>50</v>
      </c>
      <c r="N1269">
        <v>4001</v>
      </c>
      <c r="O1269">
        <v>1</v>
      </c>
      <c r="P1269" s="1" t="s">
        <v>30</v>
      </c>
      <c r="Q1269">
        <v>14</v>
      </c>
      <c r="R1269">
        <v>3</v>
      </c>
      <c r="S1269">
        <v>1</v>
      </c>
      <c r="T1269">
        <v>15</v>
      </c>
      <c r="U1269">
        <v>3</v>
      </c>
      <c r="V1269">
        <v>3</v>
      </c>
      <c r="W1269">
        <v>15</v>
      </c>
      <c r="X1269">
        <v>14</v>
      </c>
      <c r="Y1269">
        <v>0</v>
      </c>
      <c r="Z1269">
        <v>7</v>
      </c>
      <c r="AA1269">
        <v>0</v>
      </c>
      <c r="AB1269" s="1" t="s">
        <v>48</v>
      </c>
      <c r="AC1269" t="s">
        <v>37</v>
      </c>
      <c r="AD1269" t="s">
        <v>57</v>
      </c>
      <c r="AE1269" s="2">
        <v>266.73333333333335</v>
      </c>
    </row>
    <row r="1270" spans="1:31" x14ac:dyDescent="0.35">
      <c r="A1270">
        <v>53</v>
      </c>
      <c r="B1270" s="1" t="s">
        <v>39</v>
      </c>
      <c r="C1270" s="1" t="s">
        <v>40</v>
      </c>
      <c r="D1270">
        <v>1</v>
      </c>
      <c r="E1270">
        <v>4</v>
      </c>
      <c r="F1270" s="1" t="s">
        <v>49</v>
      </c>
      <c r="G1270">
        <v>1</v>
      </c>
      <c r="H1270" s="1" t="s">
        <v>33</v>
      </c>
      <c r="I1270">
        <v>2</v>
      </c>
      <c r="J1270">
        <v>4</v>
      </c>
      <c r="K1270" s="1" t="s">
        <v>51</v>
      </c>
      <c r="L1270">
        <v>3</v>
      </c>
      <c r="M1270" s="1" t="s">
        <v>43</v>
      </c>
      <c r="N1270">
        <v>12965</v>
      </c>
      <c r="O1270">
        <v>4</v>
      </c>
      <c r="P1270" s="1" t="s">
        <v>30</v>
      </c>
      <c r="Q1270">
        <v>20</v>
      </c>
      <c r="R1270">
        <v>4</v>
      </c>
      <c r="S1270">
        <v>3</v>
      </c>
      <c r="T1270">
        <v>27</v>
      </c>
      <c r="U1270">
        <v>2</v>
      </c>
      <c r="V1270">
        <v>2</v>
      </c>
      <c r="W1270">
        <v>3</v>
      </c>
      <c r="X1270">
        <v>2</v>
      </c>
      <c r="Y1270">
        <v>0</v>
      </c>
      <c r="Z1270">
        <v>2</v>
      </c>
      <c r="AA1270">
        <v>0</v>
      </c>
      <c r="AB1270" s="1" t="s">
        <v>82</v>
      </c>
      <c r="AC1270" t="s">
        <v>56</v>
      </c>
      <c r="AD1270" t="s">
        <v>53</v>
      </c>
      <c r="AE1270" s="2">
        <v>4321.666666666667</v>
      </c>
    </row>
    <row r="1271" spans="1:31" x14ac:dyDescent="0.35">
      <c r="A1271">
        <v>43</v>
      </c>
      <c r="B1271" s="1" t="s">
        <v>39</v>
      </c>
      <c r="C1271" s="1" t="s">
        <v>62</v>
      </c>
      <c r="D1271">
        <v>2</v>
      </c>
      <c r="E1271">
        <v>3</v>
      </c>
      <c r="F1271" s="1" t="s">
        <v>32</v>
      </c>
      <c r="G1271">
        <v>2</v>
      </c>
      <c r="H1271" s="1" t="s">
        <v>41</v>
      </c>
      <c r="I1271">
        <v>3</v>
      </c>
      <c r="J1271">
        <v>1</v>
      </c>
      <c r="K1271" s="1" t="s">
        <v>62</v>
      </c>
      <c r="L1271">
        <v>4</v>
      </c>
      <c r="M1271" s="1" t="s">
        <v>35</v>
      </c>
      <c r="N1271">
        <v>3539</v>
      </c>
      <c r="O1271">
        <v>0</v>
      </c>
      <c r="P1271" s="1" t="s">
        <v>39</v>
      </c>
      <c r="Q1271">
        <v>13</v>
      </c>
      <c r="R1271">
        <v>2</v>
      </c>
      <c r="S1271">
        <v>0</v>
      </c>
      <c r="T1271">
        <v>10</v>
      </c>
      <c r="U1271">
        <v>5</v>
      </c>
      <c r="V1271">
        <v>3</v>
      </c>
      <c r="W1271">
        <v>9</v>
      </c>
      <c r="X1271">
        <v>7</v>
      </c>
      <c r="Y1271">
        <v>1</v>
      </c>
      <c r="Z1271">
        <v>8</v>
      </c>
      <c r="AA1271">
        <v>0</v>
      </c>
      <c r="AB1271" s="1" t="s">
        <v>36</v>
      </c>
      <c r="AC1271" t="s">
        <v>46</v>
      </c>
      <c r="AD1271" t="s">
        <v>38</v>
      </c>
      <c r="AE1271" s="2">
        <v>393.22222222222223</v>
      </c>
    </row>
    <row r="1272" spans="1:31" x14ac:dyDescent="0.35">
      <c r="A1272">
        <v>34</v>
      </c>
      <c r="B1272" s="1" t="s">
        <v>39</v>
      </c>
      <c r="C1272" s="1" t="s">
        <v>31</v>
      </c>
      <c r="D1272">
        <v>3</v>
      </c>
      <c r="E1272">
        <v>2</v>
      </c>
      <c r="F1272" s="1" t="s">
        <v>32</v>
      </c>
      <c r="G1272">
        <v>4</v>
      </c>
      <c r="H1272" s="1" t="s">
        <v>33</v>
      </c>
      <c r="I1272">
        <v>1</v>
      </c>
      <c r="J1272">
        <v>2</v>
      </c>
      <c r="K1272" s="1" t="s">
        <v>34</v>
      </c>
      <c r="L1272">
        <v>4</v>
      </c>
      <c r="M1272" s="1" t="s">
        <v>35</v>
      </c>
      <c r="N1272">
        <v>6029</v>
      </c>
      <c r="O1272">
        <v>5</v>
      </c>
      <c r="P1272" s="1" t="s">
        <v>39</v>
      </c>
      <c r="Q1272">
        <v>12</v>
      </c>
      <c r="R1272">
        <v>1</v>
      </c>
      <c r="S1272">
        <v>0</v>
      </c>
      <c r="T1272">
        <v>6</v>
      </c>
      <c r="U1272">
        <v>3</v>
      </c>
      <c r="V1272">
        <v>3</v>
      </c>
      <c r="W1272">
        <v>2</v>
      </c>
      <c r="X1272">
        <v>2</v>
      </c>
      <c r="Y1272">
        <v>2</v>
      </c>
      <c r="Z1272">
        <v>2</v>
      </c>
      <c r="AA1272">
        <v>0</v>
      </c>
      <c r="AB1272" s="1" t="s">
        <v>48</v>
      </c>
      <c r="AC1272" t="s">
        <v>37</v>
      </c>
      <c r="AD1272" t="s">
        <v>47</v>
      </c>
      <c r="AE1272" s="2">
        <v>3014.5</v>
      </c>
    </row>
    <row r="1273" spans="1:31" x14ac:dyDescent="0.35">
      <c r="A1273">
        <v>21</v>
      </c>
      <c r="B1273" s="1" t="s">
        <v>30</v>
      </c>
      <c r="C1273" s="1" t="s">
        <v>31</v>
      </c>
      <c r="D1273">
        <v>7</v>
      </c>
      <c r="E1273">
        <v>1</v>
      </c>
      <c r="F1273" s="1" t="s">
        <v>60</v>
      </c>
      <c r="G1273">
        <v>2</v>
      </c>
      <c r="H1273" s="1" t="s">
        <v>41</v>
      </c>
      <c r="I1273">
        <v>3</v>
      </c>
      <c r="J1273">
        <v>1</v>
      </c>
      <c r="K1273" s="1" t="s">
        <v>58</v>
      </c>
      <c r="L1273">
        <v>2</v>
      </c>
      <c r="M1273" s="1" t="s">
        <v>35</v>
      </c>
      <c r="N1273">
        <v>2679</v>
      </c>
      <c r="O1273">
        <v>1</v>
      </c>
      <c r="P1273" s="1" t="s">
        <v>39</v>
      </c>
      <c r="Q1273">
        <v>13</v>
      </c>
      <c r="R1273">
        <v>2</v>
      </c>
      <c r="S1273">
        <v>0</v>
      </c>
      <c r="T1273">
        <v>1</v>
      </c>
      <c r="U1273">
        <v>3</v>
      </c>
      <c r="V1273">
        <v>3</v>
      </c>
      <c r="W1273">
        <v>1</v>
      </c>
      <c r="X1273">
        <v>0</v>
      </c>
      <c r="Y1273">
        <v>1</v>
      </c>
      <c r="Z1273">
        <v>0</v>
      </c>
      <c r="AA1273">
        <v>1</v>
      </c>
      <c r="AB1273" s="1" t="s">
        <v>54</v>
      </c>
      <c r="AC1273" t="s">
        <v>46</v>
      </c>
      <c r="AD1273" t="s">
        <v>47</v>
      </c>
      <c r="AE1273" s="2">
        <v>2679</v>
      </c>
    </row>
    <row r="1274" spans="1:31" x14ac:dyDescent="0.35">
      <c r="A1274">
        <v>38</v>
      </c>
      <c r="B1274" s="1" t="s">
        <v>39</v>
      </c>
      <c r="C1274" s="1" t="s">
        <v>40</v>
      </c>
      <c r="D1274">
        <v>6</v>
      </c>
      <c r="E1274">
        <v>2</v>
      </c>
      <c r="F1274" s="1" t="s">
        <v>44</v>
      </c>
      <c r="G1274">
        <v>4</v>
      </c>
      <c r="H1274" s="1" t="s">
        <v>33</v>
      </c>
      <c r="I1274">
        <v>2</v>
      </c>
      <c r="J1274">
        <v>1</v>
      </c>
      <c r="K1274" s="1" t="s">
        <v>45</v>
      </c>
      <c r="L1274">
        <v>3</v>
      </c>
      <c r="M1274" s="1" t="s">
        <v>43</v>
      </c>
      <c r="N1274">
        <v>3702</v>
      </c>
      <c r="O1274">
        <v>1</v>
      </c>
      <c r="P1274" s="1" t="s">
        <v>39</v>
      </c>
      <c r="Q1274">
        <v>11</v>
      </c>
      <c r="R1274">
        <v>2</v>
      </c>
      <c r="S1274">
        <v>1</v>
      </c>
      <c r="T1274">
        <v>5</v>
      </c>
      <c r="U1274">
        <v>3</v>
      </c>
      <c r="V1274">
        <v>3</v>
      </c>
      <c r="W1274">
        <v>5</v>
      </c>
      <c r="X1274">
        <v>4</v>
      </c>
      <c r="Y1274">
        <v>0</v>
      </c>
      <c r="Z1274">
        <v>4</v>
      </c>
      <c r="AA1274">
        <v>0</v>
      </c>
      <c r="AB1274" s="1" t="s">
        <v>36</v>
      </c>
      <c r="AC1274" t="s">
        <v>46</v>
      </c>
      <c r="AD1274" t="s">
        <v>53</v>
      </c>
      <c r="AE1274" s="2">
        <v>740.4</v>
      </c>
    </row>
    <row r="1275" spans="1:31" x14ac:dyDescent="0.35">
      <c r="A1275">
        <v>22</v>
      </c>
      <c r="B1275" s="1" t="s">
        <v>30</v>
      </c>
      <c r="C1275" s="1" t="s">
        <v>40</v>
      </c>
      <c r="D1275">
        <v>8</v>
      </c>
      <c r="E1275">
        <v>1</v>
      </c>
      <c r="F1275" s="1" t="s">
        <v>49</v>
      </c>
      <c r="G1275">
        <v>3</v>
      </c>
      <c r="H1275" s="1" t="s">
        <v>33</v>
      </c>
      <c r="I1275">
        <v>3</v>
      </c>
      <c r="J1275">
        <v>1</v>
      </c>
      <c r="K1275" s="1" t="s">
        <v>45</v>
      </c>
      <c r="L1275">
        <v>1</v>
      </c>
      <c r="M1275" s="1" t="s">
        <v>43</v>
      </c>
      <c r="N1275">
        <v>2398</v>
      </c>
      <c r="O1275">
        <v>1</v>
      </c>
      <c r="P1275" s="1" t="s">
        <v>30</v>
      </c>
      <c r="Q1275">
        <v>17</v>
      </c>
      <c r="R1275">
        <v>3</v>
      </c>
      <c r="S1275">
        <v>0</v>
      </c>
      <c r="T1275">
        <v>1</v>
      </c>
      <c r="U1275">
        <v>6</v>
      </c>
      <c r="V1275">
        <v>3</v>
      </c>
      <c r="W1275">
        <v>1</v>
      </c>
      <c r="X1275">
        <v>0</v>
      </c>
      <c r="Y1275">
        <v>0</v>
      </c>
      <c r="Z1275">
        <v>0</v>
      </c>
      <c r="AA1275">
        <v>1</v>
      </c>
      <c r="AB1275" s="1" t="s">
        <v>54</v>
      </c>
      <c r="AC1275" t="s">
        <v>46</v>
      </c>
      <c r="AD1275" t="s">
        <v>47</v>
      </c>
      <c r="AE1275" s="2">
        <v>2398</v>
      </c>
    </row>
    <row r="1276" spans="1:31" x14ac:dyDescent="0.35">
      <c r="A1276">
        <v>31</v>
      </c>
      <c r="B1276" s="1" t="s">
        <v>39</v>
      </c>
      <c r="C1276" s="1" t="s">
        <v>31</v>
      </c>
      <c r="D1276">
        <v>29</v>
      </c>
      <c r="E1276">
        <v>4</v>
      </c>
      <c r="F1276" s="1" t="s">
        <v>60</v>
      </c>
      <c r="G1276">
        <v>1</v>
      </c>
      <c r="H1276" s="1" t="s">
        <v>33</v>
      </c>
      <c r="I1276">
        <v>2</v>
      </c>
      <c r="J1276">
        <v>2</v>
      </c>
      <c r="K1276" s="1" t="s">
        <v>34</v>
      </c>
      <c r="L1276">
        <v>4</v>
      </c>
      <c r="M1276" s="1" t="s">
        <v>43</v>
      </c>
      <c r="N1276">
        <v>5468</v>
      </c>
      <c r="O1276">
        <v>1</v>
      </c>
      <c r="P1276" s="1" t="s">
        <v>39</v>
      </c>
      <c r="Q1276">
        <v>14</v>
      </c>
      <c r="R1276">
        <v>1</v>
      </c>
      <c r="S1276">
        <v>2</v>
      </c>
      <c r="T1276">
        <v>13</v>
      </c>
      <c r="U1276">
        <v>3</v>
      </c>
      <c r="V1276">
        <v>3</v>
      </c>
      <c r="W1276">
        <v>12</v>
      </c>
      <c r="X1276">
        <v>7</v>
      </c>
      <c r="Y1276">
        <v>5</v>
      </c>
      <c r="Z1276">
        <v>7</v>
      </c>
      <c r="AA1276">
        <v>0</v>
      </c>
      <c r="AB1276" s="1" t="s">
        <v>48</v>
      </c>
      <c r="AC1276" t="s">
        <v>37</v>
      </c>
      <c r="AD1276" t="s">
        <v>57</v>
      </c>
      <c r="AE1276" s="2">
        <v>455.66666666666669</v>
      </c>
    </row>
    <row r="1277" spans="1:31" x14ac:dyDescent="0.35">
      <c r="A1277">
        <v>51</v>
      </c>
      <c r="B1277" s="1" t="s">
        <v>39</v>
      </c>
      <c r="C1277" s="1" t="s">
        <v>40</v>
      </c>
      <c r="D1277">
        <v>3</v>
      </c>
      <c r="E1277">
        <v>3</v>
      </c>
      <c r="F1277" s="1" t="s">
        <v>61</v>
      </c>
      <c r="G1277">
        <v>1</v>
      </c>
      <c r="H1277" s="1" t="s">
        <v>33</v>
      </c>
      <c r="I1277">
        <v>3</v>
      </c>
      <c r="J1277">
        <v>3</v>
      </c>
      <c r="K1277" s="1" t="s">
        <v>55</v>
      </c>
      <c r="L1277">
        <v>3</v>
      </c>
      <c r="M1277" s="1" t="s">
        <v>43</v>
      </c>
      <c r="N1277">
        <v>13116</v>
      </c>
      <c r="O1277">
        <v>2</v>
      </c>
      <c r="P1277" s="1" t="s">
        <v>39</v>
      </c>
      <c r="Q1277">
        <v>11</v>
      </c>
      <c r="R1277">
        <v>4</v>
      </c>
      <c r="S1277">
        <v>0</v>
      </c>
      <c r="T1277">
        <v>15</v>
      </c>
      <c r="U1277">
        <v>2</v>
      </c>
      <c r="V1277">
        <v>3</v>
      </c>
      <c r="W1277">
        <v>2</v>
      </c>
      <c r="X1277">
        <v>2</v>
      </c>
      <c r="Y1277">
        <v>2</v>
      </c>
      <c r="Z1277">
        <v>2</v>
      </c>
      <c r="AA1277">
        <v>0</v>
      </c>
      <c r="AB1277" s="1" t="s">
        <v>82</v>
      </c>
      <c r="AC1277" t="s">
        <v>56</v>
      </c>
      <c r="AD1277" t="s">
        <v>47</v>
      </c>
      <c r="AE1277" s="2">
        <v>6558</v>
      </c>
    </row>
    <row r="1278" spans="1:31" x14ac:dyDescent="0.35">
      <c r="A1278">
        <v>37</v>
      </c>
      <c r="B1278" s="1" t="s">
        <v>39</v>
      </c>
      <c r="C1278" s="1" t="s">
        <v>31</v>
      </c>
      <c r="D1278">
        <v>9</v>
      </c>
      <c r="E1278">
        <v>2</v>
      </c>
      <c r="F1278" s="1" t="s">
        <v>60</v>
      </c>
      <c r="G1278">
        <v>2</v>
      </c>
      <c r="H1278" s="1" t="s">
        <v>41</v>
      </c>
      <c r="I1278">
        <v>2</v>
      </c>
      <c r="J1278">
        <v>2</v>
      </c>
      <c r="K1278" s="1" t="s">
        <v>34</v>
      </c>
      <c r="L1278">
        <v>2</v>
      </c>
      <c r="M1278" s="1" t="s">
        <v>43</v>
      </c>
      <c r="N1278">
        <v>4189</v>
      </c>
      <c r="O1278">
        <v>1</v>
      </c>
      <c r="P1278" s="1" t="s">
        <v>39</v>
      </c>
      <c r="Q1278">
        <v>14</v>
      </c>
      <c r="R1278">
        <v>1</v>
      </c>
      <c r="S1278">
        <v>2</v>
      </c>
      <c r="T1278">
        <v>5</v>
      </c>
      <c r="U1278">
        <v>2</v>
      </c>
      <c r="V1278">
        <v>3</v>
      </c>
      <c r="W1278">
        <v>5</v>
      </c>
      <c r="X1278">
        <v>2</v>
      </c>
      <c r="Y1278">
        <v>0</v>
      </c>
      <c r="Z1278">
        <v>3</v>
      </c>
      <c r="AA1278">
        <v>0</v>
      </c>
      <c r="AB1278" s="1" t="s">
        <v>36</v>
      </c>
      <c r="AC1278" t="s">
        <v>37</v>
      </c>
      <c r="AD1278" t="s">
        <v>53</v>
      </c>
      <c r="AE1278" s="2">
        <v>837.8</v>
      </c>
    </row>
    <row r="1279" spans="1:31" x14ac:dyDescent="0.35">
      <c r="A1279">
        <v>46</v>
      </c>
      <c r="B1279" s="1" t="s">
        <v>39</v>
      </c>
      <c r="C1279" s="1" t="s">
        <v>40</v>
      </c>
      <c r="D1279">
        <v>2</v>
      </c>
      <c r="E1279">
        <v>4</v>
      </c>
      <c r="F1279" s="1" t="s">
        <v>49</v>
      </c>
      <c r="G1279">
        <v>3</v>
      </c>
      <c r="H1279" s="1" t="s">
        <v>41</v>
      </c>
      <c r="I1279">
        <v>3</v>
      </c>
      <c r="J1279">
        <v>5</v>
      </c>
      <c r="K1279" s="1" t="s">
        <v>59</v>
      </c>
      <c r="L1279">
        <v>4</v>
      </c>
      <c r="M1279" s="1" t="s">
        <v>50</v>
      </c>
      <c r="N1279">
        <v>19328</v>
      </c>
      <c r="O1279">
        <v>7</v>
      </c>
      <c r="P1279" s="1" t="s">
        <v>30</v>
      </c>
      <c r="Q1279">
        <v>17</v>
      </c>
      <c r="R1279">
        <v>3</v>
      </c>
      <c r="S1279">
        <v>1</v>
      </c>
      <c r="T1279">
        <v>24</v>
      </c>
      <c r="U1279">
        <v>3</v>
      </c>
      <c r="V1279">
        <v>3</v>
      </c>
      <c r="W1279">
        <v>2</v>
      </c>
      <c r="X1279">
        <v>1</v>
      </c>
      <c r="Y1279">
        <v>2</v>
      </c>
      <c r="Z1279">
        <v>2</v>
      </c>
      <c r="AA1279">
        <v>0</v>
      </c>
      <c r="AB1279" s="1" t="s">
        <v>82</v>
      </c>
      <c r="AC1279" t="s">
        <v>56</v>
      </c>
      <c r="AD1279" t="s">
        <v>47</v>
      </c>
      <c r="AE1279" s="2">
        <v>9664</v>
      </c>
    </row>
    <row r="1280" spans="1:31" x14ac:dyDescent="0.35">
      <c r="A1280">
        <v>36</v>
      </c>
      <c r="B1280" s="1" t="s">
        <v>39</v>
      </c>
      <c r="C1280" s="1" t="s">
        <v>40</v>
      </c>
      <c r="D1280">
        <v>10</v>
      </c>
      <c r="E1280">
        <v>3</v>
      </c>
      <c r="F1280" s="1" t="s">
        <v>32</v>
      </c>
      <c r="G1280">
        <v>4</v>
      </c>
      <c r="H1280" s="1" t="s">
        <v>41</v>
      </c>
      <c r="I1280">
        <v>3</v>
      </c>
      <c r="J1280">
        <v>3</v>
      </c>
      <c r="K1280" s="1" t="s">
        <v>52</v>
      </c>
      <c r="L1280">
        <v>1</v>
      </c>
      <c r="M1280" s="1" t="s">
        <v>43</v>
      </c>
      <c r="N1280">
        <v>8321</v>
      </c>
      <c r="O1280">
        <v>7</v>
      </c>
      <c r="P1280" s="1" t="s">
        <v>30</v>
      </c>
      <c r="Q1280">
        <v>13</v>
      </c>
      <c r="R1280">
        <v>4</v>
      </c>
      <c r="S1280">
        <v>1</v>
      </c>
      <c r="T1280">
        <v>15</v>
      </c>
      <c r="U1280">
        <v>1</v>
      </c>
      <c r="V1280">
        <v>3</v>
      </c>
      <c r="W1280">
        <v>12</v>
      </c>
      <c r="X1280">
        <v>8</v>
      </c>
      <c r="Y1280">
        <v>5</v>
      </c>
      <c r="Z1280">
        <v>7</v>
      </c>
      <c r="AA1280">
        <v>0</v>
      </c>
      <c r="AB1280" s="1" t="s">
        <v>36</v>
      </c>
      <c r="AC1280" t="s">
        <v>37</v>
      </c>
      <c r="AD1280" t="s">
        <v>57</v>
      </c>
      <c r="AE1280" s="2">
        <v>693.41666666666663</v>
      </c>
    </row>
    <row r="1281" spans="1:31" x14ac:dyDescent="0.35">
      <c r="A1281">
        <v>44</v>
      </c>
      <c r="B1281" s="1" t="s">
        <v>30</v>
      </c>
      <c r="C1281" s="1" t="s">
        <v>40</v>
      </c>
      <c r="D1281">
        <v>1</v>
      </c>
      <c r="E1281">
        <v>2</v>
      </c>
      <c r="F1281" s="1" t="s">
        <v>49</v>
      </c>
      <c r="G1281">
        <v>3</v>
      </c>
      <c r="H1281" s="1" t="s">
        <v>41</v>
      </c>
      <c r="I1281">
        <v>3</v>
      </c>
      <c r="J1281">
        <v>1</v>
      </c>
      <c r="K1281" s="1" t="s">
        <v>42</v>
      </c>
      <c r="L1281">
        <v>2</v>
      </c>
      <c r="M1281" s="1" t="s">
        <v>50</v>
      </c>
      <c r="N1281">
        <v>2342</v>
      </c>
      <c r="O1281">
        <v>1</v>
      </c>
      <c r="P1281" s="1" t="s">
        <v>30</v>
      </c>
      <c r="Q1281">
        <v>12</v>
      </c>
      <c r="R1281">
        <v>3</v>
      </c>
      <c r="S1281">
        <v>3</v>
      </c>
      <c r="T1281">
        <v>6</v>
      </c>
      <c r="U1281">
        <v>2</v>
      </c>
      <c r="V1281">
        <v>2</v>
      </c>
      <c r="W1281">
        <v>5</v>
      </c>
      <c r="X1281">
        <v>3</v>
      </c>
      <c r="Y1281">
        <v>2</v>
      </c>
      <c r="Z1281">
        <v>3</v>
      </c>
      <c r="AA1281">
        <v>1</v>
      </c>
      <c r="AB1281" s="1" t="s">
        <v>36</v>
      </c>
      <c r="AC1281" t="s">
        <v>46</v>
      </c>
      <c r="AD1281" t="s">
        <v>53</v>
      </c>
      <c r="AE1281" s="2">
        <v>468.4</v>
      </c>
    </row>
    <row r="1282" spans="1:31" x14ac:dyDescent="0.35">
      <c r="A1282">
        <v>37</v>
      </c>
      <c r="B1282" s="1" t="s">
        <v>39</v>
      </c>
      <c r="C1282" s="1" t="s">
        <v>62</v>
      </c>
      <c r="D1282">
        <v>8</v>
      </c>
      <c r="E1282">
        <v>2</v>
      </c>
      <c r="F1282" s="1" t="s">
        <v>44</v>
      </c>
      <c r="G1282">
        <v>3</v>
      </c>
      <c r="H1282" s="1" t="s">
        <v>41</v>
      </c>
      <c r="I1282">
        <v>3</v>
      </c>
      <c r="J1282">
        <v>2</v>
      </c>
      <c r="K1282" s="1" t="s">
        <v>62</v>
      </c>
      <c r="L1282">
        <v>2</v>
      </c>
      <c r="M1282" s="1" t="s">
        <v>50</v>
      </c>
      <c r="N1282">
        <v>4071</v>
      </c>
      <c r="O1282">
        <v>2</v>
      </c>
      <c r="P1282" s="1" t="s">
        <v>39</v>
      </c>
      <c r="Q1282">
        <v>13</v>
      </c>
      <c r="R1282">
        <v>3</v>
      </c>
      <c r="S1282">
        <v>0</v>
      </c>
      <c r="T1282">
        <v>19</v>
      </c>
      <c r="U1282">
        <v>4</v>
      </c>
      <c r="V1282">
        <v>2</v>
      </c>
      <c r="W1282">
        <v>10</v>
      </c>
      <c r="X1282">
        <v>0</v>
      </c>
      <c r="Y1282">
        <v>4</v>
      </c>
      <c r="Z1282">
        <v>7</v>
      </c>
      <c r="AA1282">
        <v>0</v>
      </c>
      <c r="AB1282" s="1" t="s">
        <v>36</v>
      </c>
      <c r="AC1282" t="s">
        <v>37</v>
      </c>
      <c r="AD1282" t="s">
        <v>38</v>
      </c>
      <c r="AE1282" s="2">
        <v>407.1</v>
      </c>
    </row>
    <row r="1283" spans="1:31" x14ac:dyDescent="0.35">
      <c r="A1283">
        <v>35</v>
      </c>
      <c r="B1283" s="1" t="s">
        <v>30</v>
      </c>
      <c r="C1283" s="1" t="s">
        <v>31</v>
      </c>
      <c r="D1283">
        <v>27</v>
      </c>
      <c r="E1283">
        <v>3</v>
      </c>
      <c r="F1283" s="1" t="s">
        <v>32</v>
      </c>
      <c r="G1283">
        <v>3</v>
      </c>
      <c r="H1283" s="1" t="s">
        <v>41</v>
      </c>
      <c r="I1283">
        <v>3</v>
      </c>
      <c r="J1283">
        <v>2</v>
      </c>
      <c r="K1283" s="1" t="s">
        <v>34</v>
      </c>
      <c r="L1283">
        <v>4</v>
      </c>
      <c r="M1283" s="1" t="s">
        <v>35</v>
      </c>
      <c r="N1283">
        <v>5813</v>
      </c>
      <c r="O1283">
        <v>1</v>
      </c>
      <c r="P1283" s="1" t="s">
        <v>30</v>
      </c>
      <c r="Q1283">
        <v>18</v>
      </c>
      <c r="R1283">
        <v>4</v>
      </c>
      <c r="S1283">
        <v>0</v>
      </c>
      <c r="T1283">
        <v>10</v>
      </c>
      <c r="U1283">
        <v>2</v>
      </c>
      <c r="V1283">
        <v>3</v>
      </c>
      <c r="W1283">
        <v>10</v>
      </c>
      <c r="X1283">
        <v>7</v>
      </c>
      <c r="Y1283">
        <v>7</v>
      </c>
      <c r="Z1283">
        <v>7</v>
      </c>
      <c r="AA1283">
        <v>1</v>
      </c>
      <c r="AB1283" s="1" t="s">
        <v>48</v>
      </c>
      <c r="AC1283" t="s">
        <v>37</v>
      </c>
      <c r="AD1283" t="s">
        <v>38</v>
      </c>
      <c r="AE1283" s="2">
        <v>581.29999999999995</v>
      </c>
    </row>
    <row r="1284" spans="1:31" x14ac:dyDescent="0.35">
      <c r="A1284">
        <v>33</v>
      </c>
      <c r="B1284" s="1" t="s">
        <v>39</v>
      </c>
      <c r="C1284" s="1" t="s">
        <v>40</v>
      </c>
      <c r="D1284">
        <v>8</v>
      </c>
      <c r="E1284">
        <v>4</v>
      </c>
      <c r="F1284" s="1" t="s">
        <v>32</v>
      </c>
      <c r="G1284">
        <v>4</v>
      </c>
      <c r="H1284" s="1" t="s">
        <v>41</v>
      </c>
      <c r="I1284">
        <v>4</v>
      </c>
      <c r="J1284">
        <v>1</v>
      </c>
      <c r="K1284" s="1" t="s">
        <v>42</v>
      </c>
      <c r="L1284">
        <v>1</v>
      </c>
      <c r="M1284" s="1" t="s">
        <v>43</v>
      </c>
      <c r="N1284">
        <v>3143</v>
      </c>
      <c r="O1284">
        <v>6</v>
      </c>
      <c r="P1284" s="1" t="s">
        <v>39</v>
      </c>
      <c r="Q1284">
        <v>19</v>
      </c>
      <c r="R1284">
        <v>2</v>
      </c>
      <c r="S1284">
        <v>1</v>
      </c>
      <c r="T1284">
        <v>14</v>
      </c>
      <c r="U1284">
        <v>1</v>
      </c>
      <c r="V1284">
        <v>3</v>
      </c>
      <c r="W1284">
        <v>10</v>
      </c>
      <c r="X1284">
        <v>8</v>
      </c>
      <c r="Y1284">
        <v>7</v>
      </c>
      <c r="Z1284">
        <v>6</v>
      </c>
      <c r="AA1284">
        <v>0</v>
      </c>
      <c r="AB1284" s="1" t="s">
        <v>48</v>
      </c>
      <c r="AC1284" t="s">
        <v>46</v>
      </c>
      <c r="AD1284" t="s">
        <v>38</v>
      </c>
      <c r="AE1284" s="2">
        <v>314.3</v>
      </c>
    </row>
    <row r="1285" spans="1:31" x14ac:dyDescent="0.35">
      <c r="A1285">
        <v>28</v>
      </c>
      <c r="B1285" s="1" t="s">
        <v>39</v>
      </c>
      <c r="C1285" s="1" t="s">
        <v>40</v>
      </c>
      <c r="D1285">
        <v>1</v>
      </c>
      <c r="E1285">
        <v>3</v>
      </c>
      <c r="F1285" s="1" t="s">
        <v>32</v>
      </c>
      <c r="G1285">
        <v>3</v>
      </c>
      <c r="H1285" s="1" t="s">
        <v>41</v>
      </c>
      <c r="I1285">
        <v>3</v>
      </c>
      <c r="J1285">
        <v>1</v>
      </c>
      <c r="K1285" s="1" t="s">
        <v>42</v>
      </c>
      <c r="L1285">
        <v>4</v>
      </c>
      <c r="M1285" s="1" t="s">
        <v>43</v>
      </c>
      <c r="N1285">
        <v>2044</v>
      </c>
      <c r="O1285">
        <v>1</v>
      </c>
      <c r="P1285" s="1" t="s">
        <v>39</v>
      </c>
      <c r="Q1285">
        <v>11</v>
      </c>
      <c r="R1285">
        <v>3</v>
      </c>
      <c r="S1285">
        <v>1</v>
      </c>
      <c r="T1285">
        <v>5</v>
      </c>
      <c r="U1285">
        <v>6</v>
      </c>
      <c r="V1285">
        <v>4</v>
      </c>
      <c r="W1285">
        <v>5</v>
      </c>
      <c r="X1285">
        <v>3</v>
      </c>
      <c r="Y1285">
        <v>0</v>
      </c>
      <c r="Z1285">
        <v>3</v>
      </c>
      <c r="AA1285">
        <v>0</v>
      </c>
      <c r="AB1285" s="1" t="s">
        <v>48</v>
      </c>
      <c r="AC1285" t="s">
        <v>46</v>
      </c>
      <c r="AD1285" t="s">
        <v>53</v>
      </c>
      <c r="AE1285" s="2">
        <v>408.8</v>
      </c>
    </row>
    <row r="1286" spans="1:31" x14ac:dyDescent="0.35">
      <c r="A1286">
        <v>39</v>
      </c>
      <c r="B1286" s="1" t="s">
        <v>39</v>
      </c>
      <c r="C1286" s="1" t="s">
        <v>40</v>
      </c>
      <c r="D1286">
        <v>10</v>
      </c>
      <c r="E1286">
        <v>1</v>
      </c>
      <c r="F1286" s="1" t="s">
        <v>49</v>
      </c>
      <c r="G1286">
        <v>3</v>
      </c>
      <c r="H1286" s="1" t="s">
        <v>41</v>
      </c>
      <c r="I1286">
        <v>3</v>
      </c>
      <c r="J1286">
        <v>3</v>
      </c>
      <c r="K1286" s="1" t="s">
        <v>59</v>
      </c>
      <c r="L1286">
        <v>3</v>
      </c>
      <c r="M1286" s="1" t="s">
        <v>35</v>
      </c>
      <c r="N1286">
        <v>13464</v>
      </c>
      <c r="O1286">
        <v>7</v>
      </c>
      <c r="P1286" s="1" t="s">
        <v>39</v>
      </c>
      <c r="Q1286">
        <v>21</v>
      </c>
      <c r="R1286">
        <v>3</v>
      </c>
      <c r="S1286">
        <v>0</v>
      </c>
      <c r="T1286">
        <v>9</v>
      </c>
      <c r="U1286">
        <v>3</v>
      </c>
      <c r="V1286">
        <v>3</v>
      </c>
      <c r="W1286">
        <v>4</v>
      </c>
      <c r="X1286">
        <v>3</v>
      </c>
      <c r="Y1286">
        <v>2</v>
      </c>
      <c r="Z1286">
        <v>2</v>
      </c>
      <c r="AA1286">
        <v>0</v>
      </c>
      <c r="AB1286" s="1" t="s">
        <v>36</v>
      </c>
      <c r="AC1286" t="s">
        <v>56</v>
      </c>
      <c r="AD1286" t="s">
        <v>53</v>
      </c>
      <c r="AE1286" s="2">
        <v>3366</v>
      </c>
    </row>
    <row r="1287" spans="1:31" x14ac:dyDescent="0.35">
      <c r="A1287">
        <v>46</v>
      </c>
      <c r="B1287" s="1" t="s">
        <v>39</v>
      </c>
      <c r="C1287" s="1" t="s">
        <v>31</v>
      </c>
      <c r="D1287">
        <v>26</v>
      </c>
      <c r="E1287">
        <v>2</v>
      </c>
      <c r="F1287" s="1" t="s">
        <v>32</v>
      </c>
      <c r="G1287">
        <v>2</v>
      </c>
      <c r="H1287" s="1" t="s">
        <v>41</v>
      </c>
      <c r="I1287">
        <v>2</v>
      </c>
      <c r="J1287">
        <v>2</v>
      </c>
      <c r="K1287" s="1" t="s">
        <v>34</v>
      </c>
      <c r="L1287">
        <v>2</v>
      </c>
      <c r="M1287" s="1" t="s">
        <v>35</v>
      </c>
      <c r="N1287">
        <v>7991</v>
      </c>
      <c r="O1287">
        <v>8</v>
      </c>
      <c r="P1287" s="1" t="s">
        <v>39</v>
      </c>
      <c r="Q1287">
        <v>15</v>
      </c>
      <c r="R1287">
        <v>3</v>
      </c>
      <c r="S1287">
        <v>0</v>
      </c>
      <c r="T1287">
        <v>6</v>
      </c>
      <c r="U1287">
        <v>3</v>
      </c>
      <c r="V1287">
        <v>3</v>
      </c>
      <c r="W1287">
        <v>2</v>
      </c>
      <c r="X1287">
        <v>2</v>
      </c>
      <c r="Y1287">
        <v>2</v>
      </c>
      <c r="Z1287">
        <v>2</v>
      </c>
      <c r="AA1287">
        <v>0</v>
      </c>
      <c r="AB1287" s="1" t="s">
        <v>82</v>
      </c>
      <c r="AC1287" t="s">
        <v>37</v>
      </c>
      <c r="AD1287" t="s">
        <v>47</v>
      </c>
      <c r="AE1287" s="2">
        <v>3995.5</v>
      </c>
    </row>
    <row r="1288" spans="1:31" x14ac:dyDescent="0.35">
      <c r="A1288">
        <v>40</v>
      </c>
      <c r="B1288" s="1" t="s">
        <v>39</v>
      </c>
      <c r="C1288" s="1" t="s">
        <v>40</v>
      </c>
      <c r="D1288">
        <v>2</v>
      </c>
      <c r="E1288">
        <v>2</v>
      </c>
      <c r="F1288" s="1" t="s">
        <v>32</v>
      </c>
      <c r="G1288">
        <v>3</v>
      </c>
      <c r="H1288" s="1" t="s">
        <v>33</v>
      </c>
      <c r="I1288">
        <v>3</v>
      </c>
      <c r="J1288">
        <v>1</v>
      </c>
      <c r="K1288" s="1" t="s">
        <v>45</v>
      </c>
      <c r="L1288">
        <v>1</v>
      </c>
      <c r="M1288" s="1" t="s">
        <v>43</v>
      </c>
      <c r="N1288">
        <v>3377</v>
      </c>
      <c r="O1288">
        <v>4</v>
      </c>
      <c r="P1288" s="1" t="s">
        <v>39</v>
      </c>
      <c r="Q1288">
        <v>17</v>
      </c>
      <c r="R1288">
        <v>4</v>
      </c>
      <c r="S1288">
        <v>1</v>
      </c>
      <c r="T1288">
        <v>7</v>
      </c>
      <c r="U1288">
        <v>5</v>
      </c>
      <c r="V1288">
        <v>2</v>
      </c>
      <c r="W1288">
        <v>4</v>
      </c>
      <c r="X1288">
        <v>3</v>
      </c>
      <c r="Y1288">
        <v>0</v>
      </c>
      <c r="Z1288">
        <v>2</v>
      </c>
      <c r="AA1288">
        <v>0</v>
      </c>
      <c r="AB1288" s="1" t="s">
        <v>36</v>
      </c>
      <c r="AC1288" t="s">
        <v>46</v>
      </c>
      <c r="AD1288" t="s">
        <v>53</v>
      </c>
      <c r="AE1288" s="2">
        <v>844.25</v>
      </c>
    </row>
    <row r="1289" spans="1:31" x14ac:dyDescent="0.35">
      <c r="A1289">
        <v>42</v>
      </c>
      <c r="B1289" s="1" t="s">
        <v>39</v>
      </c>
      <c r="C1289" s="1" t="s">
        <v>40</v>
      </c>
      <c r="D1289">
        <v>13</v>
      </c>
      <c r="E1289">
        <v>3</v>
      </c>
      <c r="F1289" s="1" t="s">
        <v>49</v>
      </c>
      <c r="G1289">
        <v>2</v>
      </c>
      <c r="H1289" s="1" t="s">
        <v>41</v>
      </c>
      <c r="I1289">
        <v>4</v>
      </c>
      <c r="J1289">
        <v>2</v>
      </c>
      <c r="K1289" s="1" t="s">
        <v>52</v>
      </c>
      <c r="L1289">
        <v>1</v>
      </c>
      <c r="M1289" s="1" t="s">
        <v>43</v>
      </c>
      <c r="N1289">
        <v>5538</v>
      </c>
      <c r="O1289">
        <v>5</v>
      </c>
      <c r="P1289" s="1" t="s">
        <v>39</v>
      </c>
      <c r="Q1289">
        <v>18</v>
      </c>
      <c r="R1289">
        <v>3</v>
      </c>
      <c r="S1289">
        <v>2</v>
      </c>
      <c r="T1289">
        <v>10</v>
      </c>
      <c r="U1289">
        <v>2</v>
      </c>
      <c r="V1289">
        <v>2</v>
      </c>
      <c r="W1289">
        <v>0</v>
      </c>
      <c r="X1289">
        <v>0</v>
      </c>
      <c r="Y1289">
        <v>0</v>
      </c>
      <c r="Z1289">
        <v>0</v>
      </c>
      <c r="AA1289">
        <v>0</v>
      </c>
      <c r="AB1289" s="1" t="s">
        <v>36</v>
      </c>
      <c r="AC1289" t="s">
        <v>37</v>
      </c>
      <c r="AD1289" t="s">
        <v>47</v>
      </c>
      <c r="AE1289" s="2">
        <v>5538</v>
      </c>
    </row>
    <row r="1290" spans="1:31" x14ac:dyDescent="0.35">
      <c r="A1290">
        <v>35</v>
      </c>
      <c r="B1290" s="1" t="s">
        <v>39</v>
      </c>
      <c r="C1290" s="1" t="s">
        <v>40</v>
      </c>
      <c r="D1290">
        <v>2</v>
      </c>
      <c r="E1290">
        <v>2</v>
      </c>
      <c r="F1290" s="1" t="s">
        <v>49</v>
      </c>
      <c r="G1290">
        <v>2</v>
      </c>
      <c r="H1290" s="1" t="s">
        <v>41</v>
      </c>
      <c r="I1290">
        <v>3</v>
      </c>
      <c r="J1290">
        <v>2</v>
      </c>
      <c r="K1290" s="1" t="s">
        <v>51</v>
      </c>
      <c r="L1290">
        <v>4</v>
      </c>
      <c r="M1290" s="1" t="s">
        <v>50</v>
      </c>
      <c r="N1290">
        <v>5762</v>
      </c>
      <c r="O1290">
        <v>2</v>
      </c>
      <c r="P1290" s="1" t="s">
        <v>39</v>
      </c>
      <c r="Q1290">
        <v>14</v>
      </c>
      <c r="R1290">
        <v>3</v>
      </c>
      <c r="S1290">
        <v>1</v>
      </c>
      <c r="T1290">
        <v>15</v>
      </c>
      <c r="U1290">
        <v>6</v>
      </c>
      <c r="V1290">
        <v>3</v>
      </c>
      <c r="W1290">
        <v>7</v>
      </c>
      <c r="X1290">
        <v>7</v>
      </c>
      <c r="Y1290">
        <v>1</v>
      </c>
      <c r="Z1290">
        <v>7</v>
      </c>
      <c r="AA1290">
        <v>0</v>
      </c>
      <c r="AB1290" s="1" t="s">
        <v>48</v>
      </c>
      <c r="AC1290" t="s">
        <v>37</v>
      </c>
      <c r="AD1290" t="s">
        <v>38</v>
      </c>
      <c r="AE1290" s="2">
        <v>823.14285714285711</v>
      </c>
    </row>
    <row r="1291" spans="1:31" x14ac:dyDescent="0.35">
      <c r="A1291">
        <v>38</v>
      </c>
      <c r="B1291" s="1" t="s">
        <v>39</v>
      </c>
      <c r="C1291" s="1" t="s">
        <v>62</v>
      </c>
      <c r="D1291">
        <v>2</v>
      </c>
      <c r="E1291">
        <v>3</v>
      </c>
      <c r="F1291" s="1" t="s">
        <v>62</v>
      </c>
      <c r="G1291">
        <v>1</v>
      </c>
      <c r="H1291" s="1" t="s">
        <v>41</v>
      </c>
      <c r="I1291">
        <v>3</v>
      </c>
      <c r="J1291">
        <v>1</v>
      </c>
      <c r="K1291" s="1" t="s">
        <v>62</v>
      </c>
      <c r="L1291">
        <v>2</v>
      </c>
      <c r="M1291" s="1" t="s">
        <v>50</v>
      </c>
      <c r="N1291">
        <v>2592</v>
      </c>
      <c r="O1291">
        <v>5</v>
      </c>
      <c r="P1291" s="1" t="s">
        <v>39</v>
      </c>
      <c r="Q1291">
        <v>13</v>
      </c>
      <c r="R1291">
        <v>4</v>
      </c>
      <c r="S1291">
        <v>3</v>
      </c>
      <c r="T1291">
        <v>13</v>
      </c>
      <c r="U1291">
        <v>3</v>
      </c>
      <c r="V1291">
        <v>3</v>
      </c>
      <c r="W1291">
        <v>11</v>
      </c>
      <c r="X1291">
        <v>10</v>
      </c>
      <c r="Y1291">
        <v>3</v>
      </c>
      <c r="Z1291">
        <v>8</v>
      </c>
      <c r="AA1291">
        <v>0</v>
      </c>
      <c r="AB1291" s="1" t="s">
        <v>36</v>
      </c>
      <c r="AC1291" t="s">
        <v>46</v>
      </c>
      <c r="AD1291" t="s">
        <v>57</v>
      </c>
      <c r="AE1291" s="2">
        <v>235.63636363636363</v>
      </c>
    </row>
    <row r="1292" spans="1:31" x14ac:dyDescent="0.35">
      <c r="A1292">
        <v>34</v>
      </c>
      <c r="B1292" s="1" t="s">
        <v>30</v>
      </c>
      <c r="C1292" s="1" t="s">
        <v>40</v>
      </c>
      <c r="D1292">
        <v>9</v>
      </c>
      <c r="E1292">
        <v>4</v>
      </c>
      <c r="F1292" s="1" t="s">
        <v>32</v>
      </c>
      <c r="G1292">
        <v>4</v>
      </c>
      <c r="H1292" s="1" t="s">
        <v>41</v>
      </c>
      <c r="I1292">
        <v>3</v>
      </c>
      <c r="J1292">
        <v>2</v>
      </c>
      <c r="K1292" s="1" t="s">
        <v>45</v>
      </c>
      <c r="L1292">
        <v>1</v>
      </c>
      <c r="M1292" s="1" t="s">
        <v>43</v>
      </c>
      <c r="N1292">
        <v>5346</v>
      </c>
      <c r="O1292">
        <v>4</v>
      </c>
      <c r="P1292" s="1" t="s">
        <v>39</v>
      </c>
      <c r="Q1292">
        <v>17</v>
      </c>
      <c r="R1292">
        <v>3</v>
      </c>
      <c r="S1292">
        <v>1</v>
      </c>
      <c r="T1292">
        <v>11</v>
      </c>
      <c r="U1292">
        <v>3</v>
      </c>
      <c r="V1292">
        <v>2</v>
      </c>
      <c r="W1292">
        <v>7</v>
      </c>
      <c r="X1292">
        <v>1</v>
      </c>
      <c r="Y1292">
        <v>0</v>
      </c>
      <c r="Z1292">
        <v>7</v>
      </c>
      <c r="AA1292">
        <v>1</v>
      </c>
      <c r="AB1292" s="1" t="s">
        <v>48</v>
      </c>
      <c r="AC1292" t="s">
        <v>37</v>
      </c>
      <c r="AD1292" t="s">
        <v>38</v>
      </c>
      <c r="AE1292" s="2">
        <v>763.71428571428567</v>
      </c>
    </row>
    <row r="1293" spans="1:31" x14ac:dyDescent="0.35">
      <c r="A1293">
        <v>37</v>
      </c>
      <c r="B1293" s="1" t="s">
        <v>30</v>
      </c>
      <c r="C1293" s="1" t="s">
        <v>40</v>
      </c>
      <c r="D1293">
        <v>10</v>
      </c>
      <c r="E1293">
        <v>4</v>
      </c>
      <c r="F1293" s="1" t="s">
        <v>49</v>
      </c>
      <c r="G1293">
        <v>4</v>
      </c>
      <c r="H1293" s="1" t="s">
        <v>41</v>
      </c>
      <c r="I1293">
        <v>3</v>
      </c>
      <c r="J1293">
        <v>2</v>
      </c>
      <c r="K1293" s="1" t="s">
        <v>51</v>
      </c>
      <c r="L1293">
        <v>1</v>
      </c>
      <c r="M1293" s="1" t="s">
        <v>35</v>
      </c>
      <c r="N1293">
        <v>4213</v>
      </c>
      <c r="O1293">
        <v>1</v>
      </c>
      <c r="P1293" s="1" t="s">
        <v>39</v>
      </c>
      <c r="Q1293">
        <v>15</v>
      </c>
      <c r="R1293">
        <v>2</v>
      </c>
      <c r="S1293">
        <v>0</v>
      </c>
      <c r="T1293">
        <v>10</v>
      </c>
      <c r="U1293">
        <v>4</v>
      </c>
      <c r="V1293">
        <v>1</v>
      </c>
      <c r="W1293">
        <v>10</v>
      </c>
      <c r="X1293">
        <v>3</v>
      </c>
      <c r="Y1293">
        <v>0</v>
      </c>
      <c r="Z1293">
        <v>8</v>
      </c>
      <c r="AA1293">
        <v>1</v>
      </c>
      <c r="AB1293" s="1" t="s">
        <v>36</v>
      </c>
      <c r="AC1293" t="s">
        <v>37</v>
      </c>
      <c r="AD1293" t="s">
        <v>38</v>
      </c>
      <c r="AE1293" s="2">
        <v>421.3</v>
      </c>
    </row>
    <row r="1294" spans="1:31" x14ac:dyDescent="0.35">
      <c r="A1294">
        <v>39</v>
      </c>
      <c r="B1294" s="1" t="s">
        <v>39</v>
      </c>
      <c r="C1294" s="1" t="s">
        <v>31</v>
      </c>
      <c r="D1294">
        <v>20</v>
      </c>
      <c r="E1294">
        <v>3</v>
      </c>
      <c r="F1294" s="1" t="s">
        <v>32</v>
      </c>
      <c r="G1294">
        <v>3</v>
      </c>
      <c r="H1294" s="1" t="s">
        <v>41</v>
      </c>
      <c r="I1294">
        <v>3</v>
      </c>
      <c r="J1294">
        <v>2</v>
      </c>
      <c r="K1294" s="1" t="s">
        <v>34</v>
      </c>
      <c r="L1294">
        <v>4</v>
      </c>
      <c r="M1294" s="1" t="s">
        <v>50</v>
      </c>
      <c r="N1294">
        <v>4127</v>
      </c>
      <c r="O1294">
        <v>2</v>
      </c>
      <c r="P1294" s="1" t="s">
        <v>39</v>
      </c>
      <c r="Q1294">
        <v>18</v>
      </c>
      <c r="R1294">
        <v>4</v>
      </c>
      <c r="S1294">
        <v>1</v>
      </c>
      <c r="T1294">
        <v>7</v>
      </c>
      <c r="U1294">
        <v>6</v>
      </c>
      <c r="V1294">
        <v>3</v>
      </c>
      <c r="W1294">
        <v>2</v>
      </c>
      <c r="X1294">
        <v>1</v>
      </c>
      <c r="Y1294">
        <v>2</v>
      </c>
      <c r="Z1294">
        <v>2</v>
      </c>
      <c r="AA1294">
        <v>0</v>
      </c>
      <c r="AB1294" s="1" t="s">
        <v>36</v>
      </c>
      <c r="AC1294" t="s">
        <v>37</v>
      </c>
      <c r="AD1294" t="s">
        <v>47</v>
      </c>
      <c r="AE1294" s="2">
        <v>2063.5</v>
      </c>
    </row>
    <row r="1295" spans="1:31" x14ac:dyDescent="0.35">
      <c r="A1295">
        <v>43</v>
      </c>
      <c r="B1295" s="1" t="s">
        <v>39</v>
      </c>
      <c r="C1295" s="1" t="s">
        <v>40</v>
      </c>
      <c r="D1295">
        <v>9</v>
      </c>
      <c r="E1295">
        <v>3</v>
      </c>
      <c r="F1295" s="1" t="s">
        <v>32</v>
      </c>
      <c r="G1295">
        <v>1</v>
      </c>
      <c r="H1295" s="1" t="s">
        <v>41</v>
      </c>
      <c r="I1295">
        <v>3</v>
      </c>
      <c r="J1295">
        <v>1</v>
      </c>
      <c r="K1295" s="1" t="s">
        <v>42</v>
      </c>
      <c r="L1295">
        <v>3</v>
      </c>
      <c r="M1295" s="1" t="s">
        <v>35</v>
      </c>
      <c r="N1295">
        <v>2438</v>
      </c>
      <c r="O1295">
        <v>4</v>
      </c>
      <c r="P1295" s="1" t="s">
        <v>39</v>
      </c>
      <c r="Q1295">
        <v>13</v>
      </c>
      <c r="R1295">
        <v>3</v>
      </c>
      <c r="S1295">
        <v>0</v>
      </c>
      <c r="T1295">
        <v>7</v>
      </c>
      <c r="U1295">
        <v>2</v>
      </c>
      <c r="V1295">
        <v>2</v>
      </c>
      <c r="W1295">
        <v>3</v>
      </c>
      <c r="X1295">
        <v>2</v>
      </c>
      <c r="Y1295">
        <v>1</v>
      </c>
      <c r="Z1295">
        <v>2</v>
      </c>
      <c r="AA1295">
        <v>0</v>
      </c>
      <c r="AB1295" s="1" t="s">
        <v>36</v>
      </c>
      <c r="AC1295" t="s">
        <v>46</v>
      </c>
      <c r="AD1295" t="s">
        <v>53</v>
      </c>
      <c r="AE1295" s="2">
        <v>812.66666666666663</v>
      </c>
    </row>
    <row r="1296" spans="1:31" x14ac:dyDescent="0.35">
      <c r="A1296">
        <v>41</v>
      </c>
      <c r="B1296" s="1" t="s">
        <v>39</v>
      </c>
      <c r="C1296" s="1" t="s">
        <v>40</v>
      </c>
      <c r="D1296">
        <v>5</v>
      </c>
      <c r="E1296">
        <v>3</v>
      </c>
      <c r="F1296" s="1" t="s">
        <v>32</v>
      </c>
      <c r="G1296">
        <v>2</v>
      </c>
      <c r="H1296" s="1" t="s">
        <v>41</v>
      </c>
      <c r="I1296">
        <v>4</v>
      </c>
      <c r="J1296">
        <v>2</v>
      </c>
      <c r="K1296" s="1" t="s">
        <v>52</v>
      </c>
      <c r="L1296">
        <v>2</v>
      </c>
      <c r="M1296" s="1" t="s">
        <v>35</v>
      </c>
      <c r="N1296">
        <v>6870</v>
      </c>
      <c r="O1296">
        <v>3</v>
      </c>
      <c r="P1296" s="1" t="s">
        <v>39</v>
      </c>
      <c r="Q1296">
        <v>12</v>
      </c>
      <c r="R1296">
        <v>1</v>
      </c>
      <c r="S1296">
        <v>0</v>
      </c>
      <c r="T1296">
        <v>11</v>
      </c>
      <c r="U1296">
        <v>3</v>
      </c>
      <c r="V1296">
        <v>1</v>
      </c>
      <c r="W1296">
        <v>3</v>
      </c>
      <c r="X1296">
        <v>2</v>
      </c>
      <c r="Y1296">
        <v>1</v>
      </c>
      <c r="Z1296">
        <v>2</v>
      </c>
      <c r="AA1296">
        <v>0</v>
      </c>
      <c r="AB1296" s="1" t="s">
        <v>36</v>
      </c>
      <c r="AC1296" t="s">
        <v>37</v>
      </c>
      <c r="AD1296" t="s">
        <v>53</v>
      </c>
      <c r="AE1296" s="2">
        <v>2290</v>
      </c>
    </row>
    <row r="1297" spans="1:31" x14ac:dyDescent="0.35">
      <c r="A1297">
        <v>41</v>
      </c>
      <c r="B1297" s="1" t="s">
        <v>39</v>
      </c>
      <c r="C1297" s="1" t="s">
        <v>31</v>
      </c>
      <c r="D1297">
        <v>4</v>
      </c>
      <c r="E1297">
        <v>1</v>
      </c>
      <c r="F1297" s="1" t="s">
        <v>60</v>
      </c>
      <c r="G1297">
        <v>3</v>
      </c>
      <c r="H1297" s="1" t="s">
        <v>33</v>
      </c>
      <c r="I1297">
        <v>3</v>
      </c>
      <c r="J1297">
        <v>3</v>
      </c>
      <c r="K1297" s="1" t="s">
        <v>34</v>
      </c>
      <c r="L1297">
        <v>3</v>
      </c>
      <c r="M1297" s="1" t="s">
        <v>50</v>
      </c>
      <c r="N1297">
        <v>10447</v>
      </c>
      <c r="O1297">
        <v>0</v>
      </c>
      <c r="P1297" s="1" t="s">
        <v>30</v>
      </c>
      <c r="Q1297">
        <v>13</v>
      </c>
      <c r="R1297">
        <v>4</v>
      </c>
      <c r="S1297">
        <v>1</v>
      </c>
      <c r="T1297">
        <v>23</v>
      </c>
      <c r="U1297">
        <v>3</v>
      </c>
      <c r="V1297">
        <v>4</v>
      </c>
      <c r="W1297">
        <v>22</v>
      </c>
      <c r="X1297">
        <v>14</v>
      </c>
      <c r="Y1297">
        <v>13</v>
      </c>
      <c r="Z1297">
        <v>5</v>
      </c>
      <c r="AA1297">
        <v>0</v>
      </c>
      <c r="AB1297" s="1" t="s">
        <v>36</v>
      </c>
      <c r="AC1297" t="s">
        <v>56</v>
      </c>
      <c r="AD1297" t="s">
        <v>57</v>
      </c>
      <c r="AE1297" s="2">
        <v>474.86363636363637</v>
      </c>
    </row>
    <row r="1298" spans="1:31" x14ac:dyDescent="0.35">
      <c r="A1298">
        <v>30</v>
      </c>
      <c r="B1298" s="1" t="s">
        <v>39</v>
      </c>
      <c r="C1298" s="1" t="s">
        <v>40</v>
      </c>
      <c r="D1298">
        <v>10</v>
      </c>
      <c r="E1298">
        <v>3</v>
      </c>
      <c r="F1298" s="1" t="s">
        <v>49</v>
      </c>
      <c r="G1298">
        <v>1</v>
      </c>
      <c r="H1298" s="1" t="s">
        <v>33</v>
      </c>
      <c r="I1298">
        <v>3</v>
      </c>
      <c r="J1298">
        <v>3</v>
      </c>
      <c r="K1298" s="1" t="s">
        <v>51</v>
      </c>
      <c r="L1298">
        <v>3</v>
      </c>
      <c r="M1298" s="1" t="s">
        <v>35</v>
      </c>
      <c r="N1298">
        <v>9667</v>
      </c>
      <c r="O1298">
        <v>9</v>
      </c>
      <c r="P1298" s="1" t="s">
        <v>39</v>
      </c>
      <c r="Q1298">
        <v>14</v>
      </c>
      <c r="R1298">
        <v>2</v>
      </c>
      <c r="S1298">
        <v>0</v>
      </c>
      <c r="T1298">
        <v>9</v>
      </c>
      <c r="U1298">
        <v>3</v>
      </c>
      <c r="V1298">
        <v>3</v>
      </c>
      <c r="W1298">
        <v>7</v>
      </c>
      <c r="X1298">
        <v>7</v>
      </c>
      <c r="Y1298">
        <v>0</v>
      </c>
      <c r="Z1298">
        <v>2</v>
      </c>
      <c r="AA1298">
        <v>0</v>
      </c>
      <c r="AB1298" s="1" t="s">
        <v>48</v>
      </c>
      <c r="AC1298" t="s">
        <v>37</v>
      </c>
      <c r="AD1298" t="s">
        <v>38</v>
      </c>
      <c r="AE1298" s="2">
        <v>1381</v>
      </c>
    </row>
    <row r="1299" spans="1:31" x14ac:dyDescent="0.35">
      <c r="A1299">
        <v>26</v>
      </c>
      <c r="B1299" s="1" t="s">
        <v>30</v>
      </c>
      <c r="C1299" s="1" t="s">
        <v>62</v>
      </c>
      <c r="D1299">
        <v>20</v>
      </c>
      <c r="E1299">
        <v>2</v>
      </c>
      <c r="F1299" s="1" t="s">
        <v>49</v>
      </c>
      <c r="G1299">
        <v>4</v>
      </c>
      <c r="H1299" s="1" t="s">
        <v>33</v>
      </c>
      <c r="I1299">
        <v>3</v>
      </c>
      <c r="J1299">
        <v>1</v>
      </c>
      <c r="K1299" s="1" t="s">
        <v>62</v>
      </c>
      <c r="L1299">
        <v>2</v>
      </c>
      <c r="M1299" s="1" t="s">
        <v>43</v>
      </c>
      <c r="N1299">
        <v>2148</v>
      </c>
      <c r="O1299">
        <v>0</v>
      </c>
      <c r="P1299" s="1" t="s">
        <v>30</v>
      </c>
      <c r="Q1299">
        <v>11</v>
      </c>
      <c r="R1299">
        <v>3</v>
      </c>
      <c r="S1299">
        <v>0</v>
      </c>
      <c r="T1299">
        <v>6</v>
      </c>
      <c r="U1299">
        <v>3</v>
      </c>
      <c r="V1299">
        <v>3</v>
      </c>
      <c r="W1299">
        <v>5</v>
      </c>
      <c r="X1299">
        <v>1</v>
      </c>
      <c r="Y1299">
        <v>1</v>
      </c>
      <c r="Z1299">
        <v>4</v>
      </c>
      <c r="AA1299">
        <v>1</v>
      </c>
      <c r="AB1299" s="1" t="s">
        <v>48</v>
      </c>
      <c r="AC1299" t="s">
        <v>46</v>
      </c>
      <c r="AD1299" t="s">
        <v>53</v>
      </c>
      <c r="AE1299" s="2">
        <v>429.6</v>
      </c>
    </row>
    <row r="1300" spans="1:31" x14ac:dyDescent="0.35">
      <c r="A1300">
        <v>46</v>
      </c>
      <c r="B1300" s="1" t="s">
        <v>30</v>
      </c>
      <c r="C1300" s="1" t="s">
        <v>40</v>
      </c>
      <c r="D1300">
        <v>21</v>
      </c>
      <c r="E1300">
        <v>2</v>
      </c>
      <c r="F1300" s="1" t="s">
        <v>49</v>
      </c>
      <c r="G1300">
        <v>4</v>
      </c>
      <c r="H1300" s="1" t="s">
        <v>33</v>
      </c>
      <c r="I1300">
        <v>3</v>
      </c>
      <c r="J1300">
        <v>2</v>
      </c>
      <c r="K1300" s="1" t="s">
        <v>52</v>
      </c>
      <c r="L1300">
        <v>2</v>
      </c>
      <c r="M1300" s="1" t="s">
        <v>43</v>
      </c>
      <c r="N1300">
        <v>8926</v>
      </c>
      <c r="O1300">
        <v>4</v>
      </c>
      <c r="P1300" s="1" t="s">
        <v>39</v>
      </c>
      <c r="Q1300">
        <v>22</v>
      </c>
      <c r="R1300">
        <v>4</v>
      </c>
      <c r="S1300">
        <v>1</v>
      </c>
      <c r="T1300">
        <v>13</v>
      </c>
      <c r="U1300">
        <v>2</v>
      </c>
      <c r="V1300">
        <v>4</v>
      </c>
      <c r="W1300">
        <v>9</v>
      </c>
      <c r="X1300">
        <v>7</v>
      </c>
      <c r="Y1300">
        <v>3</v>
      </c>
      <c r="Z1300">
        <v>7</v>
      </c>
      <c r="AA1300">
        <v>1</v>
      </c>
      <c r="AB1300" s="1" t="s">
        <v>82</v>
      </c>
      <c r="AC1300" t="s">
        <v>37</v>
      </c>
      <c r="AD1300" t="s">
        <v>38</v>
      </c>
      <c r="AE1300" s="2">
        <v>991.77777777777783</v>
      </c>
    </row>
    <row r="1301" spans="1:31" x14ac:dyDescent="0.35">
      <c r="A1301">
        <v>40</v>
      </c>
      <c r="B1301" s="1" t="s">
        <v>39</v>
      </c>
      <c r="C1301" s="1" t="s">
        <v>40</v>
      </c>
      <c r="D1301">
        <v>1</v>
      </c>
      <c r="E1301">
        <v>3</v>
      </c>
      <c r="F1301" s="1" t="s">
        <v>32</v>
      </c>
      <c r="G1301">
        <v>3</v>
      </c>
      <c r="H1301" s="1" t="s">
        <v>33</v>
      </c>
      <c r="I1301">
        <v>3</v>
      </c>
      <c r="J1301">
        <v>2</v>
      </c>
      <c r="K1301" s="1" t="s">
        <v>52</v>
      </c>
      <c r="L1301">
        <v>4</v>
      </c>
      <c r="M1301" s="1" t="s">
        <v>50</v>
      </c>
      <c r="N1301">
        <v>6513</v>
      </c>
      <c r="O1301">
        <v>4</v>
      </c>
      <c r="P1301" s="1" t="s">
        <v>39</v>
      </c>
      <c r="Q1301">
        <v>17</v>
      </c>
      <c r="R1301">
        <v>4</v>
      </c>
      <c r="S1301">
        <v>1</v>
      </c>
      <c r="T1301">
        <v>12</v>
      </c>
      <c r="U1301">
        <v>3</v>
      </c>
      <c r="V1301">
        <v>3</v>
      </c>
      <c r="W1301">
        <v>5</v>
      </c>
      <c r="X1301">
        <v>3</v>
      </c>
      <c r="Y1301">
        <v>0</v>
      </c>
      <c r="Z1301">
        <v>3</v>
      </c>
      <c r="AA1301">
        <v>0</v>
      </c>
      <c r="AB1301" s="1" t="s">
        <v>36</v>
      </c>
      <c r="AC1301" t="s">
        <v>37</v>
      </c>
      <c r="AD1301" t="s">
        <v>53</v>
      </c>
      <c r="AE1301" s="2">
        <v>1302.5999999999999</v>
      </c>
    </row>
    <row r="1302" spans="1:31" x14ac:dyDescent="0.35">
      <c r="A1302">
        <v>34</v>
      </c>
      <c r="B1302" s="1" t="s">
        <v>39</v>
      </c>
      <c r="C1302" s="1" t="s">
        <v>31</v>
      </c>
      <c r="D1302">
        <v>8</v>
      </c>
      <c r="E1302">
        <v>2</v>
      </c>
      <c r="F1302" s="1" t="s">
        <v>61</v>
      </c>
      <c r="G1302">
        <v>2</v>
      </c>
      <c r="H1302" s="1" t="s">
        <v>41</v>
      </c>
      <c r="I1302">
        <v>4</v>
      </c>
      <c r="J1302">
        <v>2</v>
      </c>
      <c r="K1302" s="1" t="s">
        <v>34</v>
      </c>
      <c r="L1302">
        <v>3</v>
      </c>
      <c r="M1302" s="1" t="s">
        <v>43</v>
      </c>
      <c r="N1302">
        <v>6799</v>
      </c>
      <c r="O1302">
        <v>1</v>
      </c>
      <c r="P1302" s="1" t="s">
        <v>39</v>
      </c>
      <c r="Q1302">
        <v>21</v>
      </c>
      <c r="R1302">
        <v>3</v>
      </c>
      <c r="S1302">
        <v>2</v>
      </c>
      <c r="T1302">
        <v>10</v>
      </c>
      <c r="U1302">
        <v>5</v>
      </c>
      <c r="V1302">
        <v>3</v>
      </c>
      <c r="W1302">
        <v>10</v>
      </c>
      <c r="X1302">
        <v>8</v>
      </c>
      <c r="Y1302">
        <v>4</v>
      </c>
      <c r="Z1302">
        <v>8</v>
      </c>
      <c r="AA1302">
        <v>0</v>
      </c>
      <c r="AB1302" s="1" t="s">
        <v>48</v>
      </c>
      <c r="AC1302" t="s">
        <v>37</v>
      </c>
      <c r="AD1302" t="s">
        <v>38</v>
      </c>
      <c r="AE1302" s="2">
        <v>679.9</v>
      </c>
    </row>
    <row r="1303" spans="1:31" x14ac:dyDescent="0.35">
      <c r="A1303">
        <v>58</v>
      </c>
      <c r="B1303" s="1" t="s">
        <v>39</v>
      </c>
      <c r="C1303" s="1" t="s">
        <v>31</v>
      </c>
      <c r="D1303">
        <v>2</v>
      </c>
      <c r="E1303">
        <v>3</v>
      </c>
      <c r="F1303" s="1" t="s">
        <v>49</v>
      </c>
      <c r="G1303">
        <v>2</v>
      </c>
      <c r="H1303" s="1" t="s">
        <v>41</v>
      </c>
      <c r="I1303">
        <v>3</v>
      </c>
      <c r="J1303">
        <v>4</v>
      </c>
      <c r="K1303" s="1" t="s">
        <v>55</v>
      </c>
      <c r="L1303">
        <v>2</v>
      </c>
      <c r="M1303" s="1" t="s">
        <v>50</v>
      </c>
      <c r="N1303">
        <v>16291</v>
      </c>
      <c r="O1303">
        <v>4</v>
      </c>
      <c r="P1303" s="1" t="s">
        <v>39</v>
      </c>
      <c r="Q1303">
        <v>22</v>
      </c>
      <c r="R1303">
        <v>4</v>
      </c>
      <c r="S1303">
        <v>1</v>
      </c>
      <c r="T1303">
        <v>37</v>
      </c>
      <c r="U1303">
        <v>0</v>
      </c>
      <c r="V1303">
        <v>2</v>
      </c>
      <c r="W1303">
        <v>16</v>
      </c>
      <c r="X1303">
        <v>9</v>
      </c>
      <c r="Y1303">
        <v>14</v>
      </c>
      <c r="Z1303">
        <v>14</v>
      </c>
      <c r="AA1303">
        <v>0</v>
      </c>
      <c r="AB1303" s="1" t="s">
        <v>82</v>
      </c>
      <c r="AC1303" t="s">
        <v>56</v>
      </c>
      <c r="AD1303" t="s">
        <v>57</v>
      </c>
      <c r="AE1303" s="2">
        <v>1018.1875</v>
      </c>
    </row>
    <row r="1304" spans="1:31" x14ac:dyDescent="0.35">
      <c r="A1304">
        <v>35</v>
      </c>
      <c r="B1304" s="1" t="s">
        <v>39</v>
      </c>
      <c r="C1304" s="1" t="s">
        <v>40</v>
      </c>
      <c r="D1304">
        <v>23</v>
      </c>
      <c r="E1304">
        <v>4</v>
      </c>
      <c r="F1304" s="1" t="s">
        <v>49</v>
      </c>
      <c r="G1304">
        <v>2</v>
      </c>
      <c r="H1304" s="1" t="s">
        <v>41</v>
      </c>
      <c r="I1304">
        <v>1</v>
      </c>
      <c r="J1304">
        <v>1</v>
      </c>
      <c r="K1304" s="1" t="s">
        <v>45</v>
      </c>
      <c r="L1304">
        <v>3</v>
      </c>
      <c r="M1304" s="1" t="s">
        <v>43</v>
      </c>
      <c r="N1304">
        <v>2705</v>
      </c>
      <c r="O1304">
        <v>0</v>
      </c>
      <c r="P1304" s="1" t="s">
        <v>39</v>
      </c>
      <c r="Q1304">
        <v>16</v>
      </c>
      <c r="R1304">
        <v>2</v>
      </c>
      <c r="S1304">
        <v>1</v>
      </c>
      <c r="T1304">
        <v>6</v>
      </c>
      <c r="U1304">
        <v>2</v>
      </c>
      <c r="V1304">
        <v>4</v>
      </c>
      <c r="W1304">
        <v>5</v>
      </c>
      <c r="X1304">
        <v>4</v>
      </c>
      <c r="Y1304">
        <v>0</v>
      </c>
      <c r="Z1304">
        <v>3</v>
      </c>
      <c r="AA1304">
        <v>0</v>
      </c>
      <c r="AB1304" s="1" t="s">
        <v>48</v>
      </c>
      <c r="AC1304" t="s">
        <v>46</v>
      </c>
      <c r="AD1304" t="s">
        <v>53</v>
      </c>
      <c r="AE1304" s="2">
        <v>541</v>
      </c>
    </row>
    <row r="1305" spans="1:31" x14ac:dyDescent="0.35">
      <c r="A1305">
        <v>47</v>
      </c>
      <c r="B1305" s="1" t="s">
        <v>39</v>
      </c>
      <c r="C1305" s="1" t="s">
        <v>40</v>
      </c>
      <c r="D1305">
        <v>4</v>
      </c>
      <c r="E1305">
        <v>3</v>
      </c>
      <c r="F1305" s="1" t="s">
        <v>32</v>
      </c>
      <c r="G1305">
        <v>3</v>
      </c>
      <c r="H1305" s="1" t="s">
        <v>33</v>
      </c>
      <c r="I1305">
        <v>2</v>
      </c>
      <c r="J1305">
        <v>3</v>
      </c>
      <c r="K1305" s="1" t="s">
        <v>51</v>
      </c>
      <c r="L1305">
        <v>2</v>
      </c>
      <c r="M1305" s="1" t="s">
        <v>50</v>
      </c>
      <c r="N1305">
        <v>10333</v>
      </c>
      <c r="O1305">
        <v>8</v>
      </c>
      <c r="P1305" s="1" t="s">
        <v>30</v>
      </c>
      <c r="Q1305">
        <v>12</v>
      </c>
      <c r="R1305">
        <v>3</v>
      </c>
      <c r="S1305">
        <v>1</v>
      </c>
      <c r="T1305">
        <v>28</v>
      </c>
      <c r="U1305">
        <v>4</v>
      </c>
      <c r="V1305">
        <v>3</v>
      </c>
      <c r="W1305">
        <v>22</v>
      </c>
      <c r="X1305">
        <v>11</v>
      </c>
      <c r="Y1305">
        <v>14</v>
      </c>
      <c r="Z1305">
        <v>10</v>
      </c>
      <c r="AA1305">
        <v>0</v>
      </c>
      <c r="AB1305" s="1" t="s">
        <v>82</v>
      </c>
      <c r="AC1305" t="s">
        <v>56</v>
      </c>
      <c r="AD1305" t="s">
        <v>57</v>
      </c>
      <c r="AE1305" s="2">
        <v>469.68181818181819</v>
      </c>
    </row>
    <row r="1306" spans="1:31" x14ac:dyDescent="0.35">
      <c r="A1306">
        <v>40</v>
      </c>
      <c r="B1306" s="1" t="s">
        <v>39</v>
      </c>
      <c r="C1306" s="1" t="s">
        <v>40</v>
      </c>
      <c r="D1306">
        <v>12</v>
      </c>
      <c r="E1306">
        <v>3</v>
      </c>
      <c r="F1306" s="1" t="s">
        <v>32</v>
      </c>
      <c r="G1306">
        <v>2</v>
      </c>
      <c r="H1306" s="1" t="s">
        <v>33</v>
      </c>
      <c r="I1306">
        <v>3</v>
      </c>
      <c r="J1306">
        <v>2</v>
      </c>
      <c r="K1306" s="1" t="s">
        <v>52</v>
      </c>
      <c r="L1306">
        <v>1</v>
      </c>
      <c r="M1306" s="1" t="s">
        <v>50</v>
      </c>
      <c r="N1306">
        <v>4448</v>
      </c>
      <c r="O1306">
        <v>2</v>
      </c>
      <c r="P1306" s="1" t="s">
        <v>39</v>
      </c>
      <c r="Q1306">
        <v>12</v>
      </c>
      <c r="R1306">
        <v>2</v>
      </c>
      <c r="S1306">
        <v>1</v>
      </c>
      <c r="T1306">
        <v>15</v>
      </c>
      <c r="U1306">
        <v>3</v>
      </c>
      <c r="V1306">
        <v>3</v>
      </c>
      <c r="W1306">
        <v>7</v>
      </c>
      <c r="X1306">
        <v>4</v>
      </c>
      <c r="Y1306">
        <v>7</v>
      </c>
      <c r="Z1306">
        <v>7</v>
      </c>
      <c r="AA1306">
        <v>0</v>
      </c>
      <c r="AB1306" s="1" t="s">
        <v>36</v>
      </c>
      <c r="AC1306" t="s">
        <v>37</v>
      </c>
      <c r="AD1306" t="s">
        <v>38</v>
      </c>
      <c r="AE1306" s="2">
        <v>635.42857142857144</v>
      </c>
    </row>
    <row r="1307" spans="1:31" x14ac:dyDescent="0.35">
      <c r="A1307">
        <v>54</v>
      </c>
      <c r="B1307" s="1" t="s">
        <v>39</v>
      </c>
      <c r="C1307" s="1" t="s">
        <v>40</v>
      </c>
      <c r="D1307">
        <v>7</v>
      </c>
      <c r="E1307">
        <v>4</v>
      </c>
      <c r="F1307" s="1" t="s">
        <v>49</v>
      </c>
      <c r="G1307">
        <v>4</v>
      </c>
      <c r="H1307" s="1" t="s">
        <v>33</v>
      </c>
      <c r="I1307">
        <v>3</v>
      </c>
      <c r="J1307">
        <v>2</v>
      </c>
      <c r="K1307" s="1" t="s">
        <v>42</v>
      </c>
      <c r="L1307">
        <v>4</v>
      </c>
      <c r="M1307" s="1" t="s">
        <v>43</v>
      </c>
      <c r="N1307">
        <v>6854</v>
      </c>
      <c r="O1307">
        <v>4</v>
      </c>
      <c r="P1307" s="1" t="s">
        <v>39</v>
      </c>
      <c r="Q1307">
        <v>15</v>
      </c>
      <c r="R1307">
        <v>2</v>
      </c>
      <c r="S1307">
        <v>1</v>
      </c>
      <c r="T1307">
        <v>14</v>
      </c>
      <c r="U1307">
        <v>2</v>
      </c>
      <c r="V1307">
        <v>2</v>
      </c>
      <c r="W1307">
        <v>7</v>
      </c>
      <c r="X1307">
        <v>1</v>
      </c>
      <c r="Y1307">
        <v>1</v>
      </c>
      <c r="Z1307">
        <v>7</v>
      </c>
      <c r="AA1307">
        <v>0</v>
      </c>
      <c r="AB1307" s="1" t="s">
        <v>82</v>
      </c>
      <c r="AC1307" t="s">
        <v>37</v>
      </c>
      <c r="AD1307" t="s">
        <v>38</v>
      </c>
      <c r="AE1307" s="2">
        <v>979.14285714285711</v>
      </c>
    </row>
    <row r="1308" spans="1:31" x14ac:dyDescent="0.35">
      <c r="A1308">
        <v>31</v>
      </c>
      <c r="B1308" s="1" t="s">
        <v>39</v>
      </c>
      <c r="C1308" s="1" t="s">
        <v>31</v>
      </c>
      <c r="D1308">
        <v>7</v>
      </c>
      <c r="E1308">
        <v>4</v>
      </c>
      <c r="F1308" s="1" t="s">
        <v>60</v>
      </c>
      <c r="G1308">
        <v>1</v>
      </c>
      <c r="H1308" s="1" t="s">
        <v>33</v>
      </c>
      <c r="I1308">
        <v>3</v>
      </c>
      <c r="J1308">
        <v>3</v>
      </c>
      <c r="K1308" s="1" t="s">
        <v>34</v>
      </c>
      <c r="L1308">
        <v>1</v>
      </c>
      <c r="M1308" s="1" t="s">
        <v>43</v>
      </c>
      <c r="N1308">
        <v>9637</v>
      </c>
      <c r="O1308">
        <v>2</v>
      </c>
      <c r="P1308" s="1" t="s">
        <v>39</v>
      </c>
      <c r="Q1308">
        <v>14</v>
      </c>
      <c r="R1308">
        <v>4</v>
      </c>
      <c r="S1308">
        <v>2</v>
      </c>
      <c r="T1308">
        <v>9</v>
      </c>
      <c r="U1308">
        <v>3</v>
      </c>
      <c r="V1308">
        <v>3</v>
      </c>
      <c r="W1308">
        <v>3</v>
      </c>
      <c r="X1308">
        <v>2</v>
      </c>
      <c r="Y1308">
        <v>2</v>
      </c>
      <c r="Z1308">
        <v>2</v>
      </c>
      <c r="AA1308">
        <v>0</v>
      </c>
      <c r="AB1308" s="1" t="s">
        <v>48</v>
      </c>
      <c r="AC1308" t="s">
        <v>37</v>
      </c>
      <c r="AD1308" t="s">
        <v>53</v>
      </c>
      <c r="AE1308" s="2">
        <v>3212.3333333333335</v>
      </c>
    </row>
    <row r="1309" spans="1:31" x14ac:dyDescent="0.35">
      <c r="A1309">
        <v>28</v>
      </c>
      <c r="B1309" s="1" t="s">
        <v>39</v>
      </c>
      <c r="C1309" s="1" t="s">
        <v>40</v>
      </c>
      <c r="D1309">
        <v>1</v>
      </c>
      <c r="E1309">
        <v>3</v>
      </c>
      <c r="F1309" s="1" t="s">
        <v>49</v>
      </c>
      <c r="G1309">
        <v>3</v>
      </c>
      <c r="H1309" s="1" t="s">
        <v>33</v>
      </c>
      <c r="I1309">
        <v>3</v>
      </c>
      <c r="J1309">
        <v>1</v>
      </c>
      <c r="K1309" s="1" t="s">
        <v>42</v>
      </c>
      <c r="L1309">
        <v>1</v>
      </c>
      <c r="M1309" s="1" t="s">
        <v>43</v>
      </c>
      <c r="N1309">
        <v>3591</v>
      </c>
      <c r="O1309">
        <v>1</v>
      </c>
      <c r="P1309" s="1" t="s">
        <v>39</v>
      </c>
      <c r="Q1309">
        <v>25</v>
      </c>
      <c r="R1309">
        <v>3</v>
      </c>
      <c r="S1309">
        <v>1</v>
      </c>
      <c r="T1309">
        <v>3</v>
      </c>
      <c r="U1309">
        <v>3</v>
      </c>
      <c r="V1309">
        <v>3</v>
      </c>
      <c r="W1309">
        <v>3</v>
      </c>
      <c r="X1309">
        <v>2</v>
      </c>
      <c r="Y1309">
        <v>1</v>
      </c>
      <c r="Z1309">
        <v>2</v>
      </c>
      <c r="AA1309">
        <v>0</v>
      </c>
      <c r="AB1309" s="1" t="s">
        <v>48</v>
      </c>
      <c r="AC1309" t="s">
        <v>46</v>
      </c>
      <c r="AD1309" t="s">
        <v>53</v>
      </c>
      <c r="AE1309" s="2">
        <v>1197</v>
      </c>
    </row>
    <row r="1310" spans="1:31" x14ac:dyDescent="0.35">
      <c r="A1310">
        <v>38</v>
      </c>
      <c r="B1310" s="1" t="s">
        <v>39</v>
      </c>
      <c r="C1310" s="1" t="s">
        <v>31</v>
      </c>
      <c r="D1310">
        <v>2</v>
      </c>
      <c r="E1310">
        <v>4</v>
      </c>
      <c r="F1310" s="1" t="s">
        <v>60</v>
      </c>
      <c r="G1310">
        <v>2</v>
      </c>
      <c r="H1310" s="1" t="s">
        <v>33</v>
      </c>
      <c r="I1310">
        <v>1</v>
      </c>
      <c r="J1310">
        <v>2</v>
      </c>
      <c r="K1310" s="1" t="s">
        <v>58</v>
      </c>
      <c r="L1310">
        <v>4</v>
      </c>
      <c r="M1310" s="1" t="s">
        <v>43</v>
      </c>
      <c r="N1310">
        <v>5405</v>
      </c>
      <c r="O1310">
        <v>2</v>
      </c>
      <c r="P1310" s="1" t="s">
        <v>30</v>
      </c>
      <c r="Q1310">
        <v>20</v>
      </c>
      <c r="R1310">
        <v>1</v>
      </c>
      <c r="S1310">
        <v>2</v>
      </c>
      <c r="T1310">
        <v>20</v>
      </c>
      <c r="U1310">
        <v>4</v>
      </c>
      <c r="V1310">
        <v>2</v>
      </c>
      <c r="W1310">
        <v>4</v>
      </c>
      <c r="X1310">
        <v>2</v>
      </c>
      <c r="Y1310">
        <v>0</v>
      </c>
      <c r="Z1310">
        <v>3</v>
      </c>
      <c r="AA1310">
        <v>0</v>
      </c>
      <c r="AB1310" s="1" t="s">
        <v>36</v>
      </c>
      <c r="AC1310" t="s">
        <v>37</v>
      </c>
      <c r="AD1310" t="s">
        <v>53</v>
      </c>
      <c r="AE1310" s="2">
        <v>1351.25</v>
      </c>
    </row>
    <row r="1311" spans="1:31" x14ac:dyDescent="0.35">
      <c r="A1311">
        <v>26</v>
      </c>
      <c r="B1311" s="1" t="s">
        <v>39</v>
      </c>
      <c r="C1311" s="1" t="s">
        <v>31</v>
      </c>
      <c r="D1311">
        <v>10</v>
      </c>
      <c r="E1311">
        <v>3</v>
      </c>
      <c r="F1311" s="1" t="s">
        <v>49</v>
      </c>
      <c r="G1311">
        <v>3</v>
      </c>
      <c r="H1311" s="1" t="s">
        <v>41</v>
      </c>
      <c r="I1311">
        <v>3</v>
      </c>
      <c r="J1311">
        <v>2</v>
      </c>
      <c r="K1311" s="1" t="s">
        <v>34</v>
      </c>
      <c r="L1311">
        <v>4</v>
      </c>
      <c r="M1311" s="1" t="s">
        <v>35</v>
      </c>
      <c r="N1311">
        <v>4684</v>
      </c>
      <c r="O1311">
        <v>1</v>
      </c>
      <c r="P1311" s="1" t="s">
        <v>39</v>
      </c>
      <c r="Q1311">
        <v>13</v>
      </c>
      <c r="R1311">
        <v>1</v>
      </c>
      <c r="S1311">
        <v>0</v>
      </c>
      <c r="T1311">
        <v>5</v>
      </c>
      <c r="U1311">
        <v>4</v>
      </c>
      <c r="V1311">
        <v>3</v>
      </c>
      <c r="W1311">
        <v>5</v>
      </c>
      <c r="X1311">
        <v>3</v>
      </c>
      <c r="Y1311">
        <v>1</v>
      </c>
      <c r="Z1311">
        <v>2</v>
      </c>
      <c r="AA1311">
        <v>0</v>
      </c>
      <c r="AB1311" s="1" t="s">
        <v>48</v>
      </c>
      <c r="AC1311" t="s">
        <v>37</v>
      </c>
      <c r="AD1311" t="s">
        <v>53</v>
      </c>
      <c r="AE1311" s="2">
        <v>936.8</v>
      </c>
    </row>
    <row r="1312" spans="1:31" x14ac:dyDescent="0.35">
      <c r="A1312">
        <v>58</v>
      </c>
      <c r="B1312" s="1" t="s">
        <v>39</v>
      </c>
      <c r="C1312" s="1" t="s">
        <v>40</v>
      </c>
      <c r="D1312">
        <v>15</v>
      </c>
      <c r="E1312">
        <v>4</v>
      </c>
      <c r="F1312" s="1" t="s">
        <v>32</v>
      </c>
      <c r="G1312">
        <v>1</v>
      </c>
      <c r="H1312" s="1" t="s">
        <v>41</v>
      </c>
      <c r="I1312">
        <v>3</v>
      </c>
      <c r="J1312">
        <v>4</v>
      </c>
      <c r="K1312" s="1" t="s">
        <v>59</v>
      </c>
      <c r="L1312">
        <v>3</v>
      </c>
      <c r="M1312" s="1" t="s">
        <v>43</v>
      </c>
      <c r="N1312">
        <v>15787</v>
      </c>
      <c r="O1312">
        <v>2</v>
      </c>
      <c r="P1312" s="1" t="s">
        <v>30</v>
      </c>
      <c r="Q1312">
        <v>14</v>
      </c>
      <c r="R1312">
        <v>2</v>
      </c>
      <c r="S1312">
        <v>0</v>
      </c>
      <c r="T1312">
        <v>23</v>
      </c>
      <c r="U1312">
        <v>3</v>
      </c>
      <c r="V1312">
        <v>3</v>
      </c>
      <c r="W1312">
        <v>2</v>
      </c>
      <c r="X1312">
        <v>2</v>
      </c>
      <c r="Y1312">
        <v>2</v>
      </c>
      <c r="Z1312">
        <v>2</v>
      </c>
      <c r="AA1312">
        <v>0</v>
      </c>
      <c r="AB1312" s="1" t="s">
        <v>82</v>
      </c>
      <c r="AC1312" t="s">
        <v>56</v>
      </c>
      <c r="AD1312" t="s">
        <v>47</v>
      </c>
      <c r="AE1312" s="2">
        <v>7893.5</v>
      </c>
    </row>
    <row r="1313" spans="1:31" x14ac:dyDescent="0.35">
      <c r="A1313">
        <v>18</v>
      </c>
      <c r="B1313" s="1" t="s">
        <v>39</v>
      </c>
      <c r="C1313" s="1" t="s">
        <v>40</v>
      </c>
      <c r="D1313">
        <v>14</v>
      </c>
      <c r="E1313">
        <v>3</v>
      </c>
      <c r="F1313" s="1" t="s">
        <v>49</v>
      </c>
      <c r="G1313">
        <v>2</v>
      </c>
      <c r="H1313" s="1" t="s">
        <v>33</v>
      </c>
      <c r="I1313">
        <v>3</v>
      </c>
      <c r="J1313">
        <v>1</v>
      </c>
      <c r="K1313" s="1" t="s">
        <v>42</v>
      </c>
      <c r="L1313">
        <v>3</v>
      </c>
      <c r="M1313" s="1" t="s">
        <v>35</v>
      </c>
      <c r="N1313">
        <v>1514</v>
      </c>
      <c r="O1313">
        <v>1</v>
      </c>
      <c r="P1313" s="1" t="s">
        <v>39</v>
      </c>
      <c r="Q1313">
        <v>16</v>
      </c>
      <c r="R1313">
        <v>3</v>
      </c>
      <c r="S1313">
        <v>0</v>
      </c>
      <c r="T1313">
        <v>0</v>
      </c>
      <c r="U1313">
        <v>4</v>
      </c>
      <c r="V1313">
        <v>1</v>
      </c>
      <c r="W1313">
        <v>0</v>
      </c>
      <c r="X1313">
        <v>0</v>
      </c>
      <c r="Y1313">
        <v>0</v>
      </c>
      <c r="Z1313">
        <v>0</v>
      </c>
      <c r="AA1313">
        <v>0</v>
      </c>
      <c r="AB1313" s="1" t="s">
        <v>54</v>
      </c>
      <c r="AC1313" t="s">
        <v>46</v>
      </c>
      <c r="AD1313" t="s">
        <v>47</v>
      </c>
      <c r="AE1313" s="2">
        <v>1514</v>
      </c>
    </row>
    <row r="1314" spans="1:31" x14ac:dyDescent="0.35">
      <c r="A1314">
        <v>31</v>
      </c>
      <c r="B1314" s="1" t="s">
        <v>30</v>
      </c>
      <c r="C1314" s="1" t="s">
        <v>62</v>
      </c>
      <c r="D1314">
        <v>18</v>
      </c>
      <c r="E1314">
        <v>5</v>
      </c>
      <c r="F1314" s="1" t="s">
        <v>62</v>
      </c>
      <c r="G1314">
        <v>4</v>
      </c>
      <c r="H1314" s="1" t="s">
        <v>41</v>
      </c>
      <c r="I1314">
        <v>4</v>
      </c>
      <c r="J1314">
        <v>1</v>
      </c>
      <c r="K1314" s="1" t="s">
        <v>62</v>
      </c>
      <c r="L1314">
        <v>1</v>
      </c>
      <c r="M1314" s="1" t="s">
        <v>43</v>
      </c>
      <c r="N1314">
        <v>2956</v>
      </c>
      <c r="O1314">
        <v>0</v>
      </c>
      <c r="P1314" s="1" t="s">
        <v>39</v>
      </c>
      <c r="Q1314">
        <v>17</v>
      </c>
      <c r="R1314">
        <v>3</v>
      </c>
      <c r="S1314">
        <v>0</v>
      </c>
      <c r="T1314">
        <v>2</v>
      </c>
      <c r="U1314">
        <v>4</v>
      </c>
      <c r="V1314">
        <v>3</v>
      </c>
      <c r="W1314">
        <v>1</v>
      </c>
      <c r="X1314">
        <v>0</v>
      </c>
      <c r="Y1314">
        <v>0</v>
      </c>
      <c r="Z1314">
        <v>0</v>
      </c>
      <c r="AA1314">
        <v>1</v>
      </c>
      <c r="AB1314" s="1" t="s">
        <v>48</v>
      </c>
      <c r="AC1314" t="s">
        <v>46</v>
      </c>
      <c r="AD1314" t="s">
        <v>47</v>
      </c>
      <c r="AE1314" s="2">
        <v>2956</v>
      </c>
    </row>
    <row r="1315" spans="1:31" x14ac:dyDescent="0.35">
      <c r="A1315">
        <v>29</v>
      </c>
      <c r="B1315" s="1" t="s">
        <v>30</v>
      </c>
      <c r="C1315" s="1" t="s">
        <v>62</v>
      </c>
      <c r="D1315">
        <v>13</v>
      </c>
      <c r="E1315">
        <v>3</v>
      </c>
      <c r="F1315" s="1" t="s">
        <v>62</v>
      </c>
      <c r="G1315">
        <v>1</v>
      </c>
      <c r="H1315" s="1" t="s">
        <v>41</v>
      </c>
      <c r="I1315">
        <v>2</v>
      </c>
      <c r="J1315">
        <v>1</v>
      </c>
      <c r="K1315" s="1" t="s">
        <v>62</v>
      </c>
      <c r="L1315">
        <v>1</v>
      </c>
      <c r="M1315" s="1" t="s">
        <v>50</v>
      </c>
      <c r="N1315">
        <v>2335</v>
      </c>
      <c r="O1315">
        <v>4</v>
      </c>
      <c r="P1315" s="1" t="s">
        <v>30</v>
      </c>
      <c r="Q1315">
        <v>15</v>
      </c>
      <c r="R1315">
        <v>4</v>
      </c>
      <c r="S1315">
        <v>3</v>
      </c>
      <c r="T1315">
        <v>4</v>
      </c>
      <c r="U1315">
        <v>3</v>
      </c>
      <c r="V1315">
        <v>3</v>
      </c>
      <c r="W1315">
        <v>2</v>
      </c>
      <c r="X1315">
        <v>2</v>
      </c>
      <c r="Y1315">
        <v>2</v>
      </c>
      <c r="Z1315">
        <v>0</v>
      </c>
      <c r="AA1315">
        <v>1</v>
      </c>
      <c r="AB1315" s="1" t="s">
        <v>48</v>
      </c>
      <c r="AC1315" t="s">
        <v>46</v>
      </c>
      <c r="AD1315" t="s">
        <v>47</v>
      </c>
      <c r="AE1315" s="2">
        <v>1167.5</v>
      </c>
    </row>
    <row r="1316" spans="1:31" x14ac:dyDescent="0.35">
      <c r="A1316">
        <v>45</v>
      </c>
      <c r="B1316" s="1" t="s">
        <v>39</v>
      </c>
      <c r="C1316" s="1" t="s">
        <v>31</v>
      </c>
      <c r="D1316">
        <v>2</v>
      </c>
      <c r="E1316">
        <v>4</v>
      </c>
      <c r="F1316" s="1" t="s">
        <v>32</v>
      </c>
      <c r="G1316">
        <v>3</v>
      </c>
      <c r="H1316" s="1" t="s">
        <v>33</v>
      </c>
      <c r="I1316">
        <v>3</v>
      </c>
      <c r="J1316">
        <v>2</v>
      </c>
      <c r="K1316" s="1" t="s">
        <v>34</v>
      </c>
      <c r="L1316">
        <v>3</v>
      </c>
      <c r="M1316" s="1" t="s">
        <v>43</v>
      </c>
      <c r="N1316">
        <v>5154</v>
      </c>
      <c r="O1316">
        <v>4</v>
      </c>
      <c r="P1316" s="1" t="s">
        <v>39</v>
      </c>
      <c r="Q1316">
        <v>22</v>
      </c>
      <c r="R1316">
        <v>2</v>
      </c>
      <c r="S1316">
        <v>2</v>
      </c>
      <c r="T1316">
        <v>10</v>
      </c>
      <c r="U1316">
        <v>3</v>
      </c>
      <c r="V1316">
        <v>4</v>
      </c>
      <c r="W1316">
        <v>8</v>
      </c>
      <c r="X1316">
        <v>7</v>
      </c>
      <c r="Y1316">
        <v>5</v>
      </c>
      <c r="Z1316">
        <v>7</v>
      </c>
      <c r="AA1316">
        <v>0</v>
      </c>
      <c r="AB1316" s="1" t="s">
        <v>36</v>
      </c>
      <c r="AC1316" t="s">
        <v>37</v>
      </c>
      <c r="AD1316" t="s">
        <v>38</v>
      </c>
      <c r="AE1316" s="2">
        <v>644.25</v>
      </c>
    </row>
    <row r="1317" spans="1:31" x14ac:dyDescent="0.35">
      <c r="A1317">
        <v>36</v>
      </c>
      <c r="B1317" s="1" t="s">
        <v>39</v>
      </c>
      <c r="C1317" s="1" t="s">
        <v>40</v>
      </c>
      <c r="D1317">
        <v>2</v>
      </c>
      <c r="E1317">
        <v>4</v>
      </c>
      <c r="F1317" s="1" t="s">
        <v>44</v>
      </c>
      <c r="G1317">
        <v>4</v>
      </c>
      <c r="H1317" s="1" t="s">
        <v>33</v>
      </c>
      <c r="I1317">
        <v>3</v>
      </c>
      <c r="J1317">
        <v>2</v>
      </c>
      <c r="K1317" s="1" t="s">
        <v>42</v>
      </c>
      <c r="L1317">
        <v>2</v>
      </c>
      <c r="M1317" s="1" t="s">
        <v>43</v>
      </c>
      <c r="N1317">
        <v>6962</v>
      </c>
      <c r="O1317">
        <v>4</v>
      </c>
      <c r="P1317" s="1" t="s">
        <v>30</v>
      </c>
      <c r="Q1317">
        <v>22</v>
      </c>
      <c r="R1317">
        <v>4</v>
      </c>
      <c r="S1317">
        <v>1</v>
      </c>
      <c r="T1317">
        <v>15</v>
      </c>
      <c r="U1317">
        <v>2</v>
      </c>
      <c r="V1317">
        <v>3</v>
      </c>
      <c r="W1317">
        <v>1</v>
      </c>
      <c r="X1317">
        <v>0</v>
      </c>
      <c r="Y1317">
        <v>0</v>
      </c>
      <c r="Z1317">
        <v>0</v>
      </c>
      <c r="AA1317">
        <v>0</v>
      </c>
      <c r="AB1317" s="1" t="s">
        <v>36</v>
      </c>
      <c r="AC1317" t="s">
        <v>37</v>
      </c>
      <c r="AD1317" t="s">
        <v>47</v>
      </c>
      <c r="AE1317" s="2">
        <v>6962</v>
      </c>
    </row>
    <row r="1318" spans="1:31" x14ac:dyDescent="0.35">
      <c r="A1318">
        <v>43</v>
      </c>
      <c r="B1318" s="1" t="s">
        <v>39</v>
      </c>
      <c r="C1318" s="1" t="s">
        <v>31</v>
      </c>
      <c r="D1318">
        <v>2</v>
      </c>
      <c r="E1318">
        <v>4</v>
      </c>
      <c r="F1318" s="1" t="s">
        <v>32</v>
      </c>
      <c r="G1318">
        <v>1</v>
      </c>
      <c r="H1318" s="1" t="s">
        <v>41</v>
      </c>
      <c r="I1318">
        <v>3</v>
      </c>
      <c r="J1318">
        <v>2</v>
      </c>
      <c r="K1318" s="1" t="s">
        <v>34</v>
      </c>
      <c r="L1318">
        <v>4</v>
      </c>
      <c r="M1318" s="1" t="s">
        <v>43</v>
      </c>
      <c r="N1318">
        <v>5675</v>
      </c>
      <c r="O1318">
        <v>1</v>
      </c>
      <c r="P1318" s="1" t="s">
        <v>39</v>
      </c>
      <c r="Q1318">
        <v>20</v>
      </c>
      <c r="R1318">
        <v>3</v>
      </c>
      <c r="S1318">
        <v>1</v>
      </c>
      <c r="T1318">
        <v>7</v>
      </c>
      <c r="U1318">
        <v>5</v>
      </c>
      <c r="V1318">
        <v>3</v>
      </c>
      <c r="W1318">
        <v>7</v>
      </c>
      <c r="X1318">
        <v>7</v>
      </c>
      <c r="Y1318">
        <v>7</v>
      </c>
      <c r="Z1318">
        <v>7</v>
      </c>
      <c r="AA1318">
        <v>0</v>
      </c>
      <c r="AB1318" s="1" t="s">
        <v>36</v>
      </c>
      <c r="AC1318" t="s">
        <v>37</v>
      </c>
      <c r="AD1318" t="s">
        <v>38</v>
      </c>
      <c r="AE1318" s="2">
        <v>810.71428571428567</v>
      </c>
    </row>
    <row r="1319" spans="1:31" x14ac:dyDescent="0.35">
      <c r="A1319">
        <v>27</v>
      </c>
      <c r="B1319" s="1" t="s">
        <v>39</v>
      </c>
      <c r="C1319" s="1" t="s">
        <v>40</v>
      </c>
      <c r="D1319">
        <v>5</v>
      </c>
      <c r="E1319">
        <v>2</v>
      </c>
      <c r="F1319" s="1" t="s">
        <v>32</v>
      </c>
      <c r="G1319">
        <v>4</v>
      </c>
      <c r="H1319" s="1" t="s">
        <v>33</v>
      </c>
      <c r="I1319">
        <v>3</v>
      </c>
      <c r="J1319">
        <v>1</v>
      </c>
      <c r="K1319" s="1" t="s">
        <v>45</v>
      </c>
      <c r="L1319">
        <v>4</v>
      </c>
      <c r="M1319" s="1" t="s">
        <v>35</v>
      </c>
      <c r="N1319">
        <v>2379</v>
      </c>
      <c r="O1319">
        <v>0</v>
      </c>
      <c r="P1319" s="1" t="s">
        <v>30</v>
      </c>
      <c r="Q1319">
        <v>14</v>
      </c>
      <c r="R1319">
        <v>3</v>
      </c>
      <c r="S1319">
        <v>0</v>
      </c>
      <c r="T1319">
        <v>6</v>
      </c>
      <c r="U1319">
        <v>3</v>
      </c>
      <c r="V1319">
        <v>2</v>
      </c>
      <c r="W1319">
        <v>5</v>
      </c>
      <c r="X1319">
        <v>4</v>
      </c>
      <c r="Y1319">
        <v>0</v>
      </c>
      <c r="Z1319">
        <v>2</v>
      </c>
      <c r="AA1319">
        <v>0</v>
      </c>
      <c r="AB1319" s="1" t="s">
        <v>48</v>
      </c>
      <c r="AC1319" t="s">
        <v>46</v>
      </c>
      <c r="AD1319" t="s">
        <v>53</v>
      </c>
      <c r="AE1319" s="2">
        <v>475.8</v>
      </c>
    </row>
    <row r="1320" spans="1:31" x14ac:dyDescent="0.35">
      <c r="A1320">
        <v>29</v>
      </c>
      <c r="B1320" s="1" t="s">
        <v>39</v>
      </c>
      <c r="C1320" s="1" t="s">
        <v>40</v>
      </c>
      <c r="D1320">
        <v>20</v>
      </c>
      <c r="E1320">
        <v>1</v>
      </c>
      <c r="F1320" s="1" t="s">
        <v>49</v>
      </c>
      <c r="G1320">
        <v>4</v>
      </c>
      <c r="H1320" s="1" t="s">
        <v>41</v>
      </c>
      <c r="I1320">
        <v>3</v>
      </c>
      <c r="J1320">
        <v>1</v>
      </c>
      <c r="K1320" s="1" t="s">
        <v>45</v>
      </c>
      <c r="L1320">
        <v>4</v>
      </c>
      <c r="M1320" s="1" t="s">
        <v>43</v>
      </c>
      <c r="N1320">
        <v>3812</v>
      </c>
      <c r="O1320">
        <v>1</v>
      </c>
      <c r="P1320" s="1" t="s">
        <v>39</v>
      </c>
      <c r="Q1320">
        <v>13</v>
      </c>
      <c r="R1320">
        <v>2</v>
      </c>
      <c r="S1320">
        <v>0</v>
      </c>
      <c r="T1320">
        <v>11</v>
      </c>
      <c r="U1320">
        <v>3</v>
      </c>
      <c r="V1320">
        <v>4</v>
      </c>
      <c r="W1320">
        <v>11</v>
      </c>
      <c r="X1320">
        <v>8</v>
      </c>
      <c r="Y1320">
        <v>3</v>
      </c>
      <c r="Z1320">
        <v>10</v>
      </c>
      <c r="AA1320">
        <v>0</v>
      </c>
      <c r="AB1320" s="1" t="s">
        <v>48</v>
      </c>
      <c r="AC1320" t="s">
        <v>46</v>
      </c>
      <c r="AD1320" t="s">
        <v>57</v>
      </c>
      <c r="AE1320" s="2">
        <v>346.54545454545456</v>
      </c>
    </row>
    <row r="1321" spans="1:31" x14ac:dyDescent="0.35">
      <c r="A1321">
        <v>32</v>
      </c>
      <c r="B1321" s="1" t="s">
        <v>39</v>
      </c>
      <c r="C1321" s="1" t="s">
        <v>31</v>
      </c>
      <c r="D1321">
        <v>10</v>
      </c>
      <c r="E1321">
        <v>4</v>
      </c>
      <c r="F1321" s="1" t="s">
        <v>60</v>
      </c>
      <c r="G1321">
        <v>4</v>
      </c>
      <c r="H1321" s="1" t="s">
        <v>41</v>
      </c>
      <c r="I1321">
        <v>3</v>
      </c>
      <c r="J1321">
        <v>2</v>
      </c>
      <c r="K1321" s="1" t="s">
        <v>34</v>
      </c>
      <c r="L1321">
        <v>4</v>
      </c>
      <c r="M1321" s="1" t="s">
        <v>35</v>
      </c>
      <c r="N1321">
        <v>4648</v>
      </c>
      <c r="O1321">
        <v>8</v>
      </c>
      <c r="P1321" s="1" t="s">
        <v>39</v>
      </c>
      <c r="Q1321">
        <v>13</v>
      </c>
      <c r="R1321">
        <v>3</v>
      </c>
      <c r="S1321">
        <v>0</v>
      </c>
      <c r="T1321">
        <v>4</v>
      </c>
      <c r="U1321">
        <v>2</v>
      </c>
      <c r="V1321">
        <v>4</v>
      </c>
      <c r="W1321">
        <v>0</v>
      </c>
      <c r="X1321">
        <v>0</v>
      </c>
      <c r="Y1321">
        <v>0</v>
      </c>
      <c r="Z1321">
        <v>0</v>
      </c>
      <c r="AA1321">
        <v>0</v>
      </c>
      <c r="AB1321" s="1" t="s">
        <v>48</v>
      </c>
      <c r="AC1321" t="s">
        <v>37</v>
      </c>
      <c r="AD1321" t="s">
        <v>47</v>
      </c>
      <c r="AE1321" s="2">
        <v>4648</v>
      </c>
    </row>
    <row r="1322" spans="1:31" x14ac:dyDescent="0.35">
      <c r="A1322">
        <v>42</v>
      </c>
      <c r="B1322" s="1" t="s">
        <v>39</v>
      </c>
      <c r="C1322" s="1" t="s">
        <v>40</v>
      </c>
      <c r="D1322">
        <v>10</v>
      </c>
      <c r="E1322">
        <v>4</v>
      </c>
      <c r="F1322" s="1" t="s">
        <v>61</v>
      </c>
      <c r="G1322">
        <v>3</v>
      </c>
      <c r="H1322" s="1" t="s">
        <v>41</v>
      </c>
      <c r="I1322">
        <v>3</v>
      </c>
      <c r="J1322">
        <v>1</v>
      </c>
      <c r="K1322" s="1" t="s">
        <v>42</v>
      </c>
      <c r="L1322">
        <v>3</v>
      </c>
      <c r="M1322" s="1" t="s">
        <v>43</v>
      </c>
      <c r="N1322">
        <v>2936</v>
      </c>
      <c r="O1322">
        <v>3</v>
      </c>
      <c r="P1322" s="1" t="s">
        <v>39</v>
      </c>
      <c r="Q1322">
        <v>22</v>
      </c>
      <c r="R1322">
        <v>2</v>
      </c>
      <c r="S1322">
        <v>2</v>
      </c>
      <c r="T1322">
        <v>10</v>
      </c>
      <c r="U1322">
        <v>1</v>
      </c>
      <c r="V1322">
        <v>2</v>
      </c>
      <c r="W1322">
        <v>6</v>
      </c>
      <c r="X1322">
        <v>3</v>
      </c>
      <c r="Y1322">
        <v>3</v>
      </c>
      <c r="Z1322">
        <v>3</v>
      </c>
      <c r="AA1322">
        <v>0</v>
      </c>
      <c r="AB1322" s="1" t="s">
        <v>36</v>
      </c>
      <c r="AC1322" t="s">
        <v>46</v>
      </c>
      <c r="AD1322" t="s">
        <v>38</v>
      </c>
      <c r="AE1322" s="2">
        <v>489.33333333333331</v>
      </c>
    </row>
    <row r="1323" spans="1:31" x14ac:dyDescent="0.35">
      <c r="A1323">
        <v>47</v>
      </c>
      <c r="B1323" s="1" t="s">
        <v>39</v>
      </c>
      <c r="C1323" s="1" t="s">
        <v>40</v>
      </c>
      <c r="D1323">
        <v>9</v>
      </c>
      <c r="E1323">
        <v>4</v>
      </c>
      <c r="F1323" s="1" t="s">
        <v>32</v>
      </c>
      <c r="G1323">
        <v>2</v>
      </c>
      <c r="H1323" s="1" t="s">
        <v>33</v>
      </c>
      <c r="I1323">
        <v>3</v>
      </c>
      <c r="J1323">
        <v>1</v>
      </c>
      <c r="K1323" s="1" t="s">
        <v>45</v>
      </c>
      <c r="L1323">
        <v>3</v>
      </c>
      <c r="M1323" s="1" t="s">
        <v>35</v>
      </c>
      <c r="N1323">
        <v>2105</v>
      </c>
      <c r="O1323">
        <v>4</v>
      </c>
      <c r="P1323" s="1" t="s">
        <v>39</v>
      </c>
      <c r="Q1323">
        <v>12</v>
      </c>
      <c r="R1323">
        <v>3</v>
      </c>
      <c r="S1323">
        <v>0</v>
      </c>
      <c r="T1323">
        <v>7</v>
      </c>
      <c r="U1323">
        <v>2</v>
      </c>
      <c r="V1323">
        <v>3</v>
      </c>
      <c r="W1323">
        <v>2</v>
      </c>
      <c r="X1323">
        <v>2</v>
      </c>
      <c r="Y1323">
        <v>2</v>
      </c>
      <c r="Z1323">
        <v>0</v>
      </c>
      <c r="AA1323">
        <v>0</v>
      </c>
      <c r="AB1323" s="1" t="s">
        <v>82</v>
      </c>
      <c r="AC1323" t="s">
        <v>46</v>
      </c>
      <c r="AD1323" t="s">
        <v>47</v>
      </c>
      <c r="AE1323" s="2">
        <v>1052.5</v>
      </c>
    </row>
    <row r="1324" spans="1:31" x14ac:dyDescent="0.35">
      <c r="A1324">
        <v>46</v>
      </c>
      <c r="B1324" s="1" t="s">
        <v>39</v>
      </c>
      <c r="C1324" s="1" t="s">
        <v>40</v>
      </c>
      <c r="D1324">
        <v>2</v>
      </c>
      <c r="E1324">
        <v>2</v>
      </c>
      <c r="F1324" s="1" t="s">
        <v>32</v>
      </c>
      <c r="G1324">
        <v>4</v>
      </c>
      <c r="H1324" s="1" t="s">
        <v>41</v>
      </c>
      <c r="I1324">
        <v>3</v>
      </c>
      <c r="J1324">
        <v>3</v>
      </c>
      <c r="K1324" s="1" t="s">
        <v>51</v>
      </c>
      <c r="L1324">
        <v>4</v>
      </c>
      <c r="M1324" s="1" t="s">
        <v>50</v>
      </c>
      <c r="N1324">
        <v>8578</v>
      </c>
      <c r="O1324">
        <v>3</v>
      </c>
      <c r="P1324" s="1" t="s">
        <v>39</v>
      </c>
      <c r="Q1324">
        <v>14</v>
      </c>
      <c r="R1324">
        <v>3</v>
      </c>
      <c r="S1324">
        <v>1</v>
      </c>
      <c r="T1324">
        <v>12</v>
      </c>
      <c r="U1324">
        <v>4</v>
      </c>
      <c r="V1324">
        <v>2</v>
      </c>
      <c r="W1324">
        <v>9</v>
      </c>
      <c r="X1324">
        <v>8</v>
      </c>
      <c r="Y1324">
        <v>4</v>
      </c>
      <c r="Z1324">
        <v>7</v>
      </c>
      <c r="AA1324">
        <v>0</v>
      </c>
      <c r="AB1324" s="1" t="s">
        <v>82</v>
      </c>
      <c r="AC1324" t="s">
        <v>37</v>
      </c>
      <c r="AD1324" t="s">
        <v>38</v>
      </c>
      <c r="AE1324" s="2">
        <v>953.11111111111109</v>
      </c>
    </row>
    <row r="1325" spans="1:31" x14ac:dyDescent="0.35">
      <c r="A1325">
        <v>28</v>
      </c>
      <c r="B1325" s="1" t="s">
        <v>39</v>
      </c>
      <c r="C1325" s="1" t="s">
        <v>62</v>
      </c>
      <c r="D1325">
        <v>1</v>
      </c>
      <c r="E1325">
        <v>2</v>
      </c>
      <c r="F1325" s="1" t="s">
        <v>32</v>
      </c>
      <c r="G1325">
        <v>3</v>
      </c>
      <c r="H1325" s="1" t="s">
        <v>41</v>
      </c>
      <c r="I1325">
        <v>3</v>
      </c>
      <c r="J1325">
        <v>1</v>
      </c>
      <c r="K1325" s="1" t="s">
        <v>62</v>
      </c>
      <c r="L1325">
        <v>4</v>
      </c>
      <c r="M1325" s="1" t="s">
        <v>50</v>
      </c>
      <c r="N1325">
        <v>2706</v>
      </c>
      <c r="O1325">
        <v>1</v>
      </c>
      <c r="P1325" s="1" t="s">
        <v>39</v>
      </c>
      <c r="Q1325">
        <v>15</v>
      </c>
      <c r="R1325">
        <v>2</v>
      </c>
      <c r="S1325">
        <v>1</v>
      </c>
      <c r="T1325">
        <v>3</v>
      </c>
      <c r="U1325">
        <v>2</v>
      </c>
      <c r="V1325">
        <v>3</v>
      </c>
      <c r="W1325">
        <v>3</v>
      </c>
      <c r="X1325">
        <v>2</v>
      </c>
      <c r="Y1325">
        <v>2</v>
      </c>
      <c r="Z1325">
        <v>2</v>
      </c>
      <c r="AA1325">
        <v>0</v>
      </c>
      <c r="AB1325" s="1" t="s">
        <v>48</v>
      </c>
      <c r="AC1325" t="s">
        <v>46</v>
      </c>
      <c r="AD1325" t="s">
        <v>53</v>
      </c>
      <c r="AE1325" s="2">
        <v>902</v>
      </c>
    </row>
    <row r="1326" spans="1:31" x14ac:dyDescent="0.35">
      <c r="A1326">
        <v>29</v>
      </c>
      <c r="B1326" s="1" t="s">
        <v>39</v>
      </c>
      <c r="C1326" s="1" t="s">
        <v>40</v>
      </c>
      <c r="D1326">
        <v>29</v>
      </c>
      <c r="E1326">
        <v>1</v>
      </c>
      <c r="F1326" s="1" t="s">
        <v>32</v>
      </c>
      <c r="G1326">
        <v>4</v>
      </c>
      <c r="H1326" s="1" t="s">
        <v>41</v>
      </c>
      <c r="I1326">
        <v>1</v>
      </c>
      <c r="J1326">
        <v>2</v>
      </c>
      <c r="K1326" s="1" t="s">
        <v>52</v>
      </c>
      <c r="L1326">
        <v>3</v>
      </c>
      <c r="M1326" s="1" t="s">
        <v>50</v>
      </c>
      <c r="N1326">
        <v>6384</v>
      </c>
      <c r="O1326">
        <v>8</v>
      </c>
      <c r="P1326" s="1" t="s">
        <v>39</v>
      </c>
      <c r="Q1326">
        <v>17</v>
      </c>
      <c r="R1326">
        <v>4</v>
      </c>
      <c r="S1326">
        <v>2</v>
      </c>
      <c r="T1326">
        <v>11</v>
      </c>
      <c r="U1326">
        <v>3</v>
      </c>
      <c r="V1326">
        <v>3</v>
      </c>
      <c r="W1326">
        <v>7</v>
      </c>
      <c r="X1326">
        <v>0</v>
      </c>
      <c r="Y1326">
        <v>1</v>
      </c>
      <c r="Z1326">
        <v>6</v>
      </c>
      <c r="AA1326">
        <v>0</v>
      </c>
      <c r="AB1326" s="1" t="s">
        <v>48</v>
      </c>
      <c r="AC1326" t="s">
        <v>37</v>
      </c>
      <c r="AD1326" t="s">
        <v>38</v>
      </c>
      <c r="AE1326" s="2">
        <v>912</v>
      </c>
    </row>
    <row r="1327" spans="1:31" x14ac:dyDescent="0.35">
      <c r="A1327">
        <v>42</v>
      </c>
      <c r="B1327" s="1" t="s">
        <v>39</v>
      </c>
      <c r="C1327" s="1" t="s">
        <v>40</v>
      </c>
      <c r="D1327">
        <v>8</v>
      </c>
      <c r="E1327">
        <v>3</v>
      </c>
      <c r="F1327" s="1" t="s">
        <v>32</v>
      </c>
      <c r="G1327">
        <v>4</v>
      </c>
      <c r="H1327" s="1" t="s">
        <v>41</v>
      </c>
      <c r="I1327">
        <v>3</v>
      </c>
      <c r="J1327">
        <v>1</v>
      </c>
      <c r="K1327" s="1" t="s">
        <v>45</v>
      </c>
      <c r="L1327">
        <v>3</v>
      </c>
      <c r="M1327" s="1" t="s">
        <v>35</v>
      </c>
      <c r="N1327">
        <v>3968</v>
      </c>
      <c r="O1327">
        <v>4</v>
      </c>
      <c r="P1327" s="1" t="s">
        <v>39</v>
      </c>
      <c r="Q1327">
        <v>13</v>
      </c>
      <c r="R1327">
        <v>4</v>
      </c>
      <c r="S1327">
        <v>0</v>
      </c>
      <c r="T1327">
        <v>8</v>
      </c>
      <c r="U1327">
        <v>3</v>
      </c>
      <c r="V1327">
        <v>3</v>
      </c>
      <c r="W1327">
        <v>0</v>
      </c>
      <c r="X1327">
        <v>0</v>
      </c>
      <c r="Y1327">
        <v>0</v>
      </c>
      <c r="Z1327">
        <v>0</v>
      </c>
      <c r="AA1327">
        <v>0</v>
      </c>
      <c r="AB1327" s="1" t="s">
        <v>36</v>
      </c>
      <c r="AC1327" t="s">
        <v>46</v>
      </c>
      <c r="AD1327" t="s">
        <v>47</v>
      </c>
      <c r="AE1327" s="2">
        <v>3968</v>
      </c>
    </row>
    <row r="1328" spans="1:31" x14ac:dyDescent="0.35">
      <c r="A1328">
        <v>32</v>
      </c>
      <c r="B1328" s="1" t="s">
        <v>30</v>
      </c>
      <c r="C1328" s="1" t="s">
        <v>31</v>
      </c>
      <c r="D1328">
        <v>2</v>
      </c>
      <c r="E1328">
        <v>4</v>
      </c>
      <c r="F1328" s="1" t="s">
        <v>60</v>
      </c>
      <c r="G1328">
        <v>3</v>
      </c>
      <c r="H1328" s="1" t="s">
        <v>41</v>
      </c>
      <c r="I1328">
        <v>2</v>
      </c>
      <c r="J1328">
        <v>2</v>
      </c>
      <c r="K1328" s="1" t="s">
        <v>34</v>
      </c>
      <c r="L1328">
        <v>2</v>
      </c>
      <c r="M1328" s="1" t="s">
        <v>35</v>
      </c>
      <c r="N1328">
        <v>9907</v>
      </c>
      <c r="O1328">
        <v>7</v>
      </c>
      <c r="P1328" s="1" t="s">
        <v>30</v>
      </c>
      <c r="Q1328">
        <v>12</v>
      </c>
      <c r="R1328">
        <v>3</v>
      </c>
      <c r="S1328">
        <v>0</v>
      </c>
      <c r="T1328">
        <v>7</v>
      </c>
      <c r="U1328">
        <v>3</v>
      </c>
      <c r="V1328">
        <v>2</v>
      </c>
      <c r="W1328">
        <v>2</v>
      </c>
      <c r="X1328">
        <v>2</v>
      </c>
      <c r="Y1328">
        <v>2</v>
      </c>
      <c r="Z1328">
        <v>2</v>
      </c>
      <c r="AA1328">
        <v>1</v>
      </c>
      <c r="AB1328" s="1" t="s">
        <v>48</v>
      </c>
      <c r="AC1328" t="s">
        <v>37</v>
      </c>
      <c r="AD1328" t="s">
        <v>47</v>
      </c>
      <c r="AE1328" s="2">
        <v>4953.5</v>
      </c>
    </row>
    <row r="1329" spans="1:31" x14ac:dyDescent="0.35">
      <c r="A1329">
        <v>46</v>
      </c>
      <c r="B1329" s="1" t="s">
        <v>39</v>
      </c>
      <c r="C1329" s="1" t="s">
        <v>31</v>
      </c>
      <c r="D1329">
        <v>3</v>
      </c>
      <c r="E1329">
        <v>3</v>
      </c>
      <c r="F1329" s="1" t="s">
        <v>61</v>
      </c>
      <c r="G1329">
        <v>1</v>
      </c>
      <c r="H1329" s="1" t="s">
        <v>33</v>
      </c>
      <c r="I1329">
        <v>4</v>
      </c>
      <c r="J1329">
        <v>4</v>
      </c>
      <c r="K1329" s="1" t="s">
        <v>34</v>
      </c>
      <c r="L1329">
        <v>1</v>
      </c>
      <c r="M1329" s="1" t="s">
        <v>50</v>
      </c>
      <c r="N1329">
        <v>13225</v>
      </c>
      <c r="O1329">
        <v>2</v>
      </c>
      <c r="P1329" s="1" t="s">
        <v>39</v>
      </c>
      <c r="Q1329">
        <v>12</v>
      </c>
      <c r="R1329">
        <v>4</v>
      </c>
      <c r="S1329">
        <v>1</v>
      </c>
      <c r="T1329">
        <v>25</v>
      </c>
      <c r="U1329">
        <v>5</v>
      </c>
      <c r="V1329">
        <v>3</v>
      </c>
      <c r="W1329">
        <v>19</v>
      </c>
      <c r="X1329">
        <v>17</v>
      </c>
      <c r="Y1329">
        <v>2</v>
      </c>
      <c r="Z1329">
        <v>8</v>
      </c>
      <c r="AA1329">
        <v>0</v>
      </c>
      <c r="AB1329" s="1" t="s">
        <v>82</v>
      </c>
      <c r="AC1329" t="s">
        <v>56</v>
      </c>
      <c r="AD1329" t="s">
        <v>57</v>
      </c>
      <c r="AE1329" s="2">
        <v>696.0526315789474</v>
      </c>
    </row>
    <row r="1330" spans="1:31" x14ac:dyDescent="0.35">
      <c r="A1330">
        <v>27</v>
      </c>
      <c r="B1330" s="1" t="s">
        <v>39</v>
      </c>
      <c r="C1330" s="1" t="s">
        <v>31</v>
      </c>
      <c r="D1330">
        <v>23</v>
      </c>
      <c r="E1330">
        <v>1</v>
      </c>
      <c r="F1330" s="1" t="s">
        <v>49</v>
      </c>
      <c r="G1330">
        <v>2</v>
      </c>
      <c r="H1330" s="1" t="s">
        <v>33</v>
      </c>
      <c r="I1330">
        <v>2</v>
      </c>
      <c r="J1330">
        <v>2</v>
      </c>
      <c r="K1330" s="1" t="s">
        <v>58</v>
      </c>
      <c r="L1330">
        <v>3</v>
      </c>
      <c r="M1330" s="1" t="s">
        <v>43</v>
      </c>
      <c r="N1330">
        <v>3540</v>
      </c>
      <c r="O1330">
        <v>1</v>
      </c>
      <c r="P1330" s="1" t="s">
        <v>39</v>
      </c>
      <c r="Q1330">
        <v>21</v>
      </c>
      <c r="R1330">
        <v>4</v>
      </c>
      <c r="S1330">
        <v>1</v>
      </c>
      <c r="T1330">
        <v>9</v>
      </c>
      <c r="U1330">
        <v>5</v>
      </c>
      <c r="V1330">
        <v>3</v>
      </c>
      <c r="W1330">
        <v>9</v>
      </c>
      <c r="X1330">
        <v>8</v>
      </c>
      <c r="Y1330">
        <v>5</v>
      </c>
      <c r="Z1330">
        <v>8</v>
      </c>
      <c r="AA1330">
        <v>0</v>
      </c>
      <c r="AB1330" s="1" t="s">
        <v>48</v>
      </c>
      <c r="AC1330" t="s">
        <v>46</v>
      </c>
      <c r="AD1330" t="s">
        <v>38</v>
      </c>
      <c r="AE1330" s="2">
        <v>393.33333333333331</v>
      </c>
    </row>
    <row r="1331" spans="1:31" x14ac:dyDescent="0.35">
      <c r="A1331">
        <v>29</v>
      </c>
      <c r="B1331" s="1" t="s">
        <v>39</v>
      </c>
      <c r="C1331" s="1" t="s">
        <v>62</v>
      </c>
      <c r="D1331">
        <v>6</v>
      </c>
      <c r="E1331">
        <v>1</v>
      </c>
      <c r="F1331" s="1" t="s">
        <v>49</v>
      </c>
      <c r="G1331">
        <v>4</v>
      </c>
      <c r="H1331" s="1" t="s">
        <v>41</v>
      </c>
      <c r="I1331">
        <v>2</v>
      </c>
      <c r="J1331">
        <v>1</v>
      </c>
      <c r="K1331" s="1" t="s">
        <v>62</v>
      </c>
      <c r="L1331">
        <v>2</v>
      </c>
      <c r="M1331" s="1" t="s">
        <v>43</v>
      </c>
      <c r="N1331">
        <v>2804</v>
      </c>
      <c r="O1331">
        <v>1</v>
      </c>
      <c r="P1331" s="1" t="s">
        <v>39</v>
      </c>
      <c r="Q1331">
        <v>11</v>
      </c>
      <c r="R1331">
        <v>4</v>
      </c>
      <c r="S1331">
        <v>0</v>
      </c>
      <c r="T1331">
        <v>1</v>
      </c>
      <c r="U1331">
        <v>3</v>
      </c>
      <c r="V1331">
        <v>3</v>
      </c>
      <c r="W1331">
        <v>1</v>
      </c>
      <c r="X1331">
        <v>0</v>
      </c>
      <c r="Y1331">
        <v>0</v>
      </c>
      <c r="Z1331">
        <v>0</v>
      </c>
      <c r="AA1331">
        <v>0</v>
      </c>
      <c r="AB1331" s="1" t="s">
        <v>48</v>
      </c>
      <c r="AC1331" t="s">
        <v>46</v>
      </c>
      <c r="AD1331" t="s">
        <v>47</v>
      </c>
      <c r="AE1331" s="2">
        <v>2804</v>
      </c>
    </row>
    <row r="1332" spans="1:31" x14ac:dyDescent="0.35">
      <c r="A1332">
        <v>43</v>
      </c>
      <c r="B1332" s="1" t="s">
        <v>39</v>
      </c>
      <c r="C1332" s="1" t="s">
        <v>40</v>
      </c>
      <c r="D1332">
        <v>6</v>
      </c>
      <c r="E1332">
        <v>3</v>
      </c>
      <c r="F1332" s="1" t="s">
        <v>49</v>
      </c>
      <c r="G1332">
        <v>1</v>
      </c>
      <c r="H1332" s="1" t="s">
        <v>33</v>
      </c>
      <c r="I1332">
        <v>2</v>
      </c>
      <c r="J1332">
        <v>5</v>
      </c>
      <c r="K1332" s="1" t="s">
        <v>55</v>
      </c>
      <c r="L1332">
        <v>3</v>
      </c>
      <c r="M1332" s="1" t="s">
        <v>43</v>
      </c>
      <c r="N1332">
        <v>19392</v>
      </c>
      <c r="O1332">
        <v>7</v>
      </c>
      <c r="P1332" s="1" t="s">
        <v>39</v>
      </c>
      <c r="Q1332">
        <v>13</v>
      </c>
      <c r="R1332">
        <v>4</v>
      </c>
      <c r="S1332">
        <v>0</v>
      </c>
      <c r="T1332">
        <v>21</v>
      </c>
      <c r="U1332">
        <v>2</v>
      </c>
      <c r="V1332">
        <v>3</v>
      </c>
      <c r="W1332">
        <v>16</v>
      </c>
      <c r="X1332">
        <v>12</v>
      </c>
      <c r="Y1332">
        <v>6</v>
      </c>
      <c r="Z1332">
        <v>14</v>
      </c>
      <c r="AA1332">
        <v>0</v>
      </c>
      <c r="AB1332" s="1" t="s">
        <v>36</v>
      </c>
      <c r="AC1332" t="s">
        <v>56</v>
      </c>
      <c r="AD1332" t="s">
        <v>57</v>
      </c>
      <c r="AE1332" s="2">
        <v>1212</v>
      </c>
    </row>
    <row r="1333" spans="1:31" x14ac:dyDescent="0.35">
      <c r="A1333">
        <v>48</v>
      </c>
      <c r="B1333" s="1" t="s">
        <v>39</v>
      </c>
      <c r="C1333" s="1" t="s">
        <v>40</v>
      </c>
      <c r="D1333">
        <v>10</v>
      </c>
      <c r="E1333">
        <v>3</v>
      </c>
      <c r="F1333" s="1" t="s">
        <v>32</v>
      </c>
      <c r="G1333">
        <v>4</v>
      </c>
      <c r="H1333" s="1" t="s">
        <v>41</v>
      </c>
      <c r="I1333">
        <v>2</v>
      </c>
      <c r="J1333">
        <v>5</v>
      </c>
      <c r="K1333" s="1" t="s">
        <v>59</v>
      </c>
      <c r="L1333">
        <v>2</v>
      </c>
      <c r="M1333" s="1" t="s">
        <v>43</v>
      </c>
      <c r="N1333">
        <v>19665</v>
      </c>
      <c r="O1333">
        <v>4</v>
      </c>
      <c r="P1333" s="1" t="s">
        <v>39</v>
      </c>
      <c r="Q1333">
        <v>12</v>
      </c>
      <c r="R1333">
        <v>4</v>
      </c>
      <c r="S1333">
        <v>0</v>
      </c>
      <c r="T1333">
        <v>29</v>
      </c>
      <c r="U1333">
        <v>3</v>
      </c>
      <c r="V1333">
        <v>3</v>
      </c>
      <c r="W1333">
        <v>22</v>
      </c>
      <c r="X1333">
        <v>10</v>
      </c>
      <c r="Y1333">
        <v>12</v>
      </c>
      <c r="Z1333">
        <v>9</v>
      </c>
      <c r="AA1333">
        <v>0</v>
      </c>
      <c r="AB1333" s="1" t="s">
        <v>82</v>
      </c>
      <c r="AC1333" t="s">
        <v>56</v>
      </c>
      <c r="AD1333" t="s">
        <v>57</v>
      </c>
      <c r="AE1333" s="2">
        <v>893.86363636363637</v>
      </c>
    </row>
    <row r="1334" spans="1:31" x14ac:dyDescent="0.35">
      <c r="A1334">
        <v>29</v>
      </c>
      <c r="B1334" s="1" t="s">
        <v>30</v>
      </c>
      <c r="C1334" s="1" t="s">
        <v>40</v>
      </c>
      <c r="D1334">
        <v>24</v>
      </c>
      <c r="E1334">
        <v>2</v>
      </c>
      <c r="F1334" s="1" t="s">
        <v>32</v>
      </c>
      <c r="G1334">
        <v>4</v>
      </c>
      <c r="H1334" s="1" t="s">
        <v>41</v>
      </c>
      <c r="I1334">
        <v>2</v>
      </c>
      <c r="J1334">
        <v>1</v>
      </c>
      <c r="K1334" s="1" t="s">
        <v>42</v>
      </c>
      <c r="L1334">
        <v>4</v>
      </c>
      <c r="M1334" s="1" t="s">
        <v>35</v>
      </c>
      <c r="N1334">
        <v>2439</v>
      </c>
      <c r="O1334">
        <v>1</v>
      </c>
      <c r="P1334" s="1" t="s">
        <v>30</v>
      </c>
      <c r="Q1334">
        <v>24</v>
      </c>
      <c r="R1334">
        <v>2</v>
      </c>
      <c r="S1334">
        <v>0</v>
      </c>
      <c r="T1334">
        <v>1</v>
      </c>
      <c r="U1334">
        <v>3</v>
      </c>
      <c r="V1334">
        <v>2</v>
      </c>
      <c r="W1334">
        <v>1</v>
      </c>
      <c r="X1334">
        <v>0</v>
      </c>
      <c r="Y1334">
        <v>1</v>
      </c>
      <c r="Z1334">
        <v>0</v>
      </c>
      <c r="AA1334">
        <v>1</v>
      </c>
      <c r="AB1334" s="1" t="s">
        <v>48</v>
      </c>
      <c r="AC1334" t="s">
        <v>46</v>
      </c>
      <c r="AD1334" t="s">
        <v>47</v>
      </c>
      <c r="AE1334" s="2">
        <v>2439</v>
      </c>
    </row>
    <row r="1335" spans="1:31" x14ac:dyDescent="0.35">
      <c r="A1335">
        <v>46</v>
      </c>
      <c r="B1335" s="1" t="s">
        <v>30</v>
      </c>
      <c r="C1335" s="1" t="s">
        <v>31</v>
      </c>
      <c r="D1335">
        <v>10</v>
      </c>
      <c r="E1335">
        <v>3</v>
      </c>
      <c r="F1335" s="1" t="s">
        <v>32</v>
      </c>
      <c r="G1335">
        <v>3</v>
      </c>
      <c r="H1335" s="1" t="s">
        <v>33</v>
      </c>
      <c r="I1335">
        <v>3</v>
      </c>
      <c r="J1335">
        <v>3</v>
      </c>
      <c r="K1335" s="1" t="s">
        <v>34</v>
      </c>
      <c r="L1335">
        <v>2</v>
      </c>
      <c r="M1335" s="1" t="s">
        <v>43</v>
      </c>
      <c r="N1335">
        <v>7314</v>
      </c>
      <c r="O1335">
        <v>5</v>
      </c>
      <c r="P1335" s="1" t="s">
        <v>39</v>
      </c>
      <c r="Q1335">
        <v>21</v>
      </c>
      <c r="R1335">
        <v>3</v>
      </c>
      <c r="S1335">
        <v>3</v>
      </c>
      <c r="T1335">
        <v>14</v>
      </c>
      <c r="U1335">
        <v>2</v>
      </c>
      <c r="V1335">
        <v>3</v>
      </c>
      <c r="W1335">
        <v>8</v>
      </c>
      <c r="X1335">
        <v>7</v>
      </c>
      <c r="Y1335">
        <v>0</v>
      </c>
      <c r="Z1335">
        <v>7</v>
      </c>
      <c r="AA1335">
        <v>1</v>
      </c>
      <c r="AB1335" s="1" t="s">
        <v>82</v>
      </c>
      <c r="AC1335" t="s">
        <v>37</v>
      </c>
      <c r="AD1335" t="s">
        <v>38</v>
      </c>
      <c r="AE1335" s="2">
        <v>914.25</v>
      </c>
    </row>
    <row r="1336" spans="1:31" x14ac:dyDescent="0.35">
      <c r="A1336">
        <v>27</v>
      </c>
      <c r="B1336" s="1" t="s">
        <v>39</v>
      </c>
      <c r="C1336" s="1" t="s">
        <v>40</v>
      </c>
      <c r="D1336">
        <v>15</v>
      </c>
      <c r="E1336">
        <v>3</v>
      </c>
      <c r="F1336" s="1" t="s">
        <v>32</v>
      </c>
      <c r="G1336">
        <v>4</v>
      </c>
      <c r="H1336" s="1" t="s">
        <v>33</v>
      </c>
      <c r="I1336">
        <v>2</v>
      </c>
      <c r="J1336">
        <v>1</v>
      </c>
      <c r="K1336" s="1" t="s">
        <v>42</v>
      </c>
      <c r="L1336">
        <v>1</v>
      </c>
      <c r="M1336" s="1" t="s">
        <v>43</v>
      </c>
      <c r="N1336">
        <v>4774</v>
      </c>
      <c r="O1336">
        <v>0</v>
      </c>
      <c r="P1336" s="1" t="s">
        <v>39</v>
      </c>
      <c r="Q1336">
        <v>19</v>
      </c>
      <c r="R1336">
        <v>4</v>
      </c>
      <c r="S1336">
        <v>1</v>
      </c>
      <c r="T1336">
        <v>8</v>
      </c>
      <c r="U1336">
        <v>2</v>
      </c>
      <c r="V1336">
        <v>2</v>
      </c>
      <c r="W1336">
        <v>7</v>
      </c>
      <c r="X1336">
        <v>6</v>
      </c>
      <c r="Y1336">
        <v>7</v>
      </c>
      <c r="Z1336">
        <v>3</v>
      </c>
      <c r="AA1336">
        <v>0</v>
      </c>
      <c r="AB1336" s="1" t="s">
        <v>48</v>
      </c>
      <c r="AC1336" t="s">
        <v>37</v>
      </c>
      <c r="AD1336" t="s">
        <v>38</v>
      </c>
      <c r="AE1336" s="2">
        <v>682</v>
      </c>
    </row>
    <row r="1337" spans="1:31" x14ac:dyDescent="0.35">
      <c r="A1337">
        <v>39</v>
      </c>
      <c r="B1337" s="1" t="s">
        <v>39</v>
      </c>
      <c r="C1337" s="1" t="s">
        <v>40</v>
      </c>
      <c r="D1337">
        <v>19</v>
      </c>
      <c r="E1337">
        <v>4</v>
      </c>
      <c r="F1337" s="1" t="s">
        <v>44</v>
      </c>
      <c r="G1337">
        <v>4</v>
      </c>
      <c r="H1337" s="1" t="s">
        <v>41</v>
      </c>
      <c r="I1337">
        <v>3</v>
      </c>
      <c r="J1337">
        <v>2</v>
      </c>
      <c r="K1337" s="1" t="s">
        <v>42</v>
      </c>
      <c r="L1337">
        <v>4</v>
      </c>
      <c r="M1337" s="1" t="s">
        <v>50</v>
      </c>
      <c r="N1337">
        <v>3902</v>
      </c>
      <c r="O1337">
        <v>8</v>
      </c>
      <c r="P1337" s="1" t="s">
        <v>39</v>
      </c>
      <c r="Q1337">
        <v>14</v>
      </c>
      <c r="R1337">
        <v>2</v>
      </c>
      <c r="S1337">
        <v>3</v>
      </c>
      <c r="T1337">
        <v>7</v>
      </c>
      <c r="U1337">
        <v>2</v>
      </c>
      <c r="V1337">
        <v>3</v>
      </c>
      <c r="W1337">
        <v>2</v>
      </c>
      <c r="X1337">
        <v>2</v>
      </c>
      <c r="Y1337">
        <v>2</v>
      </c>
      <c r="Z1337">
        <v>2</v>
      </c>
      <c r="AA1337">
        <v>0</v>
      </c>
      <c r="AB1337" s="1" t="s">
        <v>36</v>
      </c>
      <c r="AC1337" t="s">
        <v>46</v>
      </c>
      <c r="AD1337" t="s">
        <v>47</v>
      </c>
      <c r="AE1337" s="2">
        <v>1951</v>
      </c>
    </row>
    <row r="1338" spans="1:31" x14ac:dyDescent="0.35">
      <c r="A1338">
        <v>55</v>
      </c>
      <c r="B1338" s="1" t="s">
        <v>39</v>
      </c>
      <c r="C1338" s="1" t="s">
        <v>40</v>
      </c>
      <c r="D1338">
        <v>2</v>
      </c>
      <c r="E1338">
        <v>4</v>
      </c>
      <c r="F1338" s="1" t="s">
        <v>61</v>
      </c>
      <c r="G1338">
        <v>2</v>
      </c>
      <c r="H1338" s="1" t="s">
        <v>41</v>
      </c>
      <c r="I1338">
        <v>2</v>
      </c>
      <c r="J1338">
        <v>1</v>
      </c>
      <c r="K1338" s="1" t="s">
        <v>42</v>
      </c>
      <c r="L1338">
        <v>4</v>
      </c>
      <c r="M1338" s="1" t="s">
        <v>43</v>
      </c>
      <c r="N1338">
        <v>2662</v>
      </c>
      <c r="O1338">
        <v>8</v>
      </c>
      <c r="P1338" s="1" t="s">
        <v>39</v>
      </c>
      <c r="Q1338">
        <v>20</v>
      </c>
      <c r="R1338">
        <v>2</v>
      </c>
      <c r="S1338">
        <v>1</v>
      </c>
      <c r="T1338">
        <v>19</v>
      </c>
      <c r="U1338">
        <v>2</v>
      </c>
      <c r="V1338">
        <v>4</v>
      </c>
      <c r="W1338">
        <v>5</v>
      </c>
      <c r="X1338">
        <v>2</v>
      </c>
      <c r="Y1338">
        <v>0</v>
      </c>
      <c r="Z1338">
        <v>4</v>
      </c>
      <c r="AA1338">
        <v>0</v>
      </c>
      <c r="AB1338" s="1" t="s">
        <v>82</v>
      </c>
      <c r="AC1338" t="s">
        <v>46</v>
      </c>
      <c r="AD1338" t="s">
        <v>53</v>
      </c>
      <c r="AE1338" s="2">
        <v>532.4</v>
      </c>
    </row>
    <row r="1339" spans="1:31" x14ac:dyDescent="0.35">
      <c r="A1339">
        <v>28</v>
      </c>
      <c r="B1339" s="1" t="s">
        <v>39</v>
      </c>
      <c r="C1339" s="1" t="s">
        <v>31</v>
      </c>
      <c r="D1339">
        <v>3</v>
      </c>
      <c r="E1339">
        <v>3</v>
      </c>
      <c r="F1339" s="1" t="s">
        <v>49</v>
      </c>
      <c r="G1339">
        <v>2</v>
      </c>
      <c r="H1339" s="1" t="s">
        <v>33</v>
      </c>
      <c r="I1339">
        <v>3</v>
      </c>
      <c r="J1339">
        <v>1</v>
      </c>
      <c r="K1339" s="1" t="s">
        <v>58</v>
      </c>
      <c r="L1339">
        <v>2</v>
      </c>
      <c r="M1339" s="1" t="s">
        <v>43</v>
      </c>
      <c r="N1339">
        <v>2856</v>
      </c>
      <c r="O1339">
        <v>1</v>
      </c>
      <c r="P1339" s="1" t="s">
        <v>39</v>
      </c>
      <c r="Q1339">
        <v>19</v>
      </c>
      <c r="R1339">
        <v>4</v>
      </c>
      <c r="S1339">
        <v>1</v>
      </c>
      <c r="T1339">
        <v>1</v>
      </c>
      <c r="U1339">
        <v>3</v>
      </c>
      <c r="V1339">
        <v>3</v>
      </c>
      <c r="W1339">
        <v>1</v>
      </c>
      <c r="X1339">
        <v>0</v>
      </c>
      <c r="Y1339">
        <v>0</v>
      </c>
      <c r="Z1339">
        <v>0</v>
      </c>
      <c r="AA1339">
        <v>0</v>
      </c>
      <c r="AB1339" s="1" t="s">
        <v>48</v>
      </c>
      <c r="AC1339" t="s">
        <v>46</v>
      </c>
      <c r="AD1339" t="s">
        <v>47</v>
      </c>
      <c r="AE1339" s="2">
        <v>2856</v>
      </c>
    </row>
    <row r="1340" spans="1:31" x14ac:dyDescent="0.35">
      <c r="A1340">
        <v>30</v>
      </c>
      <c r="B1340" s="1" t="s">
        <v>30</v>
      </c>
      <c r="C1340" s="1" t="s">
        <v>31</v>
      </c>
      <c r="D1340">
        <v>9</v>
      </c>
      <c r="E1340">
        <v>3</v>
      </c>
      <c r="F1340" s="1" t="s">
        <v>49</v>
      </c>
      <c r="G1340">
        <v>2</v>
      </c>
      <c r="H1340" s="1" t="s">
        <v>41</v>
      </c>
      <c r="I1340">
        <v>3</v>
      </c>
      <c r="J1340">
        <v>1</v>
      </c>
      <c r="K1340" s="1" t="s">
        <v>58</v>
      </c>
      <c r="L1340">
        <v>4</v>
      </c>
      <c r="M1340" s="1" t="s">
        <v>35</v>
      </c>
      <c r="N1340">
        <v>1081</v>
      </c>
      <c r="O1340">
        <v>1</v>
      </c>
      <c r="P1340" s="1" t="s">
        <v>39</v>
      </c>
      <c r="Q1340">
        <v>13</v>
      </c>
      <c r="R1340">
        <v>3</v>
      </c>
      <c r="S1340">
        <v>0</v>
      </c>
      <c r="T1340">
        <v>1</v>
      </c>
      <c r="U1340">
        <v>3</v>
      </c>
      <c r="V1340">
        <v>2</v>
      </c>
      <c r="W1340">
        <v>1</v>
      </c>
      <c r="X1340">
        <v>0</v>
      </c>
      <c r="Y1340">
        <v>0</v>
      </c>
      <c r="Z1340">
        <v>0</v>
      </c>
      <c r="AA1340">
        <v>1</v>
      </c>
      <c r="AB1340" s="1" t="s">
        <v>48</v>
      </c>
      <c r="AC1340" t="s">
        <v>46</v>
      </c>
      <c r="AD1340" t="s">
        <v>47</v>
      </c>
      <c r="AE1340" s="2">
        <v>1081</v>
      </c>
    </row>
    <row r="1341" spans="1:31" x14ac:dyDescent="0.35">
      <c r="A1341">
        <v>22</v>
      </c>
      <c r="B1341" s="1" t="s">
        <v>30</v>
      </c>
      <c r="C1341" s="1" t="s">
        <v>40</v>
      </c>
      <c r="D1341">
        <v>7</v>
      </c>
      <c r="E1341">
        <v>1</v>
      </c>
      <c r="F1341" s="1" t="s">
        <v>32</v>
      </c>
      <c r="G1341">
        <v>4</v>
      </c>
      <c r="H1341" s="1" t="s">
        <v>41</v>
      </c>
      <c r="I1341">
        <v>3</v>
      </c>
      <c r="J1341">
        <v>1</v>
      </c>
      <c r="K1341" s="1" t="s">
        <v>42</v>
      </c>
      <c r="L1341">
        <v>2</v>
      </c>
      <c r="M1341" s="1" t="s">
        <v>35</v>
      </c>
      <c r="N1341">
        <v>2472</v>
      </c>
      <c r="O1341">
        <v>1</v>
      </c>
      <c r="P1341" s="1" t="s">
        <v>30</v>
      </c>
      <c r="Q1341">
        <v>23</v>
      </c>
      <c r="R1341">
        <v>1</v>
      </c>
      <c r="S1341">
        <v>0</v>
      </c>
      <c r="T1341">
        <v>1</v>
      </c>
      <c r="U1341">
        <v>2</v>
      </c>
      <c r="V1341">
        <v>3</v>
      </c>
      <c r="W1341">
        <v>1</v>
      </c>
      <c r="X1341">
        <v>0</v>
      </c>
      <c r="Y1341">
        <v>0</v>
      </c>
      <c r="Z1341">
        <v>0</v>
      </c>
      <c r="AA1341">
        <v>1</v>
      </c>
      <c r="AB1341" s="1" t="s">
        <v>54</v>
      </c>
      <c r="AC1341" t="s">
        <v>46</v>
      </c>
      <c r="AD1341" t="s">
        <v>47</v>
      </c>
      <c r="AE1341" s="2">
        <v>2472</v>
      </c>
    </row>
    <row r="1342" spans="1:31" x14ac:dyDescent="0.35">
      <c r="A1342">
        <v>36</v>
      </c>
      <c r="B1342" s="1" t="s">
        <v>39</v>
      </c>
      <c r="C1342" s="1" t="s">
        <v>31</v>
      </c>
      <c r="D1342">
        <v>10</v>
      </c>
      <c r="E1342">
        <v>4</v>
      </c>
      <c r="F1342" s="1" t="s">
        <v>61</v>
      </c>
      <c r="G1342">
        <v>2</v>
      </c>
      <c r="H1342" s="1" t="s">
        <v>33</v>
      </c>
      <c r="I1342">
        <v>2</v>
      </c>
      <c r="J1342">
        <v>2</v>
      </c>
      <c r="K1342" s="1" t="s">
        <v>34</v>
      </c>
      <c r="L1342">
        <v>3</v>
      </c>
      <c r="M1342" s="1" t="s">
        <v>43</v>
      </c>
      <c r="N1342">
        <v>5673</v>
      </c>
      <c r="O1342">
        <v>1</v>
      </c>
      <c r="P1342" s="1" t="s">
        <v>30</v>
      </c>
      <c r="Q1342">
        <v>13</v>
      </c>
      <c r="R1342">
        <v>1</v>
      </c>
      <c r="S1342">
        <v>1</v>
      </c>
      <c r="T1342">
        <v>10</v>
      </c>
      <c r="U1342">
        <v>4</v>
      </c>
      <c r="V1342">
        <v>3</v>
      </c>
      <c r="W1342">
        <v>10</v>
      </c>
      <c r="X1342">
        <v>9</v>
      </c>
      <c r="Y1342">
        <v>1</v>
      </c>
      <c r="Z1342">
        <v>7</v>
      </c>
      <c r="AA1342">
        <v>0</v>
      </c>
      <c r="AB1342" s="1" t="s">
        <v>36</v>
      </c>
      <c r="AC1342" t="s">
        <v>37</v>
      </c>
      <c r="AD1342" t="s">
        <v>38</v>
      </c>
      <c r="AE1342" s="2">
        <v>567.29999999999995</v>
      </c>
    </row>
    <row r="1343" spans="1:31" x14ac:dyDescent="0.35">
      <c r="A1343">
        <v>31</v>
      </c>
      <c r="B1343" s="1" t="s">
        <v>39</v>
      </c>
      <c r="C1343" s="1" t="s">
        <v>40</v>
      </c>
      <c r="D1343">
        <v>20</v>
      </c>
      <c r="E1343">
        <v>3</v>
      </c>
      <c r="F1343" s="1" t="s">
        <v>32</v>
      </c>
      <c r="G1343">
        <v>2</v>
      </c>
      <c r="H1343" s="1" t="s">
        <v>41</v>
      </c>
      <c r="I1343">
        <v>3</v>
      </c>
      <c r="J1343">
        <v>2</v>
      </c>
      <c r="K1343" s="1" t="s">
        <v>45</v>
      </c>
      <c r="L1343">
        <v>3</v>
      </c>
      <c r="M1343" s="1" t="s">
        <v>50</v>
      </c>
      <c r="N1343">
        <v>4197</v>
      </c>
      <c r="O1343">
        <v>1</v>
      </c>
      <c r="P1343" s="1" t="s">
        <v>39</v>
      </c>
      <c r="Q1343">
        <v>11</v>
      </c>
      <c r="R1343">
        <v>1</v>
      </c>
      <c r="S1343">
        <v>1</v>
      </c>
      <c r="T1343">
        <v>10</v>
      </c>
      <c r="U1343">
        <v>2</v>
      </c>
      <c r="V1343">
        <v>3</v>
      </c>
      <c r="W1343">
        <v>10</v>
      </c>
      <c r="X1343">
        <v>8</v>
      </c>
      <c r="Y1343">
        <v>0</v>
      </c>
      <c r="Z1343">
        <v>2</v>
      </c>
      <c r="AA1343">
        <v>0</v>
      </c>
      <c r="AB1343" s="1" t="s">
        <v>48</v>
      </c>
      <c r="AC1343" t="s">
        <v>37</v>
      </c>
      <c r="AD1343" t="s">
        <v>38</v>
      </c>
      <c r="AE1343" s="2">
        <v>419.7</v>
      </c>
    </row>
    <row r="1344" spans="1:31" x14ac:dyDescent="0.35">
      <c r="A1344">
        <v>34</v>
      </c>
      <c r="B1344" s="1" t="s">
        <v>39</v>
      </c>
      <c r="C1344" s="1" t="s">
        <v>31</v>
      </c>
      <c r="D1344">
        <v>4</v>
      </c>
      <c r="E1344">
        <v>3</v>
      </c>
      <c r="F1344" s="1" t="s">
        <v>32</v>
      </c>
      <c r="G1344">
        <v>3</v>
      </c>
      <c r="H1344" s="1" t="s">
        <v>41</v>
      </c>
      <c r="I1344">
        <v>3</v>
      </c>
      <c r="J1344">
        <v>3</v>
      </c>
      <c r="K1344" s="1" t="s">
        <v>34</v>
      </c>
      <c r="L1344">
        <v>4</v>
      </c>
      <c r="M1344" s="1" t="s">
        <v>43</v>
      </c>
      <c r="N1344">
        <v>9713</v>
      </c>
      <c r="O1344">
        <v>2</v>
      </c>
      <c r="P1344" s="1" t="s">
        <v>30</v>
      </c>
      <c r="Q1344">
        <v>13</v>
      </c>
      <c r="R1344">
        <v>4</v>
      </c>
      <c r="S1344">
        <v>3</v>
      </c>
      <c r="T1344">
        <v>9</v>
      </c>
      <c r="U1344">
        <v>3</v>
      </c>
      <c r="V1344">
        <v>3</v>
      </c>
      <c r="W1344">
        <v>5</v>
      </c>
      <c r="X1344">
        <v>3</v>
      </c>
      <c r="Y1344">
        <v>1</v>
      </c>
      <c r="Z1344">
        <v>0</v>
      </c>
      <c r="AA1344">
        <v>0</v>
      </c>
      <c r="AB1344" s="1" t="s">
        <v>48</v>
      </c>
      <c r="AC1344" t="s">
        <v>37</v>
      </c>
      <c r="AD1344" t="s">
        <v>53</v>
      </c>
      <c r="AE1344" s="2">
        <v>1942.6</v>
      </c>
    </row>
    <row r="1345" spans="1:31" x14ac:dyDescent="0.35">
      <c r="A1345">
        <v>29</v>
      </c>
      <c r="B1345" s="1" t="s">
        <v>39</v>
      </c>
      <c r="C1345" s="1" t="s">
        <v>40</v>
      </c>
      <c r="D1345">
        <v>7</v>
      </c>
      <c r="E1345">
        <v>3</v>
      </c>
      <c r="F1345" s="1" t="s">
        <v>32</v>
      </c>
      <c r="G1345">
        <v>4</v>
      </c>
      <c r="H1345" s="1" t="s">
        <v>41</v>
      </c>
      <c r="I1345">
        <v>3</v>
      </c>
      <c r="J1345">
        <v>1</v>
      </c>
      <c r="K1345" s="1" t="s">
        <v>45</v>
      </c>
      <c r="L1345">
        <v>1</v>
      </c>
      <c r="M1345" s="1" t="s">
        <v>35</v>
      </c>
      <c r="N1345">
        <v>2062</v>
      </c>
      <c r="O1345">
        <v>3</v>
      </c>
      <c r="P1345" s="1" t="s">
        <v>39</v>
      </c>
      <c r="Q1345">
        <v>14</v>
      </c>
      <c r="R1345">
        <v>2</v>
      </c>
      <c r="S1345">
        <v>0</v>
      </c>
      <c r="T1345">
        <v>11</v>
      </c>
      <c r="U1345">
        <v>2</v>
      </c>
      <c r="V1345">
        <v>3</v>
      </c>
      <c r="W1345">
        <v>3</v>
      </c>
      <c r="X1345">
        <v>2</v>
      </c>
      <c r="Y1345">
        <v>1</v>
      </c>
      <c r="Z1345">
        <v>2</v>
      </c>
      <c r="AA1345">
        <v>0</v>
      </c>
      <c r="AB1345" s="1" t="s">
        <v>48</v>
      </c>
      <c r="AC1345" t="s">
        <v>46</v>
      </c>
      <c r="AD1345" t="s">
        <v>53</v>
      </c>
      <c r="AE1345" s="2">
        <v>687.33333333333337</v>
      </c>
    </row>
    <row r="1346" spans="1:31" x14ac:dyDescent="0.35">
      <c r="A1346">
        <v>37</v>
      </c>
      <c r="B1346" s="1" t="s">
        <v>39</v>
      </c>
      <c r="C1346" s="1" t="s">
        <v>40</v>
      </c>
      <c r="D1346">
        <v>7</v>
      </c>
      <c r="E1346">
        <v>4</v>
      </c>
      <c r="F1346" s="1" t="s">
        <v>49</v>
      </c>
      <c r="G1346">
        <v>4</v>
      </c>
      <c r="H1346" s="1" t="s">
        <v>41</v>
      </c>
      <c r="I1346">
        <v>3</v>
      </c>
      <c r="J1346">
        <v>2</v>
      </c>
      <c r="K1346" s="1" t="s">
        <v>42</v>
      </c>
      <c r="L1346">
        <v>1</v>
      </c>
      <c r="M1346" s="1" t="s">
        <v>43</v>
      </c>
      <c r="N1346">
        <v>4284</v>
      </c>
      <c r="O1346">
        <v>5</v>
      </c>
      <c r="P1346" s="1" t="s">
        <v>30</v>
      </c>
      <c r="Q1346">
        <v>22</v>
      </c>
      <c r="R1346">
        <v>3</v>
      </c>
      <c r="S1346">
        <v>1</v>
      </c>
      <c r="T1346">
        <v>16</v>
      </c>
      <c r="U1346">
        <v>2</v>
      </c>
      <c r="V1346">
        <v>3</v>
      </c>
      <c r="W1346">
        <v>5</v>
      </c>
      <c r="X1346">
        <v>3</v>
      </c>
      <c r="Y1346">
        <v>0</v>
      </c>
      <c r="Z1346">
        <v>4</v>
      </c>
      <c r="AA1346">
        <v>0</v>
      </c>
      <c r="AB1346" s="1" t="s">
        <v>36</v>
      </c>
      <c r="AC1346" t="s">
        <v>37</v>
      </c>
      <c r="AD1346" t="s">
        <v>53</v>
      </c>
      <c r="AE1346" s="2">
        <v>856.8</v>
      </c>
    </row>
    <row r="1347" spans="1:31" x14ac:dyDescent="0.35">
      <c r="A1347">
        <v>35</v>
      </c>
      <c r="B1347" s="1" t="s">
        <v>39</v>
      </c>
      <c r="C1347" s="1" t="s">
        <v>40</v>
      </c>
      <c r="D1347">
        <v>16</v>
      </c>
      <c r="E1347">
        <v>2</v>
      </c>
      <c r="F1347" s="1" t="s">
        <v>44</v>
      </c>
      <c r="G1347">
        <v>4</v>
      </c>
      <c r="H1347" s="1" t="s">
        <v>33</v>
      </c>
      <c r="I1347">
        <v>2</v>
      </c>
      <c r="J1347">
        <v>2</v>
      </c>
      <c r="K1347" s="1" t="s">
        <v>51</v>
      </c>
      <c r="L1347">
        <v>2</v>
      </c>
      <c r="M1347" s="1" t="s">
        <v>43</v>
      </c>
      <c r="N1347">
        <v>4788</v>
      </c>
      <c r="O1347">
        <v>0</v>
      </c>
      <c r="P1347" s="1" t="s">
        <v>30</v>
      </c>
      <c r="Q1347">
        <v>11</v>
      </c>
      <c r="R1347">
        <v>4</v>
      </c>
      <c r="S1347">
        <v>0</v>
      </c>
      <c r="T1347">
        <v>4</v>
      </c>
      <c r="U1347">
        <v>2</v>
      </c>
      <c r="V1347">
        <v>3</v>
      </c>
      <c r="W1347">
        <v>3</v>
      </c>
      <c r="X1347">
        <v>2</v>
      </c>
      <c r="Y1347">
        <v>0</v>
      </c>
      <c r="Z1347">
        <v>2</v>
      </c>
      <c r="AA1347">
        <v>0</v>
      </c>
      <c r="AB1347" s="1" t="s">
        <v>48</v>
      </c>
      <c r="AC1347" t="s">
        <v>37</v>
      </c>
      <c r="AD1347" t="s">
        <v>53</v>
      </c>
      <c r="AE1347" s="2">
        <v>1596</v>
      </c>
    </row>
    <row r="1348" spans="1:31" x14ac:dyDescent="0.35">
      <c r="A1348">
        <v>45</v>
      </c>
      <c r="B1348" s="1" t="s">
        <v>39</v>
      </c>
      <c r="C1348" s="1" t="s">
        <v>40</v>
      </c>
      <c r="D1348">
        <v>25</v>
      </c>
      <c r="E1348">
        <v>2</v>
      </c>
      <c r="F1348" s="1" t="s">
        <v>32</v>
      </c>
      <c r="G1348">
        <v>2</v>
      </c>
      <c r="H1348" s="1" t="s">
        <v>33</v>
      </c>
      <c r="I1348">
        <v>2</v>
      </c>
      <c r="J1348">
        <v>2</v>
      </c>
      <c r="K1348" s="1" t="s">
        <v>51</v>
      </c>
      <c r="L1348">
        <v>4</v>
      </c>
      <c r="M1348" s="1" t="s">
        <v>43</v>
      </c>
      <c r="N1348">
        <v>5906</v>
      </c>
      <c r="O1348">
        <v>0</v>
      </c>
      <c r="P1348" s="1" t="s">
        <v>39</v>
      </c>
      <c r="Q1348">
        <v>13</v>
      </c>
      <c r="R1348">
        <v>4</v>
      </c>
      <c r="S1348">
        <v>2</v>
      </c>
      <c r="T1348">
        <v>10</v>
      </c>
      <c r="U1348">
        <v>2</v>
      </c>
      <c r="V1348">
        <v>2</v>
      </c>
      <c r="W1348">
        <v>9</v>
      </c>
      <c r="X1348">
        <v>8</v>
      </c>
      <c r="Y1348">
        <v>3</v>
      </c>
      <c r="Z1348">
        <v>8</v>
      </c>
      <c r="AA1348">
        <v>0</v>
      </c>
      <c r="AB1348" s="1" t="s">
        <v>36</v>
      </c>
      <c r="AC1348" t="s">
        <v>37</v>
      </c>
      <c r="AD1348" t="s">
        <v>38</v>
      </c>
      <c r="AE1348" s="2">
        <v>656.22222222222217</v>
      </c>
    </row>
    <row r="1349" spans="1:31" x14ac:dyDescent="0.35">
      <c r="A1349">
        <v>36</v>
      </c>
      <c r="B1349" s="1" t="s">
        <v>39</v>
      </c>
      <c r="C1349" s="1" t="s">
        <v>62</v>
      </c>
      <c r="D1349">
        <v>2</v>
      </c>
      <c r="E1349">
        <v>1</v>
      </c>
      <c r="F1349" s="1" t="s">
        <v>62</v>
      </c>
      <c r="G1349">
        <v>2</v>
      </c>
      <c r="H1349" s="1" t="s">
        <v>41</v>
      </c>
      <c r="I1349">
        <v>2</v>
      </c>
      <c r="J1349">
        <v>2</v>
      </c>
      <c r="K1349" s="1" t="s">
        <v>62</v>
      </c>
      <c r="L1349">
        <v>4</v>
      </c>
      <c r="M1349" s="1" t="s">
        <v>35</v>
      </c>
      <c r="N1349">
        <v>3886</v>
      </c>
      <c r="O1349">
        <v>1</v>
      </c>
      <c r="P1349" s="1" t="s">
        <v>39</v>
      </c>
      <c r="Q1349">
        <v>21</v>
      </c>
      <c r="R1349">
        <v>4</v>
      </c>
      <c r="S1349">
        <v>0</v>
      </c>
      <c r="T1349">
        <v>10</v>
      </c>
      <c r="U1349">
        <v>2</v>
      </c>
      <c r="V1349">
        <v>2</v>
      </c>
      <c r="W1349">
        <v>10</v>
      </c>
      <c r="X1349">
        <v>1</v>
      </c>
      <c r="Y1349">
        <v>0</v>
      </c>
      <c r="Z1349">
        <v>8</v>
      </c>
      <c r="AA1349">
        <v>0</v>
      </c>
      <c r="AB1349" s="1" t="s">
        <v>36</v>
      </c>
      <c r="AC1349" t="s">
        <v>46</v>
      </c>
      <c r="AD1349" t="s">
        <v>38</v>
      </c>
      <c r="AE1349" s="2">
        <v>388.6</v>
      </c>
    </row>
    <row r="1350" spans="1:31" x14ac:dyDescent="0.35">
      <c r="A1350">
        <v>40</v>
      </c>
      <c r="B1350" s="1" t="s">
        <v>39</v>
      </c>
      <c r="C1350" s="1" t="s">
        <v>40</v>
      </c>
      <c r="D1350">
        <v>1</v>
      </c>
      <c r="E1350">
        <v>4</v>
      </c>
      <c r="F1350" s="1" t="s">
        <v>32</v>
      </c>
      <c r="G1350">
        <v>1</v>
      </c>
      <c r="H1350" s="1" t="s">
        <v>41</v>
      </c>
      <c r="I1350">
        <v>3</v>
      </c>
      <c r="J1350">
        <v>4</v>
      </c>
      <c r="K1350" s="1" t="s">
        <v>55</v>
      </c>
      <c r="L1350">
        <v>1</v>
      </c>
      <c r="M1350" s="1" t="s">
        <v>50</v>
      </c>
      <c r="N1350">
        <v>16823</v>
      </c>
      <c r="O1350">
        <v>2</v>
      </c>
      <c r="P1350" s="1" t="s">
        <v>39</v>
      </c>
      <c r="Q1350">
        <v>11</v>
      </c>
      <c r="R1350">
        <v>1</v>
      </c>
      <c r="S1350">
        <v>1</v>
      </c>
      <c r="T1350">
        <v>22</v>
      </c>
      <c r="U1350">
        <v>3</v>
      </c>
      <c r="V1350">
        <v>3</v>
      </c>
      <c r="W1350">
        <v>19</v>
      </c>
      <c r="X1350">
        <v>7</v>
      </c>
      <c r="Y1350">
        <v>11</v>
      </c>
      <c r="Z1350">
        <v>16</v>
      </c>
      <c r="AA1350">
        <v>0</v>
      </c>
      <c r="AB1350" s="1" t="s">
        <v>36</v>
      </c>
      <c r="AC1350" t="s">
        <v>56</v>
      </c>
      <c r="AD1350" t="s">
        <v>57</v>
      </c>
      <c r="AE1350" s="2">
        <v>885.42105263157896</v>
      </c>
    </row>
    <row r="1351" spans="1:31" x14ac:dyDescent="0.35">
      <c r="A1351">
        <v>26</v>
      </c>
      <c r="B1351" s="1" t="s">
        <v>39</v>
      </c>
      <c r="C1351" s="1" t="s">
        <v>40</v>
      </c>
      <c r="D1351">
        <v>1</v>
      </c>
      <c r="E1351">
        <v>2</v>
      </c>
      <c r="F1351" s="1" t="s">
        <v>32</v>
      </c>
      <c r="G1351">
        <v>2</v>
      </c>
      <c r="H1351" s="1" t="s">
        <v>33</v>
      </c>
      <c r="I1351">
        <v>2</v>
      </c>
      <c r="J1351">
        <v>1</v>
      </c>
      <c r="K1351" s="1" t="s">
        <v>42</v>
      </c>
      <c r="L1351">
        <v>3</v>
      </c>
      <c r="M1351" s="1" t="s">
        <v>43</v>
      </c>
      <c r="N1351">
        <v>2933</v>
      </c>
      <c r="O1351">
        <v>1</v>
      </c>
      <c r="P1351" s="1" t="s">
        <v>30</v>
      </c>
      <c r="Q1351">
        <v>13</v>
      </c>
      <c r="R1351">
        <v>3</v>
      </c>
      <c r="S1351">
        <v>1</v>
      </c>
      <c r="T1351">
        <v>1</v>
      </c>
      <c r="U1351">
        <v>3</v>
      </c>
      <c r="V1351">
        <v>2</v>
      </c>
      <c r="W1351">
        <v>1</v>
      </c>
      <c r="X1351">
        <v>0</v>
      </c>
      <c r="Y1351">
        <v>1</v>
      </c>
      <c r="Z1351">
        <v>0</v>
      </c>
      <c r="AA1351">
        <v>0</v>
      </c>
      <c r="AB1351" s="1" t="s">
        <v>48</v>
      </c>
      <c r="AC1351" t="s">
        <v>46</v>
      </c>
      <c r="AD1351" t="s">
        <v>47</v>
      </c>
      <c r="AE1351" s="2">
        <v>2933</v>
      </c>
    </row>
    <row r="1352" spans="1:31" x14ac:dyDescent="0.35">
      <c r="A1352">
        <v>27</v>
      </c>
      <c r="B1352" s="1" t="s">
        <v>39</v>
      </c>
      <c r="C1352" s="1" t="s">
        <v>31</v>
      </c>
      <c r="D1352">
        <v>2</v>
      </c>
      <c r="E1352">
        <v>2</v>
      </c>
      <c r="F1352" s="1" t="s">
        <v>49</v>
      </c>
      <c r="G1352">
        <v>1</v>
      </c>
      <c r="H1352" s="1" t="s">
        <v>33</v>
      </c>
      <c r="I1352">
        <v>4</v>
      </c>
      <c r="J1352">
        <v>2</v>
      </c>
      <c r="K1352" s="1" t="s">
        <v>34</v>
      </c>
      <c r="L1352">
        <v>3</v>
      </c>
      <c r="M1352" s="1" t="s">
        <v>35</v>
      </c>
      <c r="N1352">
        <v>6500</v>
      </c>
      <c r="O1352">
        <v>0</v>
      </c>
      <c r="P1352" s="1" t="s">
        <v>39</v>
      </c>
      <c r="Q1352">
        <v>14</v>
      </c>
      <c r="R1352">
        <v>2</v>
      </c>
      <c r="S1352">
        <v>0</v>
      </c>
      <c r="T1352">
        <v>9</v>
      </c>
      <c r="U1352">
        <v>5</v>
      </c>
      <c r="V1352">
        <v>2</v>
      </c>
      <c r="W1352">
        <v>8</v>
      </c>
      <c r="X1352">
        <v>7</v>
      </c>
      <c r="Y1352">
        <v>0</v>
      </c>
      <c r="Z1352">
        <v>7</v>
      </c>
      <c r="AA1352">
        <v>0</v>
      </c>
      <c r="AB1352" s="1" t="s">
        <v>48</v>
      </c>
      <c r="AC1352" t="s">
        <v>37</v>
      </c>
      <c r="AD1352" t="s">
        <v>38</v>
      </c>
      <c r="AE1352" s="2">
        <v>812.5</v>
      </c>
    </row>
    <row r="1353" spans="1:31" x14ac:dyDescent="0.35">
      <c r="A1353">
        <v>48</v>
      </c>
      <c r="B1353" s="1" t="s">
        <v>39</v>
      </c>
      <c r="C1353" s="1" t="s">
        <v>40</v>
      </c>
      <c r="D1353">
        <v>22</v>
      </c>
      <c r="E1353">
        <v>3</v>
      </c>
      <c r="F1353" s="1" t="s">
        <v>49</v>
      </c>
      <c r="G1353">
        <v>4</v>
      </c>
      <c r="H1353" s="1" t="s">
        <v>33</v>
      </c>
      <c r="I1353">
        <v>3</v>
      </c>
      <c r="J1353">
        <v>4</v>
      </c>
      <c r="K1353" s="1" t="s">
        <v>55</v>
      </c>
      <c r="L1353">
        <v>4</v>
      </c>
      <c r="M1353" s="1" t="s">
        <v>50</v>
      </c>
      <c r="N1353">
        <v>17174</v>
      </c>
      <c r="O1353">
        <v>3</v>
      </c>
      <c r="P1353" s="1" t="s">
        <v>39</v>
      </c>
      <c r="Q1353">
        <v>11</v>
      </c>
      <c r="R1353">
        <v>2</v>
      </c>
      <c r="S1353">
        <v>1</v>
      </c>
      <c r="T1353">
        <v>24</v>
      </c>
      <c r="U1353">
        <v>3</v>
      </c>
      <c r="V1353">
        <v>3</v>
      </c>
      <c r="W1353">
        <v>22</v>
      </c>
      <c r="X1353">
        <v>17</v>
      </c>
      <c r="Y1353">
        <v>4</v>
      </c>
      <c r="Z1353">
        <v>7</v>
      </c>
      <c r="AA1353">
        <v>0</v>
      </c>
      <c r="AB1353" s="1" t="s">
        <v>82</v>
      </c>
      <c r="AC1353" t="s">
        <v>56</v>
      </c>
      <c r="AD1353" t="s">
        <v>57</v>
      </c>
      <c r="AE1353" s="2">
        <v>780.63636363636363</v>
      </c>
    </row>
    <row r="1354" spans="1:31" x14ac:dyDescent="0.35">
      <c r="A1354">
        <v>44</v>
      </c>
      <c r="B1354" s="1" t="s">
        <v>39</v>
      </c>
      <c r="C1354" s="1" t="s">
        <v>40</v>
      </c>
      <c r="D1354">
        <v>1</v>
      </c>
      <c r="E1354">
        <v>4</v>
      </c>
      <c r="F1354" s="1" t="s">
        <v>32</v>
      </c>
      <c r="G1354">
        <v>2</v>
      </c>
      <c r="H1354" s="1" t="s">
        <v>41</v>
      </c>
      <c r="I1354">
        <v>4</v>
      </c>
      <c r="J1354">
        <v>2</v>
      </c>
      <c r="K1354" s="1" t="s">
        <v>52</v>
      </c>
      <c r="L1354">
        <v>1</v>
      </c>
      <c r="M1354" s="1" t="s">
        <v>43</v>
      </c>
      <c r="N1354">
        <v>5033</v>
      </c>
      <c r="O1354">
        <v>2</v>
      </c>
      <c r="P1354" s="1" t="s">
        <v>39</v>
      </c>
      <c r="Q1354">
        <v>15</v>
      </c>
      <c r="R1354">
        <v>4</v>
      </c>
      <c r="S1354">
        <v>1</v>
      </c>
      <c r="T1354">
        <v>10</v>
      </c>
      <c r="U1354">
        <v>5</v>
      </c>
      <c r="V1354">
        <v>3</v>
      </c>
      <c r="W1354">
        <v>2</v>
      </c>
      <c r="X1354">
        <v>0</v>
      </c>
      <c r="Y1354">
        <v>2</v>
      </c>
      <c r="Z1354">
        <v>2</v>
      </c>
      <c r="AA1354">
        <v>0</v>
      </c>
      <c r="AB1354" s="1" t="s">
        <v>36</v>
      </c>
      <c r="AC1354" t="s">
        <v>37</v>
      </c>
      <c r="AD1354" t="s">
        <v>47</v>
      </c>
      <c r="AE1354" s="2">
        <v>2516.5</v>
      </c>
    </row>
    <row r="1355" spans="1:31" x14ac:dyDescent="0.35">
      <c r="A1355">
        <v>34</v>
      </c>
      <c r="B1355" s="1" t="s">
        <v>30</v>
      </c>
      <c r="C1355" s="1" t="s">
        <v>40</v>
      </c>
      <c r="D1355">
        <v>16</v>
      </c>
      <c r="E1355">
        <v>4</v>
      </c>
      <c r="F1355" s="1" t="s">
        <v>61</v>
      </c>
      <c r="G1355">
        <v>4</v>
      </c>
      <c r="H1355" s="1" t="s">
        <v>41</v>
      </c>
      <c r="I1355">
        <v>1</v>
      </c>
      <c r="J1355">
        <v>1</v>
      </c>
      <c r="K1355" s="1" t="s">
        <v>42</v>
      </c>
      <c r="L1355">
        <v>1</v>
      </c>
      <c r="M1355" s="1" t="s">
        <v>43</v>
      </c>
      <c r="N1355">
        <v>2307</v>
      </c>
      <c r="O1355">
        <v>1</v>
      </c>
      <c r="P1355" s="1" t="s">
        <v>30</v>
      </c>
      <c r="Q1355">
        <v>23</v>
      </c>
      <c r="R1355">
        <v>2</v>
      </c>
      <c r="S1355">
        <v>1</v>
      </c>
      <c r="T1355">
        <v>5</v>
      </c>
      <c r="U1355">
        <v>2</v>
      </c>
      <c r="V1355">
        <v>3</v>
      </c>
      <c r="W1355">
        <v>5</v>
      </c>
      <c r="X1355">
        <v>2</v>
      </c>
      <c r="Y1355">
        <v>3</v>
      </c>
      <c r="Z1355">
        <v>0</v>
      </c>
      <c r="AA1355">
        <v>1</v>
      </c>
      <c r="AB1355" s="1" t="s">
        <v>48</v>
      </c>
      <c r="AC1355" t="s">
        <v>46</v>
      </c>
      <c r="AD1355" t="s">
        <v>53</v>
      </c>
      <c r="AE1355" s="2">
        <v>461.4</v>
      </c>
    </row>
    <row r="1356" spans="1:31" x14ac:dyDescent="0.35">
      <c r="A1356">
        <v>56</v>
      </c>
      <c r="B1356" s="1" t="s">
        <v>30</v>
      </c>
      <c r="C1356" s="1" t="s">
        <v>40</v>
      </c>
      <c r="D1356">
        <v>24</v>
      </c>
      <c r="E1356">
        <v>2</v>
      </c>
      <c r="F1356" s="1" t="s">
        <v>32</v>
      </c>
      <c r="G1356">
        <v>1</v>
      </c>
      <c r="H1356" s="1" t="s">
        <v>41</v>
      </c>
      <c r="I1356">
        <v>3</v>
      </c>
      <c r="J1356">
        <v>1</v>
      </c>
      <c r="K1356" s="1" t="s">
        <v>45</v>
      </c>
      <c r="L1356">
        <v>4</v>
      </c>
      <c r="M1356" s="1" t="s">
        <v>35</v>
      </c>
      <c r="N1356">
        <v>2587</v>
      </c>
      <c r="O1356">
        <v>1</v>
      </c>
      <c r="P1356" s="1" t="s">
        <v>39</v>
      </c>
      <c r="Q1356">
        <v>16</v>
      </c>
      <c r="R1356">
        <v>4</v>
      </c>
      <c r="S1356">
        <v>0</v>
      </c>
      <c r="T1356">
        <v>5</v>
      </c>
      <c r="U1356">
        <v>3</v>
      </c>
      <c r="V1356">
        <v>3</v>
      </c>
      <c r="W1356">
        <v>4</v>
      </c>
      <c r="X1356">
        <v>2</v>
      </c>
      <c r="Y1356">
        <v>1</v>
      </c>
      <c r="Z1356">
        <v>0</v>
      </c>
      <c r="AA1356">
        <v>1</v>
      </c>
      <c r="AB1356" s="1" t="s">
        <v>82</v>
      </c>
      <c r="AC1356" t="s">
        <v>46</v>
      </c>
      <c r="AD1356" t="s">
        <v>53</v>
      </c>
      <c r="AE1356" s="2">
        <v>646.75</v>
      </c>
    </row>
    <row r="1357" spans="1:31" x14ac:dyDescent="0.35">
      <c r="A1357">
        <v>36</v>
      </c>
      <c r="B1357" s="1" t="s">
        <v>39</v>
      </c>
      <c r="C1357" s="1" t="s">
        <v>31</v>
      </c>
      <c r="D1357">
        <v>17</v>
      </c>
      <c r="E1357">
        <v>2</v>
      </c>
      <c r="F1357" s="1" t="s">
        <v>60</v>
      </c>
      <c r="G1357">
        <v>3</v>
      </c>
      <c r="H1357" s="1" t="s">
        <v>41</v>
      </c>
      <c r="I1357">
        <v>2</v>
      </c>
      <c r="J1357">
        <v>2</v>
      </c>
      <c r="K1357" s="1" t="s">
        <v>34</v>
      </c>
      <c r="L1357">
        <v>2</v>
      </c>
      <c r="M1357" s="1" t="s">
        <v>43</v>
      </c>
      <c r="N1357">
        <v>5507</v>
      </c>
      <c r="O1357">
        <v>2</v>
      </c>
      <c r="P1357" s="1" t="s">
        <v>39</v>
      </c>
      <c r="Q1357">
        <v>16</v>
      </c>
      <c r="R1357">
        <v>3</v>
      </c>
      <c r="S1357">
        <v>2</v>
      </c>
      <c r="T1357">
        <v>12</v>
      </c>
      <c r="U1357">
        <v>1</v>
      </c>
      <c r="V1357">
        <v>1</v>
      </c>
      <c r="W1357">
        <v>4</v>
      </c>
      <c r="X1357">
        <v>2</v>
      </c>
      <c r="Y1357">
        <v>1</v>
      </c>
      <c r="Z1357">
        <v>3</v>
      </c>
      <c r="AA1357">
        <v>0</v>
      </c>
      <c r="AB1357" s="1" t="s">
        <v>36</v>
      </c>
      <c r="AC1357" t="s">
        <v>37</v>
      </c>
      <c r="AD1357" t="s">
        <v>53</v>
      </c>
      <c r="AE1357" s="2">
        <v>1376.75</v>
      </c>
    </row>
    <row r="1358" spans="1:31" x14ac:dyDescent="0.35">
      <c r="A1358">
        <v>41</v>
      </c>
      <c r="B1358" s="1" t="s">
        <v>39</v>
      </c>
      <c r="C1358" s="1" t="s">
        <v>31</v>
      </c>
      <c r="D1358">
        <v>8</v>
      </c>
      <c r="E1358">
        <v>3</v>
      </c>
      <c r="F1358" s="1" t="s">
        <v>60</v>
      </c>
      <c r="G1358">
        <v>3</v>
      </c>
      <c r="H1358" s="1" t="s">
        <v>33</v>
      </c>
      <c r="I1358">
        <v>3</v>
      </c>
      <c r="J1358">
        <v>2</v>
      </c>
      <c r="K1358" s="1" t="s">
        <v>34</v>
      </c>
      <c r="L1358">
        <v>2</v>
      </c>
      <c r="M1358" s="1" t="s">
        <v>43</v>
      </c>
      <c r="N1358">
        <v>4393</v>
      </c>
      <c r="O1358">
        <v>5</v>
      </c>
      <c r="P1358" s="1" t="s">
        <v>39</v>
      </c>
      <c r="Q1358">
        <v>21</v>
      </c>
      <c r="R1358">
        <v>3</v>
      </c>
      <c r="S1358">
        <v>1</v>
      </c>
      <c r="T1358">
        <v>14</v>
      </c>
      <c r="U1358">
        <v>3</v>
      </c>
      <c r="V1358">
        <v>3</v>
      </c>
      <c r="W1358">
        <v>5</v>
      </c>
      <c r="X1358">
        <v>4</v>
      </c>
      <c r="Y1358">
        <v>1</v>
      </c>
      <c r="Z1358">
        <v>4</v>
      </c>
      <c r="AA1358">
        <v>0</v>
      </c>
      <c r="AB1358" s="1" t="s">
        <v>36</v>
      </c>
      <c r="AC1358" t="s">
        <v>37</v>
      </c>
      <c r="AD1358" t="s">
        <v>53</v>
      </c>
      <c r="AE1358" s="2">
        <v>878.6</v>
      </c>
    </row>
    <row r="1359" spans="1:31" x14ac:dyDescent="0.35">
      <c r="A1359">
        <v>42</v>
      </c>
      <c r="B1359" s="1" t="s">
        <v>39</v>
      </c>
      <c r="C1359" s="1" t="s">
        <v>40</v>
      </c>
      <c r="D1359">
        <v>6</v>
      </c>
      <c r="E1359">
        <v>3</v>
      </c>
      <c r="F1359" s="1" t="s">
        <v>49</v>
      </c>
      <c r="G1359">
        <v>3</v>
      </c>
      <c r="H1359" s="1" t="s">
        <v>41</v>
      </c>
      <c r="I1359">
        <v>3</v>
      </c>
      <c r="J1359">
        <v>3</v>
      </c>
      <c r="K1359" s="1" t="s">
        <v>59</v>
      </c>
      <c r="L1359">
        <v>1</v>
      </c>
      <c r="M1359" s="1" t="s">
        <v>43</v>
      </c>
      <c r="N1359">
        <v>13348</v>
      </c>
      <c r="O1359">
        <v>9</v>
      </c>
      <c r="P1359" s="1" t="s">
        <v>39</v>
      </c>
      <c r="Q1359">
        <v>13</v>
      </c>
      <c r="R1359">
        <v>2</v>
      </c>
      <c r="S1359">
        <v>1</v>
      </c>
      <c r="T1359">
        <v>18</v>
      </c>
      <c r="U1359">
        <v>3</v>
      </c>
      <c r="V1359">
        <v>4</v>
      </c>
      <c r="W1359">
        <v>13</v>
      </c>
      <c r="X1359">
        <v>7</v>
      </c>
      <c r="Y1359">
        <v>5</v>
      </c>
      <c r="Z1359">
        <v>7</v>
      </c>
      <c r="AA1359">
        <v>0</v>
      </c>
      <c r="AB1359" s="1" t="s">
        <v>36</v>
      </c>
      <c r="AC1359" t="s">
        <v>56</v>
      </c>
      <c r="AD1359" t="s">
        <v>57</v>
      </c>
      <c r="AE1359" s="2">
        <v>1026.7692307692307</v>
      </c>
    </row>
    <row r="1360" spans="1:31" x14ac:dyDescent="0.35">
      <c r="A1360">
        <v>31</v>
      </c>
      <c r="B1360" s="1" t="s">
        <v>39</v>
      </c>
      <c r="C1360" s="1" t="s">
        <v>31</v>
      </c>
      <c r="D1360">
        <v>10</v>
      </c>
      <c r="E1360">
        <v>2</v>
      </c>
      <c r="F1360" s="1" t="s">
        <v>49</v>
      </c>
      <c r="G1360">
        <v>3</v>
      </c>
      <c r="H1360" s="1" t="s">
        <v>33</v>
      </c>
      <c r="I1360">
        <v>3</v>
      </c>
      <c r="J1360">
        <v>2</v>
      </c>
      <c r="K1360" s="1" t="s">
        <v>34</v>
      </c>
      <c r="L1360">
        <v>4</v>
      </c>
      <c r="M1360" s="1" t="s">
        <v>50</v>
      </c>
      <c r="N1360">
        <v>6583</v>
      </c>
      <c r="O1360">
        <v>2</v>
      </c>
      <c r="P1360" s="1" t="s">
        <v>30</v>
      </c>
      <c r="Q1360">
        <v>11</v>
      </c>
      <c r="R1360">
        <v>4</v>
      </c>
      <c r="S1360">
        <v>1</v>
      </c>
      <c r="T1360">
        <v>8</v>
      </c>
      <c r="U1360">
        <v>2</v>
      </c>
      <c r="V1360">
        <v>3</v>
      </c>
      <c r="W1360">
        <v>5</v>
      </c>
      <c r="X1360">
        <v>2</v>
      </c>
      <c r="Y1360">
        <v>1</v>
      </c>
      <c r="Z1360">
        <v>4</v>
      </c>
      <c r="AA1360">
        <v>0</v>
      </c>
      <c r="AB1360" s="1" t="s">
        <v>48</v>
      </c>
      <c r="AC1360" t="s">
        <v>37</v>
      </c>
      <c r="AD1360" t="s">
        <v>53</v>
      </c>
      <c r="AE1360" s="2">
        <v>1316.6</v>
      </c>
    </row>
    <row r="1361" spans="1:31" x14ac:dyDescent="0.35">
      <c r="A1361">
        <v>34</v>
      </c>
      <c r="B1361" s="1" t="s">
        <v>39</v>
      </c>
      <c r="C1361" s="1" t="s">
        <v>31</v>
      </c>
      <c r="D1361">
        <v>3</v>
      </c>
      <c r="E1361">
        <v>1</v>
      </c>
      <c r="F1361" s="1" t="s">
        <v>49</v>
      </c>
      <c r="G1361">
        <v>4</v>
      </c>
      <c r="H1361" s="1" t="s">
        <v>33</v>
      </c>
      <c r="I1361">
        <v>2</v>
      </c>
      <c r="J1361">
        <v>2</v>
      </c>
      <c r="K1361" s="1" t="s">
        <v>34</v>
      </c>
      <c r="L1361">
        <v>4</v>
      </c>
      <c r="M1361" s="1" t="s">
        <v>43</v>
      </c>
      <c r="N1361">
        <v>8103</v>
      </c>
      <c r="O1361">
        <v>3</v>
      </c>
      <c r="P1361" s="1" t="s">
        <v>30</v>
      </c>
      <c r="Q1361">
        <v>12</v>
      </c>
      <c r="R1361">
        <v>3</v>
      </c>
      <c r="S1361">
        <v>0</v>
      </c>
      <c r="T1361">
        <v>9</v>
      </c>
      <c r="U1361">
        <v>3</v>
      </c>
      <c r="V1361">
        <v>2</v>
      </c>
      <c r="W1361">
        <v>4</v>
      </c>
      <c r="X1361">
        <v>2</v>
      </c>
      <c r="Y1361">
        <v>0</v>
      </c>
      <c r="Z1361">
        <v>1</v>
      </c>
      <c r="AA1361">
        <v>0</v>
      </c>
      <c r="AB1361" s="1" t="s">
        <v>48</v>
      </c>
      <c r="AC1361" t="s">
        <v>37</v>
      </c>
      <c r="AD1361" t="s">
        <v>53</v>
      </c>
      <c r="AE1361" s="2">
        <v>2025.75</v>
      </c>
    </row>
    <row r="1362" spans="1:31" x14ac:dyDescent="0.35">
      <c r="A1362">
        <v>31</v>
      </c>
      <c r="B1362" s="1" t="s">
        <v>39</v>
      </c>
      <c r="C1362" s="1" t="s">
        <v>40</v>
      </c>
      <c r="D1362">
        <v>4</v>
      </c>
      <c r="E1362">
        <v>3</v>
      </c>
      <c r="F1362" s="1" t="s">
        <v>49</v>
      </c>
      <c r="G1362">
        <v>1</v>
      </c>
      <c r="H1362" s="1" t="s">
        <v>33</v>
      </c>
      <c r="I1362">
        <v>4</v>
      </c>
      <c r="J1362">
        <v>1</v>
      </c>
      <c r="K1362" s="1" t="s">
        <v>45</v>
      </c>
      <c r="L1362">
        <v>3</v>
      </c>
      <c r="M1362" s="1" t="s">
        <v>50</v>
      </c>
      <c r="N1362">
        <v>3978</v>
      </c>
      <c r="O1362">
        <v>8</v>
      </c>
      <c r="P1362" s="1" t="s">
        <v>39</v>
      </c>
      <c r="Q1362">
        <v>12</v>
      </c>
      <c r="R1362">
        <v>2</v>
      </c>
      <c r="S1362">
        <v>1</v>
      </c>
      <c r="T1362">
        <v>4</v>
      </c>
      <c r="U1362">
        <v>0</v>
      </c>
      <c r="V1362">
        <v>2</v>
      </c>
      <c r="W1362">
        <v>2</v>
      </c>
      <c r="X1362">
        <v>2</v>
      </c>
      <c r="Y1362">
        <v>2</v>
      </c>
      <c r="Z1362">
        <v>2</v>
      </c>
      <c r="AA1362">
        <v>0</v>
      </c>
      <c r="AB1362" s="1" t="s">
        <v>48</v>
      </c>
      <c r="AC1362" t="s">
        <v>46</v>
      </c>
      <c r="AD1362" t="s">
        <v>47</v>
      </c>
      <c r="AE1362" s="2">
        <v>1989</v>
      </c>
    </row>
    <row r="1363" spans="1:31" x14ac:dyDescent="0.35">
      <c r="A1363">
        <v>26</v>
      </c>
      <c r="B1363" s="1" t="s">
        <v>39</v>
      </c>
      <c r="C1363" s="1" t="s">
        <v>40</v>
      </c>
      <c r="D1363">
        <v>6</v>
      </c>
      <c r="E1363">
        <v>3</v>
      </c>
      <c r="F1363" s="1" t="s">
        <v>44</v>
      </c>
      <c r="G1363">
        <v>3</v>
      </c>
      <c r="H1363" s="1" t="s">
        <v>41</v>
      </c>
      <c r="I1363">
        <v>4</v>
      </c>
      <c r="J1363">
        <v>1</v>
      </c>
      <c r="K1363" s="1" t="s">
        <v>45</v>
      </c>
      <c r="L1363">
        <v>4</v>
      </c>
      <c r="M1363" s="1" t="s">
        <v>43</v>
      </c>
      <c r="N1363">
        <v>2544</v>
      </c>
      <c r="O1363">
        <v>0</v>
      </c>
      <c r="P1363" s="1" t="s">
        <v>39</v>
      </c>
      <c r="Q1363">
        <v>18</v>
      </c>
      <c r="R1363">
        <v>1</v>
      </c>
      <c r="S1363">
        <v>1</v>
      </c>
      <c r="T1363">
        <v>8</v>
      </c>
      <c r="U1363">
        <v>3</v>
      </c>
      <c r="V1363">
        <v>3</v>
      </c>
      <c r="W1363">
        <v>7</v>
      </c>
      <c r="X1363">
        <v>7</v>
      </c>
      <c r="Y1363">
        <v>7</v>
      </c>
      <c r="Z1363">
        <v>7</v>
      </c>
      <c r="AA1363">
        <v>0</v>
      </c>
      <c r="AB1363" s="1" t="s">
        <v>48</v>
      </c>
      <c r="AC1363" t="s">
        <v>46</v>
      </c>
      <c r="AD1363" t="s">
        <v>38</v>
      </c>
      <c r="AE1363" s="2">
        <v>363.42857142857144</v>
      </c>
    </row>
    <row r="1364" spans="1:31" x14ac:dyDescent="0.35">
      <c r="A1364">
        <v>45</v>
      </c>
      <c r="B1364" s="1" t="s">
        <v>39</v>
      </c>
      <c r="C1364" s="1" t="s">
        <v>40</v>
      </c>
      <c r="D1364">
        <v>1</v>
      </c>
      <c r="E1364">
        <v>4</v>
      </c>
      <c r="F1364" s="1" t="s">
        <v>49</v>
      </c>
      <c r="G1364">
        <v>2</v>
      </c>
      <c r="H1364" s="1" t="s">
        <v>41</v>
      </c>
      <c r="I1364">
        <v>3</v>
      </c>
      <c r="J1364">
        <v>2</v>
      </c>
      <c r="K1364" s="1" t="s">
        <v>52</v>
      </c>
      <c r="L1364">
        <v>3</v>
      </c>
      <c r="M1364" s="1" t="s">
        <v>35</v>
      </c>
      <c r="N1364">
        <v>5399</v>
      </c>
      <c r="O1364">
        <v>4</v>
      </c>
      <c r="P1364" s="1" t="s">
        <v>39</v>
      </c>
      <c r="Q1364">
        <v>12</v>
      </c>
      <c r="R1364">
        <v>3</v>
      </c>
      <c r="S1364">
        <v>0</v>
      </c>
      <c r="T1364">
        <v>12</v>
      </c>
      <c r="U1364">
        <v>3</v>
      </c>
      <c r="V1364">
        <v>3</v>
      </c>
      <c r="W1364">
        <v>4</v>
      </c>
      <c r="X1364">
        <v>2</v>
      </c>
      <c r="Y1364">
        <v>0</v>
      </c>
      <c r="Z1364">
        <v>3</v>
      </c>
      <c r="AA1364">
        <v>0</v>
      </c>
      <c r="AB1364" s="1" t="s">
        <v>36</v>
      </c>
      <c r="AC1364" t="s">
        <v>37</v>
      </c>
      <c r="AD1364" t="s">
        <v>53</v>
      </c>
      <c r="AE1364" s="2">
        <v>1349.75</v>
      </c>
    </row>
    <row r="1365" spans="1:31" x14ac:dyDescent="0.35">
      <c r="A1365">
        <v>33</v>
      </c>
      <c r="B1365" s="1" t="s">
        <v>39</v>
      </c>
      <c r="C1365" s="1" t="s">
        <v>31</v>
      </c>
      <c r="D1365">
        <v>10</v>
      </c>
      <c r="E1365">
        <v>4</v>
      </c>
      <c r="F1365" s="1" t="s">
        <v>60</v>
      </c>
      <c r="G1365">
        <v>2</v>
      </c>
      <c r="H1365" s="1" t="s">
        <v>41</v>
      </c>
      <c r="I1365">
        <v>3</v>
      </c>
      <c r="J1365">
        <v>2</v>
      </c>
      <c r="K1365" s="1" t="s">
        <v>34</v>
      </c>
      <c r="L1365">
        <v>3</v>
      </c>
      <c r="M1365" s="1" t="s">
        <v>35</v>
      </c>
      <c r="N1365">
        <v>5487</v>
      </c>
      <c r="O1365">
        <v>1</v>
      </c>
      <c r="P1365" s="1" t="s">
        <v>39</v>
      </c>
      <c r="Q1365">
        <v>14</v>
      </c>
      <c r="R1365">
        <v>2</v>
      </c>
      <c r="S1365">
        <v>0</v>
      </c>
      <c r="T1365">
        <v>10</v>
      </c>
      <c r="U1365">
        <v>2</v>
      </c>
      <c r="V1365">
        <v>2</v>
      </c>
      <c r="W1365">
        <v>10</v>
      </c>
      <c r="X1365">
        <v>4</v>
      </c>
      <c r="Y1365">
        <v>0</v>
      </c>
      <c r="Z1365">
        <v>9</v>
      </c>
      <c r="AA1365">
        <v>0</v>
      </c>
      <c r="AB1365" s="1" t="s">
        <v>48</v>
      </c>
      <c r="AC1365" t="s">
        <v>37</v>
      </c>
      <c r="AD1365" t="s">
        <v>38</v>
      </c>
      <c r="AE1365" s="2">
        <v>548.70000000000005</v>
      </c>
    </row>
    <row r="1366" spans="1:31" x14ac:dyDescent="0.35">
      <c r="A1366">
        <v>28</v>
      </c>
      <c r="B1366" s="1" t="s">
        <v>39</v>
      </c>
      <c r="C1366" s="1" t="s">
        <v>31</v>
      </c>
      <c r="D1366">
        <v>1</v>
      </c>
      <c r="E1366">
        <v>2</v>
      </c>
      <c r="F1366" s="1" t="s">
        <v>32</v>
      </c>
      <c r="G1366">
        <v>3</v>
      </c>
      <c r="H1366" s="1" t="s">
        <v>41</v>
      </c>
      <c r="I1366">
        <v>2</v>
      </c>
      <c r="J1366">
        <v>2</v>
      </c>
      <c r="K1366" s="1" t="s">
        <v>34</v>
      </c>
      <c r="L1366">
        <v>4</v>
      </c>
      <c r="M1366" s="1" t="s">
        <v>43</v>
      </c>
      <c r="N1366">
        <v>6834</v>
      </c>
      <c r="O1366">
        <v>1</v>
      </c>
      <c r="P1366" s="1" t="s">
        <v>30</v>
      </c>
      <c r="Q1366">
        <v>12</v>
      </c>
      <c r="R1366">
        <v>3</v>
      </c>
      <c r="S1366">
        <v>1</v>
      </c>
      <c r="T1366">
        <v>7</v>
      </c>
      <c r="U1366">
        <v>2</v>
      </c>
      <c r="V1366">
        <v>3</v>
      </c>
      <c r="W1366">
        <v>7</v>
      </c>
      <c r="X1366">
        <v>7</v>
      </c>
      <c r="Y1366">
        <v>0</v>
      </c>
      <c r="Z1366">
        <v>7</v>
      </c>
      <c r="AA1366">
        <v>0</v>
      </c>
      <c r="AB1366" s="1" t="s">
        <v>48</v>
      </c>
      <c r="AC1366" t="s">
        <v>37</v>
      </c>
      <c r="AD1366" t="s">
        <v>38</v>
      </c>
      <c r="AE1366" s="2">
        <v>976.28571428571433</v>
      </c>
    </row>
    <row r="1367" spans="1:31" x14ac:dyDescent="0.35">
      <c r="A1367">
        <v>29</v>
      </c>
      <c r="B1367" s="1" t="s">
        <v>30</v>
      </c>
      <c r="C1367" s="1" t="s">
        <v>31</v>
      </c>
      <c r="D1367">
        <v>24</v>
      </c>
      <c r="E1367">
        <v>3</v>
      </c>
      <c r="F1367" s="1" t="s">
        <v>61</v>
      </c>
      <c r="G1367">
        <v>3</v>
      </c>
      <c r="H1367" s="1" t="s">
        <v>41</v>
      </c>
      <c r="I1367">
        <v>4</v>
      </c>
      <c r="J1367">
        <v>1</v>
      </c>
      <c r="K1367" s="1" t="s">
        <v>58</v>
      </c>
      <c r="L1367">
        <v>1</v>
      </c>
      <c r="M1367" s="1" t="s">
        <v>35</v>
      </c>
      <c r="N1367">
        <v>1091</v>
      </c>
      <c r="O1367">
        <v>1</v>
      </c>
      <c r="P1367" s="1" t="s">
        <v>39</v>
      </c>
      <c r="Q1367">
        <v>17</v>
      </c>
      <c r="R1367">
        <v>4</v>
      </c>
      <c r="S1367">
        <v>0</v>
      </c>
      <c r="T1367">
        <v>1</v>
      </c>
      <c r="U1367">
        <v>3</v>
      </c>
      <c r="V1367">
        <v>3</v>
      </c>
      <c r="W1367">
        <v>1</v>
      </c>
      <c r="X1367">
        <v>0</v>
      </c>
      <c r="Y1367">
        <v>0</v>
      </c>
      <c r="Z1367">
        <v>0</v>
      </c>
      <c r="AA1367">
        <v>1</v>
      </c>
      <c r="AB1367" s="1" t="s">
        <v>48</v>
      </c>
      <c r="AC1367" t="s">
        <v>46</v>
      </c>
      <c r="AD1367" t="s">
        <v>47</v>
      </c>
      <c r="AE1367" s="2">
        <v>1091</v>
      </c>
    </row>
    <row r="1368" spans="1:31" x14ac:dyDescent="0.35">
      <c r="A1368">
        <v>39</v>
      </c>
      <c r="B1368" s="1" t="s">
        <v>39</v>
      </c>
      <c r="C1368" s="1" t="s">
        <v>31</v>
      </c>
      <c r="D1368">
        <v>21</v>
      </c>
      <c r="E1368">
        <v>4</v>
      </c>
      <c r="F1368" s="1" t="s">
        <v>32</v>
      </c>
      <c r="G1368">
        <v>1</v>
      </c>
      <c r="H1368" s="1" t="s">
        <v>33</v>
      </c>
      <c r="I1368">
        <v>1</v>
      </c>
      <c r="J1368">
        <v>2</v>
      </c>
      <c r="K1368" s="1" t="s">
        <v>34</v>
      </c>
      <c r="L1368">
        <v>3</v>
      </c>
      <c r="M1368" s="1" t="s">
        <v>43</v>
      </c>
      <c r="N1368">
        <v>5736</v>
      </c>
      <c r="O1368">
        <v>6</v>
      </c>
      <c r="P1368" s="1" t="s">
        <v>39</v>
      </c>
      <c r="Q1368">
        <v>19</v>
      </c>
      <c r="R1368">
        <v>3</v>
      </c>
      <c r="S1368">
        <v>1</v>
      </c>
      <c r="T1368">
        <v>10</v>
      </c>
      <c r="U1368">
        <v>1</v>
      </c>
      <c r="V1368">
        <v>3</v>
      </c>
      <c r="W1368">
        <v>3</v>
      </c>
      <c r="X1368">
        <v>2</v>
      </c>
      <c r="Y1368">
        <v>1</v>
      </c>
      <c r="Z1368">
        <v>2</v>
      </c>
      <c r="AA1368">
        <v>0</v>
      </c>
      <c r="AB1368" s="1" t="s">
        <v>36</v>
      </c>
      <c r="AC1368" t="s">
        <v>37</v>
      </c>
      <c r="AD1368" t="s">
        <v>53</v>
      </c>
      <c r="AE1368" s="2">
        <v>1912</v>
      </c>
    </row>
    <row r="1369" spans="1:31" x14ac:dyDescent="0.35">
      <c r="A1369">
        <v>27</v>
      </c>
      <c r="B1369" s="1" t="s">
        <v>39</v>
      </c>
      <c r="C1369" s="1" t="s">
        <v>40</v>
      </c>
      <c r="D1369">
        <v>2</v>
      </c>
      <c r="E1369">
        <v>4</v>
      </c>
      <c r="F1369" s="1" t="s">
        <v>61</v>
      </c>
      <c r="G1369">
        <v>2</v>
      </c>
      <c r="H1369" s="1" t="s">
        <v>41</v>
      </c>
      <c r="I1369">
        <v>3</v>
      </c>
      <c r="J1369">
        <v>1</v>
      </c>
      <c r="K1369" s="1" t="s">
        <v>42</v>
      </c>
      <c r="L1369">
        <v>2</v>
      </c>
      <c r="M1369" s="1" t="s">
        <v>43</v>
      </c>
      <c r="N1369">
        <v>2226</v>
      </c>
      <c r="O1369">
        <v>1</v>
      </c>
      <c r="P1369" s="1" t="s">
        <v>39</v>
      </c>
      <c r="Q1369">
        <v>11</v>
      </c>
      <c r="R1369">
        <v>3</v>
      </c>
      <c r="S1369">
        <v>1</v>
      </c>
      <c r="T1369">
        <v>6</v>
      </c>
      <c r="U1369">
        <v>3</v>
      </c>
      <c r="V1369">
        <v>2</v>
      </c>
      <c r="W1369">
        <v>5</v>
      </c>
      <c r="X1369">
        <v>3</v>
      </c>
      <c r="Y1369">
        <v>1</v>
      </c>
      <c r="Z1369">
        <v>2</v>
      </c>
      <c r="AA1369">
        <v>0</v>
      </c>
      <c r="AB1369" s="1" t="s">
        <v>48</v>
      </c>
      <c r="AC1369" t="s">
        <v>46</v>
      </c>
      <c r="AD1369" t="s">
        <v>53</v>
      </c>
      <c r="AE1369" s="2">
        <v>445.2</v>
      </c>
    </row>
    <row r="1370" spans="1:31" x14ac:dyDescent="0.35">
      <c r="A1370">
        <v>34</v>
      </c>
      <c r="B1370" s="1" t="s">
        <v>39</v>
      </c>
      <c r="C1370" s="1" t="s">
        <v>40</v>
      </c>
      <c r="D1370">
        <v>22</v>
      </c>
      <c r="E1370">
        <v>4</v>
      </c>
      <c r="F1370" s="1" t="s">
        <v>44</v>
      </c>
      <c r="G1370">
        <v>3</v>
      </c>
      <c r="H1370" s="1" t="s">
        <v>41</v>
      </c>
      <c r="I1370">
        <v>2</v>
      </c>
      <c r="J1370">
        <v>2</v>
      </c>
      <c r="K1370" s="1" t="s">
        <v>42</v>
      </c>
      <c r="L1370">
        <v>4</v>
      </c>
      <c r="M1370" s="1" t="s">
        <v>43</v>
      </c>
      <c r="N1370">
        <v>5747</v>
      </c>
      <c r="O1370">
        <v>1</v>
      </c>
      <c r="P1370" s="1" t="s">
        <v>30</v>
      </c>
      <c r="Q1370">
        <v>15</v>
      </c>
      <c r="R1370">
        <v>2</v>
      </c>
      <c r="S1370">
        <v>0</v>
      </c>
      <c r="T1370">
        <v>16</v>
      </c>
      <c r="U1370">
        <v>3</v>
      </c>
      <c r="V1370">
        <v>3</v>
      </c>
      <c r="W1370">
        <v>15</v>
      </c>
      <c r="X1370">
        <v>10</v>
      </c>
      <c r="Y1370">
        <v>6</v>
      </c>
      <c r="Z1370">
        <v>11</v>
      </c>
      <c r="AA1370">
        <v>0</v>
      </c>
      <c r="AB1370" s="1" t="s">
        <v>48</v>
      </c>
      <c r="AC1370" t="s">
        <v>37</v>
      </c>
      <c r="AD1370" t="s">
        <v>57</v>
      </c>
      <c r="AE1370" s="2">
        <v>383.13333333333333</v>
      </c>
    </row>
    <row r="1371" spans="1:31" x14ac:dyDescent="0.35">
      <c r="A1371">
        <v>28</v>
      </c>
      <c r="B1371" s="1" t="s">
        <v>30</v>
      </c>
      <c r="C1371" s="1" t="s">
        <v>31</v>
      </c>
      <c r="D1371">
        <v>13</v>
      </c>
      <c r="E1371">
        <v>2</v>
      </c>
      <c r="F1371" s="1" t="s">
        <v>60</v>
      </c>
      <c r="G1371">
        <v>4</v>
      </c>
      <c r="H1371" s="1" t="s">
        <v>33</v>
      </c>
      <c r="I1371">
        <v>3</v>
      </c>
      <c r="J1371">
        <v>2</v>
      </c>
      <c r="K1371" s="1" t="s">
        <v>34</v>
      </c>
      <c r="L1371">
        <v>3</v>
      </c>
      <c r="M1371" s="1" t="s">
        <v>35</v>
      </c>
      <c r="N1371">
        <v>9854</v>
      </c>
      <c r="O1371">
        <v>3</v>
      </c>
      <c r="P1371" s="1" t="s">
        <v>30</v>
      </c>
      <c r="Q1371">
        <v>11</v>
      </c>
      <c r="R1371">
        <v>4</v>
      </c>
      <c r="S1371">
        <v>0</v>
      </c>
      <c r="T1371">
        <v>6</v>
      </c>
      <c r="U1371">
        <v>0</v>
      </c>
      <c r="V1371">
        <v>3</v>
      </c>
      <c r="W1371">
        <v>2</v>
      </c>
      <c r="X1371">
        <v>0</v>
      </c>
      <c r="Y1371">
        <v>2</v>
      </c>
      <c r="Z1371">
        <v>2</v>
      </c>
      <c r="AA1371">
        <v>1</v>
      </c>
      <c r="AB1371" s="1" t="s">
        <v>48</v>
      </c>
      <c r="AC1371" t="s">
        <v>37</v>
      </c>
      <c r="AD1371" t="s">
        <v>47</v>
      </c>
      <c r="AE1371" s="2">
        <v>4927</v>
      </c>
    </row>
    <row r="1372" spans="1:31" x14ac:dyDescent="0.35">
      <c r="A1372">
        <v>47</v>
      </c>
      <c r="B1372" s="1" t="s">
        <v>39</v>
      </c>
      <c r="C1372" s="1" t="s">
        <v>40</v>
      </c>
      <c r="D1372">
        <v>14</v>
      </c>
      <c r="E1372">
        <v>4</v>
      </c>
      <c r="F1372" s="1" t="s">
        <v>61</v>
      </c>
      <c r="G1372">
        <v>3</v>
      </c>
      <c r="H1372" s="1" t="s">
        <v>41</v>
      </c>
      <c r="I1372">
        <v>3</v>
      </c>
      <c r="J1372">
        <v>2</v>
      </c>
      <c r="K1372" s="1" t="s">
        <v>42</v>
      </c>
      <c r="L1372">
        <v>2</v>
      </c>
      <c r="M1372" s="1" t="s">
        <v>43</v>
      </c>
      <c r="N1372">
        <v>5467</v>
      </c>
      <c r="O1372">
        <v>8</v>
      </c>
      <c r="P1372" s="1" t="s">
        <v>39</v>
      </c>
      <c r="Q1372">
        <v>18</v>
      </c>
      <c r="R1372">
        <v>3</v>
      </c>
      <c r="S1372">
        <v>1</v>
      </c>
      <c r="T1372">
        <v>16</v>
      </c>
      <c r="U1372">
        <v>4</v>
      </c>
      <c r="V1372">
        <v>4</v>
      </c>
      <c r="W1372">
        <v>8</v>
      </c>
      <c r="X1372">
        <v>7</v>
      </c>
      <c r="Y1372">
        <v>1</v>
      </c>
      <c r="Z1372">
        <v>7</v>
      </c>
      <c r="AA1372">
        <v>0</v>
      </c>
      <c r="AB1372" s="1" t="s">
        <v>82</v>
      </c>
      <c r="AC1372" t="s">
        <v>37</v>
      </c>
      <c r="AD1372" t="s">
        <v>38</v>
      </c>
      <c r="AE1372" s="2">
        <v>683.375</v>
      </c>
    </row>
    <row r="1373" spans="1:31" x14ac:dyDescent="0.35">
      <c r="A1373">
        <v>56</v>
      </c>
      <c r="B1373" s="1" t="s">
        <v>39</v>
      </c>
      <c r="C1373" s="1" t="s">
        <v>31</v>
      </c>
      <c r="D1373">
        <v>11</v>
      </c>
      <c r="E1373">
        <v>5</v>
      </c>
      <c r="F1373" s="1" t="s">
        <v>60</v>
      </c>
      <c r="G1373">
        <v>4</v>
      </c>
      <c r="H1373" s="1" t="s">
        <v>33</v>
      </c>
      <c r="I1373">
        <v>2</v>
      </c>
      <c r="J1373">
        <v>2</v>
      </c>
      <c r="K1373" s="1" t="s">
        <v>34</v>
      </c>
      <c r="L1373">
        <v>1</v>
      </c>
      <c r="M1373" s="1" t="s">
        <v>43</v>
      </c>
      <c r="N1373">
        <v>5380</v>
      </c>
      <c r="O1373">
        <v>4</v>
      </c>
      <c r="P1373" s="1" t="s">
        <v>39</v>
      </c>
      <c r="Q1373">
        <v>16</v>
      </c>
      <c r="R1373">
        <v>3</v>
      </c>
      <c r="S1373">
        <v>1</v>
      </c>
      <c r="T1373">
        <v>6</v>
      </c>
      <c r="U1373">
        <v>3</v>
      </c>
      <c r="V1373">
        <v>3</v>
      </c>
      <c r="W1373">
        <v>0</v>
      </c>
      <c r="X1373">
        <v>0</v>
      </c>
      <c r="Y1373">
        <v>0</v>
      </c>
      <c r="Z1373">
        <v>0</v>
      </c>
      <c r="AA1373">
        <v>0</v>
      </c>
      <c r="AB1373" s="1" t="s">
        <v>82</v>
      </c>
      <c r="AC1373" t="s">
        <v>37</v>
      </c>
      <c r="AD1373" t="s">
        <v>47</v>
      </c>
      <c r="AE1373" s="2">
        <v>5380</v>
      </c>
    </row>
    <row r="1374" spans="1:31" x14ac:dyDescent="0.35">
      <c r="A1374">
        <v>39</v>
      </c>
      <c r="B1374" s="1" t="s">
        <v>39</v>
      </c>
      <c r="C1374" s="1" t="s">
        <v>40</v>
      </c>
      <c r="D1374">
        <v>9</v>
      </c>
      <c r="E1374">
        <v>2</v>
      </c>
      <c r="F1374" s="1" t="s">
        <v>49</v>
      </c>
      <c r="G1374">
        <v>1</v>
      </c>
      <c r="H1374" s="1" t="s">
        <v>41</v>
      </c>
      <c r="I1374">
        <v>3</v>
      </c>
      <c r="J1374">
        <v>2</v>
      </c>
      <c r="K1374" s="1" t="s">
        <v>51</v>
      </c>
      <c r="L1374">
        <v>1</v>
      </c>
      <c r="M1374" s="1" t="s">
        <v>43</v>
      </c>
      <c r="N1374">
        <v>5151</v>
      </c>
      <c r="O1374">
        <v>1</v>
      </c>
      <c r="P1374" s="1" t="s">
        <v>39</v>
      </c>
      <c r="Q1374">
        <v>25</v>
      </c>
      <c r="R1374">
        <v>4</v>
      </c>
      <c r="S1374">
        <v>1</v>
      </c>
      <c r="T1374">
        <v>10</v>
      </c>
      <c r="U1374">
        <v>3</v>
      </c>
      <c r="V1374">
        <v>3</v>
      </c>
      <c r="W1374">
        <v>10</v>
      </c>
      <c r="X1374">
        <v>0</v>
      </c>
      <c r="Y1374">
        <v>7</v>
      </c>
      <c r="Z1374">
        <v>9</v>
      </c>
      <c r="AA1374">
        <v>0</v>
      </c>
      <c r="AB1374" s="1" t="s">
        <v>36</v>
      </c>
      <c r="AC1374" t="s">
        <v>37</v>
      </c>
      <c r="AD1374" t="s">
        <v>38</v>
      </c>
      <c r="AE1374" s="2">
        <v>515.1</v>
      </c>
    </row>
    <row r="1375" spans="1:31" x14ac:dyDescent="0.35">
      <c r="A1375">
        <v>38</v>
      </c>
      <c r="B1375" s="1" t="s">
        <v>39</v>
      </c>
      <c r="C1375" s="1" t="s">
        <v>40</v>
      </c>
      <c r="D1375">
        <v>8</v>
      </c>
      <c r="E1375">
        <v>3</v>
      </c>
      <c r="F1375" s="1" t="s">
        <v>49</v>
      </c>
      <c r="G1375">
        <v>4</v>
      </c>
      <c r="H1375" s="1" t="s">
        <v>33</v>
      </c>
      <c r="I1375">
        <v>2</v>
      </c>
      <c r="J1375">
        <v>2</v>
      </c>
      <c r="K1375" s="1" t="s">
        <v>42</v>
      </c>
      <c r="L1375">
        <v>2</v>
      </c>
      <c r="M1375" s="1" t="s">
        <v>50</v>
      </c>
      <c r="N1375">
        <v>2133</v>
      </c>
      <c r="O1375">
        <v>1</v>
      </c>
      <c r="P1375" s="1" t="s">
        <v>30</v>
      </c>
      <c r="Q1375">
        <v>16</v>
      </c>
      <c r="R1375">
        <v>3</v>
      </c>
      <c r="S1375">
        <v>1</v>
      </c>
      <c r="T1375">
        <v>20</v>
      </c>
      <c r="U1375">
        <v>3</v>
      </c>
      <c r="V1375">
        <v>3</v>
      </c>
      <c r="W1375">
        <v>20</v>
      </c>
      <c r="X1375">
        <v>11</v>
      </c>
      <c r="Y1375">
        <v>0</v>
      </c>
      <c r="Z1375">
        <v>7</v>
      </c>
      <c r="AA1375">
        <v>0</v>
      </c>
      <c r="AB1375" s="1" t="s">
        <v>36</v>
      </c>
      <c r="AC1375" t="s">
        <v>46</v>
      </c>
      <c r="AD1375" t="s">
        <v>57</v>
      </c>
      <c r="AE1375" s="2">
        <v>106.65</v>
      </c>
    </row>
    <row r="1376" spans="1:31" x14ac:dyDescent="0.35">
      <c r="A1376">
        <v>58</v>
      </c>
      <c r="B1376" s="1" t="s">
        <v>39</v>
      </c>
      <c r="C1376" s="1" t="s">
        <v>31</v>
      </c>
      <c r="D1376">
        <v>21</v>
      </c>
      <c r="E1376">
        <v>3</v>
      </c>
      <c r="F1376" s="1" t="s">
        <v>32</v>
      </c>
      <c r="G1376">
        <v>4</v>
      </c>
      <c r="H1376" s="1" t="s">
        <v>33</v>
      </c>
      <c r="I1376">
        <v>3</v>
      </c>
      <c r="J1376">
        <v>4</v>
      </c>
      <c r="K1376" s="1" t="s">
        <v>55</v>
      </c>
      <c r="L1376">
        <v>4</v>
      </c>
      <c r="M1376" s="1" t="s">
        <v>43</v>
      </c>
      <c r="N1376">
        <v>17875</v>
      </c>
      <c r="O1376">
        <v>4</v>
      </c>
      <c r="P1376" s="1" t="s">
        <v>30</v>
      </c>
      <c r="Q1376">
        <v>13</v>
      </c>
      <c r="R1376">
        <v>3</v>
      </c>
      <c r="S1376">
        <v>1</v>
      </c>
      <c r="T1376">
        <v>29</v>
      </c>
      <c r="U1376">
        <v>2</v>
      </c>
      <c r="V1376">
        <v>2</v>
      </c>
      <c r="W1376">
        <v>1</v>
      </c>
      <c r="X1376">
        <v>0</v>
      </c>
      <c r="Y1376">
        <v>0</v>
      </c>
      <c r="Z1376">
        <v>0</v>
      </c>
      <c r="AA1376">
        <v>0</v>
      </c>
      <c r="AB1376" s="1" t="s">
        <v>82</v>
      </c>
      <c r="AC1376" t="s">
        <v>56</v>
      </c>
      <c r="AD1376" t="s">
        <v>47</v>
      </c>
      <c r="AE1376" s="2">
        <v>17875</v>
      </c>
    </row>
    <row r="1377" spans="1:31" x14ac:dyDescent="0.35">
      <c r="A1377">
        <v>32</v>
      </c>
      <c r="B1377" s="1" t="s">
        <v>30</v>
      </c>
      <c r="C1377" s="1" t="s">
        <v>40</v>
      </c>
      <c r="D1377">
        <v>5</v>
      </c>
      <c r="E1377">
        <v>2</v>
      </c>
      <c r="F1377" s="1" t="s">
        <v>32</v>
      </c>
      <c r="G1377">
        <v>1</v>
      </c>
      <c r="H1377" s="1" t="s">
        <v>33</v>
      </c>
      <c r="I1377">
        <v>4</v>
      </c>
      <c r="J1377">
        <v>1</v>
      </c>
      <c r="K1377" s="1" t="s">
        <v>42</v>
      </c>
      <c r="L1377">
        <v>3</v>
      </c>
      <c r="M1377" s="1" t="s">
        <v>35</v>
      </c>
      <c r="N1377">
        <v>2432</v>
      </c>
      <c r="O1377">
        <v>3</v>
      </c>
      <c r="P1377" s="1" t="s">
        <v>30</v>
      </c>
      <c r="Q1377">
        <v>14</v>
      </c>
      <c r="R1377">
        <v>1</v>
      </c>
      <c r="S1377">
        <v>0</v>
      </c>
      <c r="T1377">
        <v>8</v>
      </c>
      <c r="U1377">
        <v>2</v>
      </c>
      <c r="V1377">
        <v>3</v>
      </c>
      <c r="W1377">
        <v>4</v>
      </c>
      <c r="X1377">
        <v>1</v>
      </c>
      <c r="Y1377">
        <v>0</v>
      </c>
      <c r="Z1377">
        <v>3</v>
      </c>
      <c r="AA1377">
        <v>1</v>
      </c>
      <c r="AB1377" s="1" t="s">
        <v>48</v>
      </c>
      <c r="AC1377" t="s">
        <v>46</v>
      </c>
      <c r="AD1377" t="s">
        <v>53</v>
      </c>
      <c r="AE1377" s="2">
        <v>608</v>
      </c>
    </row>
    <row r="1378" spans="1:31" x14ac:dyDescent="0.35">
      <c r="A1378">
        <v>38</v>
      </c>
      <c r="B1378" s="1" t="s">
        <v>39</v>
      </c>
      <c r="C1378" s="1" t="s">
        <v>40</v>
      </c>
      <c r="D1378">
        <v>9</v>
      </c>
      <c r="E1378">
        <v>2</v>
      </c>
      <c r="F1378" s="1" t="s">
        <v>32</v>
      </c>
      <c r="G1378">
        <v>2</v>
      </c>
      <c r="H1378" s="1" t="s">
        <v>41</v>
      </c>
      <c r="I1378">
        <v>3</v>
      </c>
      <c r="J1378">
        <v>1</v>
      </c>
      <c r="K1378" s="1" t="s">
        <v>42</v>
      </c>
      <c r="L1378">
        <v>4</v>
      </c>
      <c r="M1378" s="1" t="s">
        <v>50</v>
      </c>
      <c r="N1378">
        <v>4771</v>
      </c>
      <c r="O1378">
        <v>2</v>
      </c>
      <c r="P1378" s="1" t="s">
        <v>39</v>
      </c>
      <c r="Q1378">
        <v>19</v>
      </c>
      <c r="R1378">
        <v>4</v>
      </c>
      <c r="S1378">
        <v>2</v>
      </c>
      <c r="T1378">
        <v>10</v>
      </c>
      <c r="U1378">
        <v>0</v>
      </c>
      <c r="V1378">
        <v>4</v>
      </c>
      <c r="W1378">
        <v>5</v>
      </c>
      <c r="X1378">
        <v>2</v>
      </c>
      <c r="Y1378">
        <v>0</v>
      </c>
      <c r="Z1378">
        <v>3</v>
      </c>
      <c r="AA1378">
        <v>0</v>
      </c>
      <c r="AB1378" s="1" t="s">
        <v>36</v>
      </c>
      <c r="AC1378" t="s">
        <v>37</v>
      </c>
      <c r="AD1378" t="s">
        <v>53</v>
      </c>
      <c r="AE1378" s="2">
        <v>954.2</v>
      </c>
    </row>
    <row r="1379" spans="1:31" x14ac:dyDescent="0.35">
      <c r="A1379">
        <v>49</v>
      </c>
      <c r="B1379" s="1" t="s">
        <v>39</v>
      </c>
      <c r="C1379" s="1" t="s">
        <v>40</v>
      </c>
      <c r="D1379">
        <v>2</v>
      </c>
      <c r="E1379">
        <v>1</v>
      </c>
      <c r="F1379" s="1" t="s">
        <v>32</v>
      </c>
      <c r="G1379">
        <v>2</v>
      </c>
      <c r="H1379" s="1" t="s">
        <v>41</v>
      </c>
      <c r="I1379">
        <v>3</v>
      </c>
      <c r="J1379">
        <v>5</v>
      </c>
      <c r="K1379" s="1" t="s">
        <v>59</v>
      </c>
      <c r="L1379">
        <v>4</v>
      </c>
      <c r="M1379" s="1" t="s">
        <v>43</v>
      </c>
      <c r="N1379">
        <v>19161</v>
      </c>
      <c r="O1379">
        <v>3</v>
      </c>
      <c r="P1379" s="1" t="s">
        <v>39</v>
      </c>
      <c r="Q1379">
        <v>15</v>
      </c>
      <c r="R1379">
        <v>4</v>
      </c>
      <c r="S1379">
        <v>0</v>
      </c>
      <c r="T1379">
        <v>28</v>
      </c>
      <c r="U1379">
        <v>3</v>
      </c>
      <c r="V1379">
        <v>3</v>
      </c>
      <c r="W1379">
        <v>5</v>
      </c>
      <c r="X1379">
        <v>4</v>
      </c>
      <c r="Y1379">
        <v>4</v>
      </c>
      <c r="Z1379">
        <v>3</v>
      </c>
      <c r="AA1379">
        <v>0</v>
      </c>
      <c r="AB1379" s="1" t="s">
        <v>82</v>
      </c>
      <c r="AC1379" t="s">
        <v>56</v>
      </c>
      <c r="AD1379" t="s">
        <v>53</v>
      </c>
      <c r="AE1379" s="2">
        <v>3832.2</v>
      </c>
    </row>
    <row r="1380" spans="1:31" x14ac:dyDescent="0.35">
      <c r="A1380">
        <v>42</v>
      </c>
      <c r="B1380" s="1" t="s">
        <v>39</v>
      </c>
      <c r="C1380" s="1" t="s">
        <v>31</v>
      </c>
      <c r="D1380">
        <v>12</v>
      </c>
      <c r="E1380">
        <v>4</v>
      </c>
      <c r="F1380" s="1" t="s">
        <v>60</v>
      </c>
      <c r="G1380">
        <v>2</v>
      </c>
      <c r="H1380" s="1" t="s">
        <v>41</v>
      </c>
      <c r="I1380">
        <v>3</v>
      </c>
      <c r="J1380">
        <v>2</v>
      </c>
      <c r="K1380" s="1" t="s">
        <v>34</v>
      </c>
      <c r="L1380">
        <v>4</v>
      </c>
      <c r="M1380" s="1" t="s">
        <v>50</v>
      </c>
      <c r="N1380">
        <v>5087</v>
      </c>
      <c r="O1380">
        <v>3</v>
      </c>
      <c r="P1380" s="1" t="s">
        <v>30</v>
      </c>
      <c r="Q1380">
        <v>12</v>
      </c>
      <c r="R1380">
        <v>3</v>
      </c>
      <c r="S1380">
        <v>2</v>
      </c>
      <c r="T1380">
        <v>14</v>
      </c>
      <c r="U1380">
        <v>4</v>
      </c>
      <c r="V1380">
        <v>3</v>
      </c>
      <c r="W1380">
        <v>0</v>
      </c>
      <c r="X1380">
        <v>0</v>
      </c>
      <c r="Y1380">
        <v>0</v>
      </c>
      <c r="Z1380">
        <v>0</v>
      </c>
      <c r="AA1380">
        <v>0</v>
      </c>
      <c r="AB1380" s="1" t="s">
        <v>36</v>
      </c>
      <c r="AC1380" t="s">
        <v>37</v>
      </c>
      <c r="AD1380" t="s">
        <v>47</v>
      </c>
      <c r="AE1380" s="2">
        <v>5087</v>
      </c>
    </row>
    <row r="1381" spans="1:31" x14ac:dyDescent="0.35">
      <c r="A1381">
        <v>27</v>
      </c>
      <c r="B1381" s="1" t="s">
        <v>30</v>
      </c>
      <c r="C1381" s="1" t="s">
        <v>62</v>
      </c>
      <c r="D1381">
        <v>22</v>
      </c>
      <c r="E1381">
        <v>3</v>
      </c>
      <c r="F1381" s="1" t="s">
        <v>62</v>
      </c>
      <c r="G1381">
        <v>1</v>
      </c>
      <c r="H1381" s="1" t="s">
        <v>33</v>
      </c>
      <c r="I1381">
        <v>2</v>
      </c>
      <c r="J1381">
        <v>1</v>
      </c>
      <c r="K1381" s="1" t="s">
        <v>62</v>
      </c>
      <c r="L1381">
        <v>2</v>
      </c>
      <c r="M1381" s="1" t="s">
        <v>43</v>
      </c>
      <c r="N1381">
        <v>2863</v>
      </c>
      <c r="O1381">
        <v>1</v>
      </c>
      <c r="P1381" s="1" t="s">
        <v>39</v>
      </c>
      <c r="Q1381">
        <v>12</v>
      </c>
      <c r="R1381">
        <v>1</v>
      </c>
      <c r="S1381">
        <v>0</v>
      </c>
      <c r="T1381">
        <v>1</v>
      </c>
      <c r="U1381">
        <v>2</v>
      </c>
      <c r="V1381">
        <v>3</v>
      </c>
      <c r="W1381">
        <v>1</v>
      </c>
      <c r="X1381">
        <v>0</v>
      </c>
      <c r="Y1381">
        <v>0</v>
      </c>
      <c r="Z1381">
        <v>0</v>
      </c>
      <c r="AA1381">
        <v>1</v>
      </c>
      <c r="AB1381" s="1" t="s">
        <v>48</v>
      </c>
      <c r="AC1381" t="s">
        <v>46</v>
      </c>
      <c r="AD1381" t="s">
        <v>47</v>
      </c>
      <c r="AE1381" s="2">
        <v>2863</v>
      </c>
    </row>
    <row r="1382" spans="1:31" x14ac:dyDescent="0.35">
      <c r="A1382">
        <v>35</v>
      </c>
      <c r="B1382" s="1" t="s">
        <v>39</v>
      </c>
      <c r="C1382" s="1" t="s">
        <v>31</v>
      </c>
      <c r="D1382">
        <v>18</v>
      </c>
      <c r="E1382">
        <v>4</v>
      </c>
      <c r="F1382" s="1" t="s">
        <v>49</v>
      </c>
      <c r="G1382">
        <v>2</v>
      </c>
      <c r="H1382" s="1" t="s">
        <v>41</v>
      </c>
      <c r="I1382">
        <v>3</v>
      </c>
      <c r="J1382">
        <v>2</v>
      </c>
      <c r="K1382" s="1" t="s">
        <v>34</v>
      </c>
      <c r="L1382">
        <v>1</v>
      </c>
      <c r="M1382" s="1" t="s">
        <v>43</v>
      </c>
      <c r="N1382">
        <v>5561</v>
      </c>
      <c r="O1382">
        <v>0</v>
      </c>
      <c r="P1382" s="1" t="s">
        <v>39</v>
      </c>
      <c r="Q1382">
        <v>16</v>
      </c>
      <c r="R1382">
        <v>4</v>
      </c>
      <c r="S1382">
        <v>1</v>
      </c>
      <c r="T1382">
        <v>6</v>
      </c>
      <c r="U1382">
        <v>2</v>
      </c>
      <c r="V1382">
        <v>1</v>
      </c>
      <c r="W1382">
        <v>5</v>
      </c>
      <c r="X1382">
        <v>3</v>
      </c>
      <c r="Y1382">
        <v>0</v>
      </c>
      <c r="Z1382">
        <v>4</v>
      </c>
      <c r="AA1382">
        <v>0</v>
      </c>
      <c r="AB1382" s="1" t="s">
        <v>48</v>
      </c>
      <c r="AC1382" t="s">
        <v>37</v>
      </c>
      <c r="AD1382" t="s">
        <v>53</v>
      </c>
      <c r="AE1382" s="2">
        <v>1112.2</v>
      </c>
    </row>
    <row r="1383" spans="1:31" x14ac:dyDescent="0.35">
      <c r="A1383">
        <v>28</v>
      </c>
      <c r="B1383" s="1" t="s">
        <v>39</v>
      </c>
      <c r="C1383" s="1" t="s">
        <v>40</v>
      </c>
      <c r="D1383">
        <v>16</v>
      </c>
      <c r="E1383">
        <v>3</v>
      </c>
      <c r="F1383" s="1" t="s">
        <v>49</v>
      </c>
      <c r="G1383">
        <v>3</v>
      </c>
      <c r="H1383" s="1" t="s">
        <v>41</v>
      </c>
      <c r="I1383">
        <v>3</v>
      </c>
      <c r="J1383">
        <v>1</v>
      </c>
      <c r="K1383" s="1" t="s">
        <v>42</v>
      </c>
      <c r="L1383">
        <v>3</v>
      </c>
      <c r="M1383" s="1" t="s">
        <v>35</v>
      </c>
      <c r="N1383">
        <v>2144</v>
      </c>
      <c r="O1383">
        <v>1</v>
      </c>
      <c r="P1383" s="1" t="s">
        <v>39</v>
      </c>
      <c r="Q1383">
        <v>14</v>
      </c>
      <c r="R1383">
        <v>3</v>
      </c>
      <c r="S1383">
        <v>0</v>
      </c>
      <c r="T1383">
        <v>5</v>
      </c>
      <c r="U1383">
        <v>3</v>
      </c>
      <c r="V1383">
        <v>2</v>
      </c>
      <c r="W1383">
        <v>5</v>
      </c>
      <c r="X1383">
        <v>3</v>
      </c>
      <c r="Y1383">
        <v>1</v>
      </c>
      <c r="Z1383">
        <v>4</v>
      </c>
      <c r="AA1383">
        <v>0</v>
      </c>
      <c r="AB1383" s="1" t="s">
        <v>48</v>
      </c>
      <c r="AC1383" t="s">
        <v>46</v>
      </c>
      <c r="AD1383" t="s">
        <v>53</v>
      </c>
      <c r="AE1383" s="2">
        <v>428.8</v>
      </c>
    </row>
    <row r="1384" spans="1:31" x14ac:dyDescent="0.35">
      <c r="A1384">
        <v>31</v>
      </c>
      <c r="B1384" s="1" t="s">
        <v>39</v>
      </c>
      <c r="C1384" s="1" t="s">
        <v>40</v>
      </c>
      <c r="D1384">
        <v>3</v>
      </c>
      <c r="E1384">
        <v>2</v>
      </c>
      <c r="F1384" s="1" t="s">
        <v>49</v>
      </c>
      <c r="G1384">
        <v>3</v>
      </c>
      <c r="H1384" s="1" t="s">
        <v>41</v>
      </c>
      <c r="I1384">
        <v>3</v>
      </c>
      <c r="J1384">
        <v>1</v>
      </c>
      <c r="K1384" s="1" t="s">
        <v>42</v>
      </c>
      <c r="L1384">
        <v>1</v>
      </c>
      <c r="M1384" s="1" t="s">
        <v>50</v>
      </c>
      <c r="N1384">
        <v>3065</v>
      </c>
      <c r="O1384">
        <v>1</v>
      </c>
      <c r="P1384" s="1" t="s">
        <v>30</v>
      </c>
      <c r="Q1384">
        <v>13</v>
      </c>
      <c r="R1384">
        <v>4</v>
      </c>
      <c r="S1384">
        <v>1</v>
      </c>
      <c r="T1384">
        <v>4</v>
      </c>
      <c r="U1384">
        <v>3</v>
      </c>
      <c r="V1384">
        <v>4</v>
      </c>
      <c r="W1384">
        <v>4</v>
      </c>
      <c r="X1384">
        <v>2</v>
      </c>
      <c r="Y1384">
        <v>2</v>
      </c>
      <c r="Z1384">
        <v>3</v>
      </c>
      <c r="AA1384">
        <v>0</v>
      </c>
      <c r="AB1384" s="1" t="s">
        <v>48</v>
      </c>
      <c r="AC1384" t="s">
        <v>46</v>
      </c>
      <c r="AD1384" t="s">
        <v>53</v>
      </c>
      <c r="AE1384" s="2">
        <v>766.25</v>
      </c>
    </row>
    <row r="1385" spans="1:31" x14ac:dyDescent="0.35">
      <c r="A1385">
        <v>36</v>
      </c>
      <c r="B1385" s="1" t="s">
        <v>39</v>
      </c>
      <c r="C1385" s="1" t="s">
        <v>40</v>
      </c>
      <c r="D1385">
        <v>9</v>
      </c>
      <c r="E1385">
        <v>4</v>
      </c>
      <c r="F1385" s="1" t="s">
        <v>32</v>
      </c>
      <c r="G1385">
        <v>1</v>
      </c>
      <c r="H1385" s="1" t="s">
        <v>41</v>
      </c>
      <c r="I1385">
        <v>4</v>
      </c>
      <c r="J1385">
        <v>1</v>
      </c>
      <c r="K1385" s="1" t="s">
        <v>45</v>
      </c>
      <c r="L1385">
        <v>2</v>
      </c>
      <c r="M1385" s="1" t="s">
        <v>43</v>
      </c>
      <c r="N1385">
        <v>2810</v>
      </c>
      <c r="O1385">
        <v>1</v>
      </c>
      <c r="P1385" s="1" t="s">
        <v>39</v>
      </c>
      <c r="Q1385">
        <v>22</v>
      </c>
      <c r="R1385">
        <v>2</v>
      </c>
      <c r="S1385">
        <v>0</v>
      </c>
      <c r="T1385">
        <v>5</v>
      </c>
      <c r="U1385">
        <v>3</v>
      </c>
      <c r="V1385">
        <v>3</v>
      </c>
      <c r="W1385">
        <v>5</v>
      </c>
      <c r="X1385">
        <v>4</v>
      </c>
      <c r="Y1385">
        <v>0</v>
      </c>
      <c r="Z1385">
        <v>2</v>
      </c>
      <c r="AA1385">
        <v>0</v>
      </c>
      <c r="AB1385" s="1" t="s">
        <v>36</v>
      </c>
      <c r="AC1385" t="s">
        <v>46</v>
      </c>
      <c r="AD1385" t="s">
        <v>53</v>
      </c>
      <c r="AE1385" s="2">
        <v>562</v>
      </c>
    </row>
    <row r="1386" spans="1:31" x14ac:dyDescent="0.35">
      <c r="A1386">
        <v>34</v>
      </c>
      <c r="B1386" s="1" t="s">
        <v>39</v>
      </c>
      <c r="C1386" s="1" t="s">
        <v>31</v>
      </c>
      <c r="D1386">
        <v>1</v>
      </c>
      <c r="E1386">
        <v>3</v>
      </c>
      <c r="F1386" s="1" t="s">
        <v>60</v>
      </c>
      <c r="G1386">
        <v>1</v>
      </c>
      <c r="H1386" s="1" t="s">
        <v>41</v>
      </c>
      <c r="I1386">
        <v>3</v>
      </c>
      <c r="J1386">
        <v>3</v>
      </c>
      <c r="K1386" s="1" t="s">
        <v>34</v>
      </c>
      <c r="L1386">
        <v>4</v>
      </c>
      <c r="M1386" s="1" t="s">
        <v>35</v>
      </c>
      <c r="N1386">
        <v>9888</v>
      </c>
      <c r="O1386">
        <v>1</v>
      </c>
      <c r="P1386" s="1" t="s">
        <v>39</v>
      </c>
      <c r="Q1386">
        <v>21</v>
      </c>
      <c r="R1386">
        <v>1</v>
      </c>
      <c r="S1386">
        <v>0</v>
      </c>
      <c r="T1386">
        <v>14</v>
      </c>
      <c r="U1386">
        <v>3</v>
      </c>
      <c r="V1386">
        <v>2</v>
      </c>
      <c r="W1386">
        <v>14</v>
      </c>
      <c r="X1386">
        <v>8</v>
      </c>
      <c r="Y1386">
        <v>2</v>
      </c>
      <c r="Z1386">
        <v>1</v>
      </c>
      <c r="AA1386">
        <v>0</v>
      </c>
      <c r="AB1386" s="1" t="s">
        <v>48</v>
      </c>
      <c r="AC1386" t="s">
        <v>37</v>
      </c>
      <c r="AD1386" t="s">
        <v>57</v>
      </c>
      <c r="AE1386" s="2">
        <v>706.28571428571433</v>
      </c>
    </row>
    <row r="1387" spans="1:31" x14ac:dyDescent="0.35">
      <c r="A1387">
        <v>34</v>
      </c>
      <c r="B1387" s="1" t="s">
        <v>39</v>
      </c>
      <c r="C1387" s="1" t="s">
        <v>31</v>
      </c>
      <c r="D1387">
        <v>13</v>
      </c>
      <c r="E1387">
        <v>4</v>
      </c>
      <c r="F1387" s="1" t="s">
        <v>49</v>
      </c>
      <c r="G1387">
        <v>4</v>
      </c>
      <c r="H1387" s="1" t="s">
        <v>41</v>
      </c>
      <c r="I1387">
        <v>3</v>
      </c>
      <c r="J1387">
        <v>3</v>
      </c>
      <c r="K1387" s="1" t="s">
        <v>34</v>
      </c>
      <c r="L1387">
        <v>3</v>
      </c>
      <c r="M1387" s="1" t="s">
        <v>50</v>
      </c>
      <c r="N1387">
        <v>8628</v>
      </c>
      <c r="O1387">
        <v>1</v>
      </c>
      <c r="P1387" s="1" t="s">
        <v>39</v>
      </c>
      <c r="Q1387">
        <v>18</v>
      </c>
      <c r="R1387">
        <v>3</v>
      </c>
      <c r="S1387">
        <v>1</v>
      </c>
      <c r="T1387">
        <v>9</v>
      </c>
      <c r="U1387">
        <v>2</v>
      </c>
      <c r="V1387">
        <v>2</v>
      </c>
      <c r="W1387">
        <v>8</v>
      </c>
      <c r="X1387">
        <v>7</v>
      </c>
      <c r="Y1387">
        <v>1</v>
      </c>
      <c r="Z1387">
        <v>1</v>
      </c>
      <c r="AA1387">
        <v>0</v>
      </c>
      <c r="AB1387" s="1" t="s">
        <v>48</v>
      </c>
      <c r="AC1387" t="s">
        <v>37</v>
      </c>
      <c r="AD1387" t="s">
        <v>38</v>
      </c>
      <c r="AE1387" s="2">
        <v>1078.5</v>
      </c>
    </row>
    <row r="1388" spans="1:31" x14ac:dyDescent="0.35">
      <c r="A1388">
        <v>26</v>
      </c>
      <c r="B1388" s="1" t="s">
        <v>39</v>
      </c>
      <c r="C1388" s="1" t="s">
        <v>40</v>
      </c>
      <c r="D1388">
        <v>1</v>
      </c>
      <c r="E1388">
        <v>3</v>
      </c>
      <c r="F1388" s="1" t="s">
        <v>49</v>
      </c>
      <c r="G1388">
        <v>3</v>
      </c>
      <c r="H1388" s="1" t="s">
        <v>41</v>
      </c>
      <c r="I1388">
        <v>3</v>
      </c>
      <c r="J1388">
        <v>1</v>
      </c>
      <c r="K1388" s="1" t="s">
        <v>45</v>
      </c>
      <c r="L1388">
        <v>1</v>
      </c>
      <c r="M1388" s="1" t="s">
        <v>35</v>
      </c>
      <c r="N1388">
        <v>2867</v>
      </c>
      <c r="O1388">
        <v>0</v>
      </c>
      <c r="P1388" s="1" t="s">
        <v>39</v>
      </c>
      <c r="Q1388">
        <v>13</v>
      </c>
      <c r="R1388">
        <v>4</v>
      </c>
      <c r="S1388">
        <v>0</v>
      </c>
      <c r="T1388">
        <v>8</v>
      </c>
      <c r="U1388">
        <v>6</v>
      </c>
      <c r="V1388">
        <v>2</v>
      </c>
      <c r="W1388">
        <v>7</v>
      </c>
      <c r="X1388">
        <v>7</v>
      </c>
      <c r="Y1388">
        <v>7</v>
      </c>
      <c r="Z1388">
        <v>6</v>
      </c>
      <c r="AA1388">
        <v>0</v>
      </c>
      <c r="AB1388" s="1" t="s">
        <v>48</v>
      </c>
      <c r="AC1388" t="s">
        <v>46</v>
      </c>
      <c r="AD1388" t="s">
        <v>38</v>
      </c>
      <c r="AE1388" s="2">
        <v>409.57142857142856</v>
      </c>
    </row>
    <row r="1389" spans="1:31" x14ac:dyDescent="0.35">
      <c r="A1389">
        <v>29</v>
      </c>
      <c r="B1389" s="1" t="s">
        <v>39</v>
      </c>
      <c r="C1389" s="1" t="s">
        <v>40</v>
      </c>
      <c r="D1389">
        <v>1</v>
      </c>
      <c r="E1389">
        <v>3</v>
      </c>
      <c r="F1389" s="1" t="s">
        <v>32</v>
      </c>
      <c r="G1389">
        <v>1</v>
      </c>
      <c r="H1389" s="1" t="s">
        <v>41</v>
      </c>
      <c r="I1389">
        <v>3</v>
      </c>
      <c r="J1389">
        <v>2</v>
      </c>
      <c r="K1389" s="1" t="s">
        <v>52</v>
      </c>
      <c r="L1389">
        <v>1</v>
      </c>
      <c r="M1389" s="1" t="s">
        <v>43</v>
      </c>
      <c r="N1389">
        <v>5373</v>
      </c>
      <c r="O1389">
        <v>0</v>
      </c>
      <c r="P1389" s="1" t="s">
        <v>39</v>
      </c>
      <c r="Q1389">
        <v>12</v>
      </c>
      <c r="R1389">
        <v>1</v>
      </c>
      <c r="S1389">
        <v>1</v>
      </c>
      <c r="T1389">
        <v>6</v>
      </c>
      <c r="U1389">
        <v>5</v>
      </c>
      <c r="V1389">
        <v>2</v>
      </c>
      <c r="W1389">
        <v>5</v>
      </c>
      <c r="X1389">
        <v>3</v>
      </c>
      <c r="Y1389">
        <v>0</v>
      </c>
      <c r="Z1389">
        <v>2</v>
      </c>
      <c r="AA1389">
        <v>0</v>
      </c>
      <c r="AB1389" s="1" t="s">
        <v>48</v>
      </c>
      <c r="AC1389" t="s">
        <v>37</v>
      </c>
      <c r="AD1389" t="s">
        <v>53</v>
      </c>
      <c r="AE1389" s="2">
        <v>1074.5999999999999</v>
      </c>
    </row>
    <row r="1390" spans="1:31" x14ac:dyDescent="0.35">
      <c r="A1390">
        <v>32</v>
      </c>
      <c r="B1390" s="1" t="s">
        <v>39</v>
      </c>
      <c r="C1390" s="1" t="s">
        <v>40</v>
      </c>
      <c r="D1390">
        <v>15</v>
      </c>
      <c r="E1390">
        <v>4</v>
      </c>
      <c r="F1390" s="1" t="s">
        <v>49</v>
      </c>
      <c r="G1390">
        <v>3</v>
      </c>
      <c r="H1390" s="1" t="s">
        <v>33</v>
      </c>
      <c r="I1390">
        <v>3</v>
      </c>
      <c r="J1390">
        <v>2</v>
      </c>
      <c r="K1390" s="1" t="s">
        <v>52</v>
      </c>
      <c r="L1390">
        <v>4</v>
      </c>
      <c r="M1390" s="1" t="s">
        <v>50</v>
      </c>
      <c r="N1390">
        <v>6667</v>
      </c>
      <c r="O1390">
        <v>5</v>
      </c>
      <c r="P1390" s="1" t="s">
        <v>39</v>
      </c>
      <c r="Q1390">
        <v>18</v>
      </c>
      <c r="R1390">
        <v>2</v>
      </c>
      <c r="S1390">
        <v>1</v>
      </c>
      <c r="T1390">
        <v>9</v>
      </c>
      <c r="U1390">
        <v>6</v>
      </c>
      <c r="V1390">
        <v>3</v>
      </c>
      <c r="W1390">
        <v>5</v>
      </c>
      <c r="X1390">
        <v>1</v>
      </c>
      <c r="Y1390">
        <v>1</v>
      </c>
      <c r="Z1390">
        <v>2</v>
      </c>
      <c r="AA1390">
        <v>0</v>
      </c>
      <c r="AB1390" s="1" t="s">
        <v>48</v>
      </c>
      <c r="AC1390" t="s">
        <v>37</v>
      </c>
      <c r="AD1390" t="s">
        <v>53</v>
      </c>
      <c r="AE1390" s="2">
        <v>1333.4</v>
      </c>
    </row>
    <row r="1391" spans="1:31" x14ac:dyDescent="0.35">
      <c r="A1391">
        <v>31</v>
      </c>
      <c r="B1391" s="1" t="s">
        <v>39</v>
      </c>
      <c r="C1391" s="1" t="s">
        <v>40</v>
      </c>
      <c r="D1391">
        <v>1</v>
      </c>
      <c r="E1391">
        <v>3</v>
      </c>
      <c r="F1391" s="1" t="s">
        <v>32</v>
      </c>
      <c r="G1391">
        <v>4</v>
      </c>
      <c r="H1391" s="1" t="s">
        <v>41</v>
      </c>
      <c r="I1391">
        <v>1</v>
      </c>
      <c r="J1391">
        <v>2</v>
      </c>
      <c r="K1391" s="1" t="s">
        <v>42</v>
      </c>
      <c r="L1391">
        <v>1</v>
      </c>
      <c r="M1391" s="1" t="s">
        <v>43</v>
      </c>
      <c r="N1391">
        <v>5003</v>
      </c>
      <c r="O1391">
        <v>1</v>
      </c>
      <c r="P1391" s="1" t="s">
        <v>39</v>
      </c>
      <c r="Q1391">
        <v>21</v>
      </c>
      <c r="R1391">
        <v>2</v>
      </c>
      <c r="S1391">
        <v>0</v>
      </c>
      <c r="T1391">
        <v>10</v>
      </c>
      <c r="U1391">
        <v>6</v>
      </c>
      <c r="V1391">
        <v>3</v>
      </c>
      <c r="W1391">
        <v>10</v>
      </c>
      <c r="X1391">
        <v>8</v>
      </c>
      <c r="Y1391">
        <v>8</v>
      </c>
      <c r="Z1391">
        <v>7</v>
      </c>
      <c r="AA1391">
        <v>0</v>
      </c>
      <c r="AB1391" s="1" t="s">
        <v>48</v>
      </c>
      <c r="AC1391" t="s">
        <v>37</v>
      </c>
      <c r="AD1391" t="s">
        <v>38</v>
      </c>
      <c r="AE1391" s="2">
        <v>500.3</v>
      </c>
    </row>
    <row r="1392" spans="1:31" x14ac:dyDescent="0.35">
      <c r="A1392">
        <v>28</v>
      </c>
      <c r="B1392" s="1" t="s">
        <v>30</v>
      </c>
      <c r="C1392" s="1" t="s">
        <v>40</v>
      </c>
      <c r="D1392">
        <v>17</v>
      </c>
      <c r="E1392">
        <v>3</v>
      </c>
      <c r="F1392" s="1" t="s">
        <v>61</v>
      </c>
      <c r="G1392">
        <v>3</v>
      </c>
      <c r="H1392" s="1" t="s">
        <v>41</v>
      </c>
      <c r="I1392">
        <v>2</v>
      </c>
      <c r="J1392">
        <v>1</v>
      </c>
      <c r="K1392" s="1" t="s">
        <v>45</v>
      </c>
      <c r="L1392">
        <v>4</v>
      </c>
      <c r="M1392" s="1" t="s">
        <v>50</v>
      </c>
      <c r="N1392">
        <v>2367</v>
      </c>
      <c r="O1392">
        <v>5</v>
      </c>
      <c r="P1392" s="1" t="s">
        <v>39</v>
      </c>
      <c r="Q1392">
        <v>12</v>
      </c>
      <c r="R1392">
        <v>1</v>
      </c>
      <c r="S1392">
        <v>1</v>
      </c>
      <c r="T1392">
        <v>6</v>
      </c>
      <c r="U1392">
        <v>2</v>
      </c>
      <c r="V1392">
        <v>2</v>
      </c>
      <c r="W1392">
        <v>4</v>
      </c>
      <c r="X1392">
        <v>1</v>
      </c>
      <c r="Y1392">
        <v>0</v>
      </c>
      <c r="Z1392">
        <v>3</v>
      </c>
      <c r="AA1392">
        <v>1</v>
      </c>
      <c r="AB1392" s="1" t="s">
        <v>48</v>
      </c>
      <c r="AC1392" t="s">
        <v>46</v>
      </c>
      <c r="AD1392" t="s">
        <v>53</v>
      </c>
      <c r="AE1392" s="2">
        <v>591.75</v>
      </c>
    </row>
    <row r="1393" spans="1:31" x14ac:dyDescent="0.35">
      <c r="A1393">
        <v>38</v>
      </c>
      <c r="B1393" s="1" t="s">
        <v>39</v>
      </c>
      <c r="C1393" s="1" t="s">
        <v>31</v>
      </c>
      <c r="D1393">
        <v>1</v>
      </c>
      <c r="E1393">
        <v>3</v>
      </c>
      <c r="F1393" s="1" t="s">
        <v>32</v>
      </c>
      <c r="G1393">
        <v>1</v>
      </c>
      <c r="H1393" s="1" t="s">
        <v>41</v>
      </c>
      <c r="I1393">
        <v>2</v>
      </c>
      <c r="J1393">
        <v>1</v>
      </c>
      <c r="K1393" s="1" t="s">
        <v>58</v>
      </c>
      <c r="L1393">
        <v>1</v>
      </c>
      <c r="M1393" s="1" t="s">
        <v>35</v>
      </c>
      <c r="N1393">
        <v>2858</v>
      </c>
      <c r="O1393">
        <v>4</v>
      </c>
      <c r="P1393" s="1" t="s">
        <v>39</v>
      </c>
      <c r="Q1393">
        <v>14</v>
      </c>
      <c r="R1393">
        <v>1</v>
      </c>
      <c r="S1393">
        <v>0</v>
      </c>
      <c r="T1393">
        <v>20</v>
      </c>
      <c r="U1393">
        <v>3</v>
      </c>
      <c r="V1393">
        <v>2</v>
      </c>
      <c r="W1393">
        <v>1</v>
      </c>
      <c r="X1393">
        <v>0</v>
      </c>
      <c r="Y1393">
        <v>0</v>
      </c>
      <c r="Z1393">
        <v>0</v>
      </c>
      <c r="AA1393">
        <v>0</v>
      </c>
      <c r="AB1393" s="1" t="s">
        <v>36</v>
      </c>
      <c r="AC1393" t="s">
        <v>46</v>
      </c>
      <c r="AD1393" t="s">
        <v>47</v>
      </c>
      <c r="AE1393" s="2">
        <v>2858</v>
      </c>
    </row>
    <row r="1394" spans="1:31" x14ac:dyDescent="0.35">
      <c r="A1394">
        <v>35</v>
      </c>
      <c r="B1394" s="1" t="s">
        <v>39</v>
      </c>
      <c r="C1394" s="1" t="s">
        <v>31</v>
      </c>
      <c r="D1394">
        <v>7</v>
      </c>
      <c r="E1394">
        <v>4</v>
      </c>
      <c r="F1394" s="1" t="s">
        <v>32</v>
      </c>
      <c r="G1394">
        <v>3</v>
      </c>
      <c r="H1394" s="1" t="s">
        <v>33</v>
      </c>
      <c r="I1394">
        <v>3</v>
      </c>
      <c r="J1394">
        <v>2</v>
      </c>
      <c r="K1394" s="1" t="s">
        <v>34</v>
      </c>
      <c r="L1394">
        <v>4</v>
      </c>
      <c r="M1394" s="1" t="s">
        <v>43</v>
      </c>
      <c r="N1394">
        <v>5204</v>
      </c>
      <c r="O1394">
        <v>1</v>
      </c>
      <c r="P1394" s="1" t="s">
        <v>30</v>
      </c>
      <c r="Q1394">
        <v>11</v>
      </c>
      <c r="R1394">
        <v>4</v>
      </c>
      <c r="S1394">
        <v>0</v>
      </c>
      <c r="T1394">
        <v>10</v>
      </c>
      <c r="U1394">
        <v>2</v>
      </c>
      <c r="V1394">
        <v>3</v>
      </c>
      <c r="W1394">
        <v>10</v>
      </c>
      <c r="X1394">
        <v>8</v>
      </c>
      <c r="Y1394">
        <v>0</v>
      </c>
      <c r="Z1394">
        <v>9</v>
      </c>
      <c r="AA1394">
        <v>0</v>
      </c>
      <c r="AB1394" s="1" t="s">
        <v>48</v>
      </c>
      <c r="AC1394" t="s">
        <v>37</v>
      </c>
      <c r="AD1394" t="s">
        <v>38</v>
      </c>
      <c r="AE1394" s="2">
        <v>520.4</v>
      </c>
    </row>
    <row r="1395" spans="1:31" x14ac:dyDescent="0.35">
      <c r="A1395">
        <v>27</v>
      </c>
      <c r="B1395" s="1" t="s">
        <v>39</v>
      </c>
      <c r="C1395" s="1" t="s">
        <v>31</v>
      </c>
      <c r="D1395">
        <v>9</v>
      </c>
      <c r="E1395">
        <v>3</v>
      </c>
      <c r="F1395" s="1" t="s">
        <v>60</v>
      </c>
      <c r="G1395">
        <v>4</v>
      </c>
      <c r="H1395" s="1" t="s">
        <v>41</v>
      </c>
      <c r="I1395">
        <v>3</v>
      </c>
      <c r="J1395">
        <v>2</v>
      </c>
      <c r="K1395" s="1" t="s">
        <v>34</v>
      </c>
      <c r="L1395">
        <v>4</v>
      </c>
      <c r="M1395" s="1" t="s">
        <v>35</v>
      </c>
      <c r="N1395">
        <v>4105</v>
      </c>
      <c r="O1395">
        <v>1</v>
      </c>
      <c r="P1395" s="1" t="s">
        <v>39</v>
      </c>
      <c r="Q1395">
        <v>14</v>
      </c>
      <c r="R1395">
        <v>1</v>
      </c>
      <c r="S1395">
        <v>0</v>
      </c>
      <c r="T1395">
        <v>7</v>
      </c>
      <c r="U1395">
        <v>5</v>
      </c>
      <c r="V1395">
        <v>3</v>
      </c>
      <c r="W1395">
        <v>7</v>
      </c>
      <c r="X1395">
        <v>7</v>
      </c>
      <c r="Y1395">
        <v>0</v>
      </c>
      <c r="Z1395">
        <v>7</v>
      </c>
      <c r="AA1395">
        <v>0</v>
      </c>
      <c r="AB1395" s="1" t="s">
        <v>48</v>
      </c>
      <c r="AC1395" t="s">
        <v>37</v>
      </c>
      <c r="AD1395" t="s">
        <v>38</v>
      </c>
      <c r="AE1395" s="2">
        <v>586.42857142857144</v>
      </c>
    </row>
    <row r="1396" spans="1:31" x14ac:dyDescent="0.35">
      <c r="A1396">
        <v>32</v>
      </c>
      <c r="B1396" s="1" t="s">
        <v>39</v>
      </c>
      <c r="C1396" s="1" t="s">
        <v>40</v>
      </c>
      <c r="D1396">
        <v>5</v>
      </c>
      <c r="E1396">
        <v>4</v>
      </c>
      <c r="F1396" s="1" t="s">
        <v>32</v>
      </c>
      <c r="G1396">
        <v>4</v>
      </c>
      <c r="H1396" s="1" t="s">
        <v>41</v>
      </c>
      <c r="I1396">
        <v>2</v>
      </c>
      <c r="J1396">
        <v>2</v>
      </c>
      <c r="K1396" s="1" t="s">
        <v>51</v>
      </c>
      <c r="L1396">
        <v>4</v>
      </c>
      <c r="M1396" s="1" t="s">
        <v>35</v>
      </c>
      <c r="N1396">
        <v>9679</v>
      </c>
      <c r="O1396">
        <v>8</v>
      </c>
      <c r="P1396" s="1" t="s">
        <v>39</v>
      </c>
      <c r="Q1396">
        <v>24</v>
      </c>
      <c r="R1396">
        <v>2</v>
      </c>
      <c r="S1396">
        <v>0</v>
      </c>
      <c r="T1396">
        <v>8</v>
      </c>
      <c r="U1396">
        <v>1</v>
      </c>
      <c r="V1396">
        <v>3</v>
      </c>
      <c r="W1396">
        <v>1</v>
      </c>
      <c r="X1396">
        <v>0</v>
      </c>
      <c r="Y1396">
        <v>0</v>
      </c>
      <c r="Z1396">
        <v>0</v>
      </c>
      <c r="AA1396">
        <v>0</v>
      </c>
      <c r="AB1396" s="1" t="s">
        <v>48</v>
      </c>
      <c r="AC1396" t="s">
        <v>37</v>
      </c>
      <c r="AD1396" t="s">
        <v>47</v>
      </c>
      <c r="AE1396" s="2">
        <v>9679</v>
      </c>
    </row>
    <row r="1397" spans="1:31" x14ac:dyDescent="0.35">
      <c r="A1397">
        <v>31</v>
      </c>
      <c r="B1397" s="1" t="s">
        <v>30</v>
      </c>
      <c r="C1397" s="1" t="s">
        <v>31</v>
      </c>
      <c r="D1397">
        <v>26</v>
      </c>
      <c r="E1397">
        <v>4</v>
      </c>
      <c r="F1397" s="1" t="s">
        <v>60</v>
      </c>
      <c r="G1397">
        <v>1</v>
      </c>
      <c r="H1397" s="1" t="s">
        <v>41</v>
      </c>
      <c r="I1397">
        <v>3</v>
      </c>
      <c r="J1397">
        <v>2</v>
      </c>
      <c r="K1397" s="1" t="s">
        <v>34</v>
      </c>
      <c r="L1397">
        <v>4</v>
      </c>
      <c r="M1397" s="1" t="s">
        <v>43</v>
      </c>
      <c r="N1397">
        <v>5617</v>
      </c>
      <c r="O1397">
        <v>1</v>
      </c>
      <c r="P1397" s="1" t="s">
        <v>30</v>
      </c>
      <c r="Q1397">
        <v>11</v>
      </c>
      <c r="R1397">
        <v>3</v>
      </c>
      <c r="S1397">
        <v>0</v>
      </c>
      <c r="T1397">
        <v>10</v>
      </c>
      <c r="U1397">
        <v>4</v>
      </c>
      <c r="V1397">
        <v>3</v>
      </c>
      <c r="W1397">
        <v>10</v>
      </c>
      <c r="X1397">
        <v>7</v>
      </c>
      <c r="Y1397">
        <v>0</v>
      </c>
      <c r="Z1397">
        <v>8</v>
      </c>
      <c r="AA1397">
        <v>1</v>
      </c>
      <c r="AB1397" s="1" t="s">
        <v>48</v>
      </c>
      <c r="AC1397" t="s">
        <v>37</v>
      </c>
      <c r="AD1397" t="s">
        <v>38</v>
      </c>
      <c r="AE1397" s="2">
        <v>561.70000000000005</v>
      </c>
    </row>
    <row r="1398" spans="1:31" x14ac:dyDescent="0.35">
      <c r="A1398">
        <v>53</v>
      </c>
      <c r="B1398" s="1" t="s">
        <v>30</v>
      </c>
      <c r="C1398" s="1" t="s">
        <v>31</v>
      </c>
      <c r="D1398">
        <v>24</v>
      </c>
      <c r="E1398">
        <v>4</v>
      </c>
      <c r="F1398" s="1" t="s">
        <v>32</v>
      </c>
      <c r="G1398">
        <v>1</v>
      </c>
      <c r="H1398" s="1" t="s">
        <v>41</v>
      </c>
      <c r="I1398">
        <v>3</v>
      </c>
      <c r="J1398">
        <v>3</v>
      </c>
      <c r="K1398" s="1" t="s">
        <v>34</v>
      </c>
      <c r="L1398">
        <v>1</v>
      </c>
      <c r="M1398" s="1" t="s">
        <v>35</v>
      </c>
      <c r="N1398">
        <v>10448</v>
      </c>
      <c r="O1398">
        <v>6</v>
      </c>
      <c r="P1398" s="1" t="s">
        <v>30</v>
      </c>
      <c r="Q1398">
        <v>13</v>
      </c>
      <c r="R1398">
        <v>2</v>
      </c>
      <c r="S1398">
        <v>0</v>
      </c>
      <c r="T1398">
        <v>15</v>
      </c>
      <c r="U1398">
        <v>2</v>
      </c>
      <c r="V1398">
        <v>2</v>
      </c>
      <c r="W1398">
        <v>2</v>
      </c>
      <c r="X1398">
        <v>2</v>
      </c>
      <c r="Y1398">
        <v>2</v>
      </c>
      <c r="Z1398">
        <v>2</v>
      </c>
      <c r="AA1398">
        <v>1</v>
      </c>
      <c r="AB1398" s="1" t="s">
        <v>82</v>
      </c>
      <c r="AC1398" t="s">
        <v>56</v>
      </c>
      <c r="AD1398" t="s">
        <v>47</v>
      </c>
      <c r="AE1398" s="2">
        <v>5224</v>
      </c>
    </row>
    <row r="1399" spans="1:31" x14ac:dyDescent="0.35">
      <c r="A1399">
        <v>54</v>
      </c>
      <c r="B1399" s="1" t="s">
        <v>39</v>
      </c>
      <c r="C1399" s="1" t="s">
        <v>40</v>
      </c>
      <c r="D1399">
        <v>9</v>
      </c>
      <c r="E1399">
        <v>2</v>
      </c>
      <c r="F1399" s="1" t="s">
        <v>32</v>
      </c>
      <c r="G1399">
        <v>1</v>
      </c>
      <c r="H1399" s="1" t="s">
        <v>33</v>
      </c>
      <c r="I1399">
        <v>3</v>
      </c>
      <c r="J1399">
        <v>2</v>
      </c>
      <c r="K1399" s="1" t="s">
        <v>42</v>
      </c>
      <c r="L1399">
        <v>3</v>
      </c>
      <c r="M1399" s="1" t="s">
        <v>43</v>
      </c>
      <c r="N1399">
        <v>2897</v>
      </c>
      <c r="O1399">
        <v>3</v>
      </c>
      <c r="P1399" s="1" t="s">
        <v>39</v>
      </c>
      <c r="Q1399">
        <v>11</v>
      </c>
      <c r="R1399">
        <v>3</v>
      </c>
      <c r="S1399">
        <v>2</v>
      </c>
      <c r="T1399">
        <v>9</v>
      </c>
      <c r="U1399">
        <v>6</v>
      </c>
      <c r="V1399">
        <v>2</v>
      </c>
      <c r="W1399">
        <v>4</v>
      </c>
      <c r="X1399">
        <v>3</v>
      </c>
      <c r="Y1399">
        <v>2</v>
      </c>
      <c r="Z1399">
        <v>3</v>
      </c>
      <c r="AA1399">
        <v>0</v>
      </c>
      <c r="AB1399" s="1" t="s">
        <v>82</v>
      </c>
      <c r="AC1399" t="s">
        <v>46</v>
      </c>
      <c r="AD1399" t="s">
        <v>53</v>
      </c>
      <c r="AE1399" s="2">
        <v>724.25</v>
      </c>
    </row>
    <row r="1400" spans="1:31" x14ac:dyDescent="0.35">
      <c r="A1400">
        <v>33</v>
      </c>
      <c r="B1400" s="1" t="s">
        <v>39</v>
      </c>
      <c r="C1400" s="1" t="s">
        <v>40</v>
      </c>
      <c r="D1400">
        <v>7</v>
      </c>
      <c r="E1400">
        <v>2</v>
      </c>
      <c r="F1400" s="1" t="s">
        <v>32</v>
      </c>
      <c r="G1400">
        <v>4</v>
      </c>
      <c r="H1400" s="1" t="s">
        <v>41</v>
      </c>
      <c r="I1400">
        <v>3</v>
      </c>
      <c r="J1400">
        <v>2</v>
      </c>
      <c r="K1400" s="1" t="s">
        <v>52</v>
      </c>
      <c r="L1400">
        <v>3</v>
      </c>
      <c r="M1400" s="1" t="s">
        <v>50</v>
      </c>
      <c r="N1400">
        <v>5968</v>
      </c>
      <c r="O1400">
        <v>1</v>
      </c>
      <c r="P1400" s="1" t="s">
        <v>39</v>
      </c>
      <c r="Q1400">
        <v>20</v>
      </c>
      <c r="R1400">
        <v>3</v>
      </c>
      <c r="S1400">
        <v>3</v>
      </c>
      <c r="T1400">
        <v>9</v>
      </c>
      <c r="U1400">
        <v>2</v>
      </c>
      <c r="V1400">
        <v>3</v>
      </c>
      <c r="W1400">
        <v>9</v>
      </c>
      <c r="X1400">
        <v>7</v>
      </c>
      <c r="Y1400">
        <v>2</v>
      </c>
      <c r="Z1400">
        <v>8</v>
      </c>
      <c r="AA1400">
        <v>0</v>
      </c>
      <c r="AB1400" s="1" t="s">
        <v>48</v>
      </c>
      <c r="AC1400" t="s">
        <v>37</v>
      </c>
      <c r="AD1400" t="s">
        <v>38</v>
      </c>
      <c r="AE1400" s="2">
        <v>663.11111111111109</v>
      </c>
    </row>
    <row r="1401" spans="1:31" x14ac:dyDescent="0.35">
      <c r="A1401">
        <v>43</v>
      </c>
      <c r="B1401" s="1" t="s">
        <v>39</v>
      </c>
      <c r="C1401" s="1" t="s">
        <v>40</v>
      </c>
      <c r="D1401">
        <v>11</v>
      </c>
      <c r="E1401">
        <v>3</v>
      </c>
      <c r="F1401" s="1" t="s">
        <v>32</v>
      </c>
      <c r="G1401">
        <v>1</v>
      </c>
      <c r="H1401" s="1" t="s">
        <v>41</v>
      </c>
      <c r="I1401">
        <v>3</v>
      </c>
      <c r="J1401">
        <v>3</v>
      </c>
      <c r="K1401" s="1" t="s">
        <v>52</v>
      </c>
      <c r="L1401">
        <v>3</v>
      </c>
      <c r="M1401" s="1" t="s">
        <v>43</v>
      </c>
      <c r="N1401">
        <v>7510</v>
      </c>
      <c r="O1401">
        <v>1</v>
      </c>
      <c r="P1401" s="1" t="s">
        <v>39</v>
      </c>
      <c r="Q1401">
        <v>17</v>
      </c>
      <c r="R1401">
        <v>2</v>
      </c>
      <c r="S1401">
        <v>1</v>
      </c>
      <c r="T1401">
        <v>10</v>
      </c>
      <c r="U1401">
        <v>1</v>
      </c>
      <c r="V1401">
        <v>3</v>
      </c>
      <c r="W1401">
        <v>10</v>
      </c>
      <c r="X1401">
        <v>9</v>
      </c>
      <c r="Y1401">
        <v>0</v>
      </c>
      <c r="Z1401">
        <v>9</v>
      </c>
      <c r="AA1401">
        <v>0</v>
      </c>
      <c r="AB1401" s="1" t="s">
        <v>36</v>
      </c>
      <c r="AC1401" t="s">
        <v>37</v>
      </c>
      <c r="AD1401" t="s">
        <v>38</v>
      </c>
      <c r="AE1401" s="2">
        <v>751</v>
      </c>
    </row>
    <row r="1402" spans="1:31" x14ac:dyDescent="0.35">
      <c r="A1402">
        <v>38</v>
      </c>
      <c r="B1402" s="1" t="s">
        <v>39</v>
      </c>
      <c r="C1402" s="1" t="s">
        <v>62</v>
      </c>
      <c r="D1402">
        <v>1</v>
      </c>
      <c r="E1402">
        <v>4</v>
      </c>
      <c r="F1402" s="1" t="s">
        <v>44</v>
      </c>
      <c r="G1402">
        <v>4</v>
      </c>
      <c r="H1402" s="1" t="s">
        <v>41</v>
      </c>
      <c r="I1402">
        <v>3</v>
      </c>
      <c r="J1402">
        <v>1</v>
      </c>
      <c r="K1402" s="1" t="s">
        <v>62</v>
      </c>
      <c r="L1402">
        <v>2</v>
      </c>
      <c r="M1402" s="1" t="s">
        <v>43</v>
      </c>
      <c r="N1402">
        <v>2991</v>
      </c>
      <c r="O1402">
        <v>0</v>
      </c>
      <c r="P1402" s="1" t="s">
        <v>30</v>
      </c>
      <c r="Q1402">
        <v>11</v>
      </c>
      <c r="R1402">
        <v>2</v>
      </c>
      <c r="S1402">
        <v>1</v>
      </c>
      <c r="T1402">
        <v>7</v>
      </c>
      <c r="U1402">
        <v>2</v>
      </c>
      <c r="V1402">
        <v>3</v>
      </c>
      <c r="W1402">
        <v>6</v>
      </c>
      <c r="X1402">
        <v>2</v>
      </c>
      <c r="Y1402">
        <v>1</v>
      </c>
      <c r="Z1402">
        <v>2</v>
      </c>
      <c r="AA1402">
        <v>0</v>
      </c>
      <c r="AB1402" s="1" t="s">
        <v>36</v>
      </c>
      <c r="AC1402" t="s">
        <v>46</v>
      </c>
      <c r="AD1402" t="s">
        <v>38</v>
      </c>
      <c r="AE1402" s="2">
        <v>498.5</v>
      </c>
    </row>
    <row r="1403" spans="1:31" x14ac:dyDescent="0.35">
      <c r="A1403">
        <v>55</v>
      </c>
      <c r="B1403" s="1" t="s">
        <v>39</v>
      </c>
      <c r="C1403" s="1" t="s">
        <v>62</v>
      </c>
      <c r="D1403">
        <v>26</v>
      </c>
      <c r="E1403">
        <v>4</v>
      </c>
      <c r="F1403" s="1" t="s">
        <v>62</v>
      </c>
      <c r="G1403">
        <v>3</v>
      </c>
      <c r="H1403" s="1" t="s">
        <v>41</v>
      </c>
      <c r="I1403">
        <v>4</v>
      </c>
      <c r="J1403">
        <v>5</v>
      </c>
      <c r="K1403" s="1" t="s">
        <v>55</v>
      </c>
      <c r="L1403">
        <v>2</v>
      </c>
      <c r="M1403" s="1" t="s">
        <v>43</v>
      </c>
      <c r="N1403">
        <v>19636</v>
      </c>
      <c r="O1403">
        <v>4</v>
      </c>
      <c r="P1403" s="1" t="s">
        <v>30</v>
      </c>
      <c r="Q1403">
        <v>18</v>
      </c>
      <c r="R1403">
        <v>1</v>
      </c>
      <c r="S1403">
        <v>1</v>
      </c>
      <c r="T1403">
        <v>35</v>
      </c>
      <c r="U1403">
        <v>0</v>
      </c>
      <c r="V1403">
        <v>3</v>
      </c>
      <c r="W1403">
        <v>10</v>
      </c>
      <c r="X1403">
        <v>9</v>
      </c>
      <c r="Y1403">
        <v>1</v>
      </c>
      <c r="Z1403">
        <v>4</v>
      </c>
      <c r="AA1403">
        <v>0</v>
      </c>
      <c r="AB1403" s="1" t="s">
        <v>82</v>
      </c>
      <c r="AC1403" t="s">
        <v>56</v>
      </c>
      <c r="AD1403" t="s">
        <v>38</v>
      </c>
      <c r="AE1403" s="2">
        <v>1963.6</v>
      </c>
    </row>
    <row r="1404" spans="1:31" x14ac:dyDescent="0.35">
      <c r="A1404">
        <v>31</v>
      </c>
      <c r="B1404" s="1" t="s">
        <v>39</v>
      </c>
      <c r="C1404" s="1" t="s">
        <v>40</v>
      </c>
      <c r="D1404">
        <v>2</v>
      </c>
      <c r="E1404">
        <v>1</v>
      </c>
      <c r="F1404" s="1" t="s">
        <v>49</v>
      </c>
      <c r="G1404">
        <v>4</v>
      </c>
      <c r="H1404" s="1" t="s">
        <v>33</v>
      </c>
      <c r="I1404">
        <v>1</v>
      </c>
      <c r="J1404">
        <v>1</v>
      </c>
      <c r="K1404" s="1" t="s">
        <v>45</v>
      </c>
      <c r="L1404">
        <v>4</v>
      </c>
      <c r="M1404" s="1" t="s">
        <v>50</v>
      </c>
      <c r="N1404">
        <v>1129</v>
      </c>
      <c r="O1404">
        <v>1</v>
      </c>
      <c r="P1404" s="1" t="s">
        <v>30</v>
      </c>
      <c r="Q1404">
        <v>11</v>
      </c>
      <c r="R1404">
        <v>3</v>
      </c>
      <c r="S1404">
        <v>3</v>
      </c>
      <c r="T1404">
        <v>1</v>
      </c>
      <c r="U1404">
        <v>4</v>
      </c>
      <c r="V1404">
        <v>3</v>
      </c>
      <c r="W1404">
        <v>1</v>
      </c>
      <c r="X1404">
        <v>0</v>
      </c>
      <c r="Y1404">
        <v>0</v>
      </c>
      <c r="Z1404">
        <v>0</v>
      </c>
      <c r="AA1404">
        <v>0</v>
      </c>
      <c r="AB1404" s="1" t="s">
        <v>48</v>
      </c>
      <c r="AC1404" t="s">
        <v>46</v>
      </c>
      <c r="AD1404" t="s">
        <v>47</v>
      </c>
      <c r="AE1404" s="2">
        <v>1129</v>
      </c>
    </row>
    <row r="1405" spans="1:31" x14ac:dyDescent="0.35">
      <c r="A1405">
        <v>39</v>
      </c>
      <c r="B1405" s="1" t="s">
        <v>39</v>
      </c>
      <c r="C1405" s="1" t="s">
        <v>31</v>
      </c>
      <c r="D1405">
        <v>15</v>
      </c>
      <c r="E1405">
        <v>4</v>
      </c>
      <c r="F1405" s="1" t="s">
        <v>60</v>
      </c>
      <c r="G1405">
        <v>2</v>
      </c>
      <c r="H1405" s="1" t="s">
        <v>41</v>
      </c>
      <c r="I1405">
        <v>3</v>
      </c>
      <c r="J1405">
        <v>4</v>
      </c>
      <c r="K1405" s="1" t="s">
        <v>34</v>
      </c>
      <c r="L1405">
        <v>1</v>
      </c>
      <c r="M1405" s="1" t="s">
        <v>35</v>
      </c>
      <c r="N1405">
        <v>13341</v>
      </c>
      <c r="O1405">
        <v>0</v>
      </c>
      <c r="P1405" s="1" t="s">
        <v>39</v>
      </c>
      <c r="Q1405">
        <v>12</v>
      </c>
      <c r="R1405">
        <v>1</v>
      </c>
      <c r="S1405">
        <v>0</v>
      </c>
      <c r="T1405">
        <v>21</v>
      </c>
      <c r="U1405">
        <v>3</v>
      </c>
      <c r="V1405">
        <v>3</v>
      </c>
      <c r="W1405">
        <v>20</v>
      </c>
      <c r="X1405">
        <v>8</v>
      </c>
      <c r="Y1405">
        <v>11</v>
      </c>
      <c r="Z1405">
        <v>10</v>
      </c>
      <c r="AA1405">
        <v>0</v>
      </c>
      <c r="AB1405" s="1" t="s">
        <v>36</v>
      </c>
      <c r="AC1405" t="s">
        <v>56</v>
      </c>
      <c r="AD1405" t="s">
        <v>57</v>
      </c>
      <c r="AE1405" s="2">
        <v>667.05</v>
      </c>
    </row>
    <row r="1406" spans="1:31" x14ac:dyDescent="0.35">
      <c r="A1406">
        <v>42</v>
      </c>
      <c r="B1406" s="1" t="s">
        <v>39</v>
      </c>
      <c r="C1406" s="1" t="s">
        <v>40</v>
      </c>
      <c r="D1406">
        <v>23</v>
      </c>
      <c r="E1406">
        <v>2</v>
      </c>
      <c r="F1406" s="1" t="s">
        <v>32</v>
      </c>
      <c r="G1406">
        <v>4</v>
      </c>
      <c r="H1406" s="1" t="s">
        <v>41</v>
      </c>
      <c r="I1406">
        <v>2</v>
      </c>
      <c r="J1406">
        <v>2</v>
      </c>
      <c r="K1406" s="1" t="s">
        <v>42</v>
      </c>
      <c r="L1406">
        <v>3</v>
      </c>
      <c r="M1406" s="1" t="s">
        <v>35</v>
      </c>
      <c r="N1406">
        <v>4332</v>
      </c>
      <c r="O1406">
        <v>1</v>
      </c>
      <c r="P1406" s="1" t="s">
        <v>39</v>
      </c>
      <c r="Q1406">
        <v>12</v>
      </c>
      <c r="R1406">
        <v>4</v>
      </c>
      <c r="S1406">
        <v>0</v>
      </c>
      <c r="T1406">
        <v>20</v>
      </c>
      <c r="U1406">
        <v>2</v>
      </c>
      <c r="V1406">
        <v>3</v>
      </c>
      <c r="W1406">
        <v>20</v>
      </c>
      <c r="X1406">
        <v>9</v>
      </c>
      <c r="Y1406">
        <v>3</v>
      </c>
      <c r="Z1406">
        <v>7</v>
      </c>
      <c r="AA1406">
        <v>0</v>
      </c>
      <c r="AB1406" s="1" t="s">
        <v>36</v>
      </c>
      <c r="AC1406" t="s">
        <v>37</v>
      </c>
      <c r="AD1406" t="s">
        <v>57</v>
      </c>
      <c r="AE1406" s="2">
        <v>216.6</v>
      </c>
    </row>
    <row r="1407" spans="1:31" x14ac:dyDescent="0.35">
      <c r="A1407">
        <v>31</v>
      </c>
      <c r="B1407" s="1" t="s">
        <v>39</v>
      </c>
      <c r="C1407" s="1" t="s">
        <v>40</v>
      </c>
      <c r="D1407">
        <v>10</v>
      </c>
      <c r="E1407">
        <v>3</v>
      </c>
      <c r="F1407" s="1" t="s">
        <v>49</v>
      </c>
      <c r="G1407">
        <v>3</v>
      </c>
      <c r="H1407" s="1" t="s">
        <v>33</v>
      </c>
      <c r="I1407">
        <v>3</v>
      </c>
      <c r="J1407">
        <v>3</v>
      </c>
      <c r="K1407" s="1" t="s">
        <v>59</v>
      </c>
      <c r="L1407">
        <v>3</v>
      </c>
      <c r="M1407" s="1" t="s">
        <v>43</v>
      </c>
      <c r="N1407">
        <v>11031</v>
      </c>
      <c r="O1407">
        <v>4</v>
      </c>
      <c r="P1407" s="1" t="s">
        <v>39</v>
      </c>
      <c r="Q1407">
        <v>20</v>
      </c>
      <c r="R1407">
        <v>3</v>
      </c>
      <c r="S1407">
        <v>1</v>
      </c>
      <c r="T1407">
        <v>13</v>
      </c>
      <c r="U1407">
        <v>2</v>
      </c>
      <c r="V1407">
        <v>4</v>
      </c>
      <c r="W1407">
        <v>11</v>
      </c>
      <c r="X1407">
        <v>7</v>
      </c>
      <c r="Y1407">
        <v>4</v>
      </c>
      <c r="Z1407">
        <v>8</v>
      </c>
      <c r="AA1407">
        <v>0</v>
      </c>
      <c r="AB1407" s="1" t="s">
        <v>48</v>
      </c>
      <c r="AC1407" t="s">
        <v>56</v>
      </c>
      <c r="AD1407" t="s">
        <v>57</v>
      </c>
      <c r="AE1407" s="2">
        <v>1002.8181818181819</v>
      </c>
    </row>
    <row r="1408" spans="1:31" x14ac:dyDescent="0.35">
      <c r="A1408">
        <v>54</v>
      </c>
      <c r="B1408" s="1" t="s">
        <v>39</v>
      </c>
      <c r="C1408" s="1" t="s">
        <v>40</v>
      </c>
      <c r="D1408">
        <v>10</v>
      </c>
      <c r="E1408">
        <v>3</v>
      </c>
      <c r="F1408" s="1" t="s">
        <v>49</v>
      </c>
      <c r="G1408">
        <v>3</v>
      </c>
      <c r="H1408" s="1" t="s">
        <v>33</v>
      </c>
      <c r="I1408">
        <v>3</v>
      </c>
      <c r="J1408">
        <v>2</v>
      </c>
      <c r="K1408" s="1" t="s">
        <v>51</v>
      </c>
      <c r="L1408">
        <v>1</v>
      </c>
      <c r="M1408" s="1" t="s">
        <v>35</v>
      </c>
      <c r="N1408">
        <v>4440</v>
      </c>
      <c r="O1408">
        <v>6</v>
      </c>
      <c r="P1408" s="1" t="s">
        <v>30</v>
      </c>
      <c r="Q1408">
        <v>19</v>
      </c>
      <c r="R1408">
        <v>4</v>
      </c>
      <c r="S1408">
        <v>0</v>
      </c>
      <c r="T1408">
        <v>9</v>
      </c>
      <c r="U1408">
        <v>3</v>
      </c>
      <c r="V1408">
        <v>3</v>
      </c>
      <c r="W1408">
        <v>5</v>
      </c>
      <c r="X1408">
        <v>2</v>
      </c>
      <c r="Y1408">
        <v>1</v>
      </c>
      <c r="Z1408">
        <v>4</v>
      </c>
      <c r="AA1408">
        <v>0</v>
      </c>
      <c r="AB1408" s="1" t="s">
        <v>82</v>
      </c>
      <c r="AC1408" t="s">
        <v>37</v>
      </c>
      <c r="AD1408" t="s">
        <v>53</v>
      </c>
      <c r="AE1408" s="2">
        <v>888</v>
      </c>
    </row>
    <row r="1409" spans="1:31" x14ac:dyDescent="0.35">
      <c r="A1409">
        <v>24</v>
      </c>
      <c r="B1409" s="1" t="s">
        <v>39</v>
      </c>
      <c r="C1409" s="1" t="s">
        <v>40</v>
      </c>
      <c r="D1409">
        <v>1</v>
      </c>
      <c r="E1409">
        <v>2</v>
      </c>
      <c r="F1409" s="1" t="s">
        <v>32</v>
      </c>
      <c r="G1409">
        <v>2</v>
      </c>
      <c r="H1409" s="1" t="s">
        <v>41</v>
      </c>
      <c r="I1409">
        <v>2</v>
      </c>
      <c r="J1409">
        <v>2</v>
      </c>
      <c r="K1409" s="1" t="s">
        <v>52</v>
      </c>
      <c r="L1409">
        <v>3</v>
      </c>
      <c r="M1409" s="1" t="s">
        <v>35</v>
      </c>
      <c r="N1409">
        <v>4617</v>
      </c>
      <c r="O1409">
        <v>1</v>
      </c>
      <c r="P1409" s="1" t="s">
        <v>39</v>
      </c>
      <c r="Q1409">
        <v>12</v>
      </c>
      <c r="R1409">
        <v>2</v>
      </c>
      <c r="S1409">
        <v>0</v>
      </c>
      <c r="T1409">
        <v>4</v>
      </c>
      <c r="U1409">
        <v>2</v>
      </c>
      <c r="V1409">
        <v>2</v>
      </c>
      <c r="W1409">
        <v>4</v>
      </c>
      <c r="X1409">
        <v>3</v>
      </c>
      <c r="Y1409">
        <v>1</v>
      </c>
      <c r="Z1409">
        <v>2</v>
      </c>
      <c r="AA1409">
        <v>0</v>
      </c>
      <c r="AB1409" s="1" t="s">
        <v>54</v>
      </c>
      <c r="AC1409" t="s">
        <v>37</v>
      </c>
      <c r="AD1409" t="s">
        <v>53</v>
      </c>
      <c r="AE1409" s="2">
        <v>1154.25</v>
      </c>
    </row>
    <row r="1410" spans="1:31" x14ac:dyDescent="0.35">
      <c r="A1410">
        <v>23</v>
      </c>
      <c r="B1410" s="1" t="s">
        <v>39</v>
      </c>
      <c r="C1410" s="1" t="s">
        <v>40</v>
      </c>
      <c r="D1410">
        <v>12</v>
      </c>
      <c r="E1410">
        <v>2</v>
      </c>
      <c r="F1410" s="1" t="s">
        <v>44</v>
      </c>
      <c r="G1410">
        <v>4</v>
      </c>
      <c r="H1410" s="1" t="s">
        <v>41</v>
      </c>
      <c r="I1410">
        <v>3</v>
      </c>
      <c r="J1410">
        <v>1</v>
      </c>
      <c r="K1410" s="1" t="s">
        <v>45</v>
      </c>
      <c r="L1410">
        <v>4</v>
      </c>
      <c r="M1410" s="1" t="s">
        <v>35</v>
      </c>
      <c r="N1410">
        <v>2647</v>
      </c>
      <c r="O1410">
        <v>1</v>
      </c>
      <c r="P1410" s="1" t="s">
        <v>39</v>
      </c>
      <c r="Q1410">
        <v>13</v>
      </c>
      <c r="R1410">
        <v>3</v>
      </c>
      <c r="S1410">
        <v>0</v>
      </c>
      <c r="T1410">
        <v>5</v>
      </c>
      <c r="U1410">
        <v>6</v>
      </c>
      <c r="V1410">
        <v>4</v>
      </c>
      <c r="W1410">
        <v>5</v>
      </c>
      <c r="X1410">
        <v>2</v>
      </c>
      <c r="Y1410">
        <v>1</v>
      </c>
      <c r="Z1410">
        <v>4</v>
      </c>
      <c r="AA1410">
        <v>0</v>
      </c>
      <c r="AB1410" s="1" t="s">
        <v>54</v>
      </c>
      <c r="AC1410" t="s">
        <v>46</v>
      </c>
      <c r="AD1410" t="s">
        <v>53</v>
      </c>
      <c r="AE1410" s="2">
        <v>529.4</v>
      </c>
    </row>
    <row r="1411" spans="1:31" x14ac:dyDescent="0.35">
      <c r="A1411">
        <v>40</v>
      </c>
      <c r="B1411" s="1" t="s">
        <v>39</v>
      </c>
      <c r="C1411" s="1" t="s">
        <v>40</v>
      </c>
      <c r="D1411">
        <v>11</v>
      </c>
      <c r="E1411">
        <v>3</v>
      </c>
      <c r="F1411" s="1" t="s">
        <v>61</v>
      </c>
      <c r="G1411">
        <v>4</v>
      </c>
      <c r="H1411" s="1" t="s">
        <v>33</v>
      </c>
      <c r="I1411">
        <v>3</v>
      </c>
      <c r="J1411">
        <v>2</v>
      </c>
      <c r="K1411" s="1" t="s">
        <v>45</v>
      </c>
      <c r="L1411">
        <v>3</v>
      </c>
      <c r="M1411" s="1" t="s">
        <v>43</v>
      </c>
      <c r="N1411">
        <v>6323</v>
      </c>
      <c r="O1411">
        <v>1</v>
      </c>
      <c r="P1411" s="1" t="s">
        <v>39</v>
      </c>
      <c r="Q1411">
        <v>11</v>
      </c>
      <c r="R1411">
        <v>1</v>
      </c>
      <c r="S1411">
        <v>1</v>
      </c>
      <c r="T1411">
        <v>10</v>
      </c>
      <c r="U1411">
        <v>2</v>
      </c>
      <c r="V1411">
        <v>4</v>
      </c>
      <c r="W1411">
        <v>10</v>
      </c>
      <c r="X1411">
        <v>9</v>
      </c>
      <c r="Y1411">
        <v>9</v>
      </c>
      <c r="Z1411">
        <v>4</v>
      </c>
      <c r="AA1411">
        <v>0</v>
      </c>
      <c r="AB1411" s="1" t="s">
        <v>36</v>
      </c>
      <c r="AC1411" t="s">
        <v>37</v>
      </c>
      <c r="AD1411" t="s">
        <v>38</v>
      </c>
      <c r="AE1411" s="2">
        <v>632.29999999999995</v>
      </c>
    </row>
    <row r="1412" spans="1:31" x14ac:dyDescent="0.35">
      <c r="A1412">
        <v>40</v>
      </c>
      <c r="B1412" s="1" t="s">
        <v>39</v>
      </c>
      <c r="C1412" s="1" t="s">
        <v>31</v>
      </c>
      <c r="D1412">
        <v>2</v>
      </c>
      <c r="E1412">
        <v>2</v>
      </c>
      <c r="F1412" s="1" t="s">
        <v>60</v>
      </c>
      <c r="G1412">
        <v>2</v>
      </c>
      <c r="H1412" s="1" t="s">
        <v>33</v>
      </c>
      <c r="I1412">
        <v>3</v>
      </c>
      <c r="J1412">
        <v>2</v>
      </c>
      <c r="K1412" s="1" t="s">
        <v>34</v>
      </c>
      <c r="L1412">
        <v>2</v>
      </c>
      <c r="M1412" s="1" t="s">
        <v>43</v>
      </c>
      <c r="N1412">
        <v>5677</v>
      </c>
      <c r="O1412">
        <v>3</v>
      </c>
      <c r="P1412" s="1" t="s">
        <v>39</v>
      </c>
      <c r="Q1412">
        <v>14</v>
      </c>
      <c r="R1412">
        <v>3</v>
      </c>
      <c r="S1412">
        <v>1</v>
      </c>
      <c r="T1412">
        <v>15</v>
      </c>
      <c r="U1412">
        <v>4</v>
      </c>
      <c r="V1412">
        <v>3</v>
      </c>
      <c r="W1412">
        <v>11</v>
      </c>
      <c r="X1412">
        <v>8</v>
      </c>
      <c r="Y1412">
        <v>5</v>
      </c>
      <c r="Z1412">
        <v>10</v>
      </c>
      <c r="AA1412">
        <v>0</v>
      </c>
      <c r="AB1412" s="1" t="s">
        <v>36</v>
      </c>
      <c r="AC1412" t="s">
        <v>37</v>
      </c>
      <c r="AD1412" t="s">
        <v>57</v>
      </c>
      <c r="AE1412" s="2">
        <v>516.09090909090912</v>
      </c>
    </row>
    <row r="1413" spans="1:31" x14ac:dyDescent="0.35">
      <c r="A1413">
        <v>25</v>
      </c>
      <c r="B1413" s="1" t="s">
        <v>39</v>
      </c>
      <c r="C1413" s="1" t="s">
        <v>62</v>
      </c>
      <c r="D1413">
        <v>2</v>
      </c>
      <c r="E1413">
        <v>3</v>
      </c>
      <c r="F1413" s="1" t="s">
        <v>62</v>
      </c>
      <c r="G1413">
        <v>3</v>
      </c>
      <c r="H1413" s="1" t="s">
        <v>33</v>
      </c>
      <c r="I1413">
        <v>3</v>
      </c>
      <c r="J1413">
        <v>1</v>
      </c>
      <c r="K1413" s="1" t="s">
        <v>62</v>
      </c>
      <c r="L1413">
        <v>2</v>
      </c>
      <c r="M1413" s="1" t="s">
        <v>43</v>
      </c>
      <c r="N1413">
        <v>2187</v>
      </c>
      <c r="O1413">
        <v>4</v>
      </c>
      <c r="P1413" s="1" t="s">
        <v>39</v>
      </c>
      <c r="Q1413">
        <v>14</v>
      </c>
      <c r="R1413">
        <v>3</v>
      </c>
      <c r="S1413">
        <v>0</v>
      </c>
      <c r="T1413">
        <v>6</v>
      </c>
      <c r="U1413">
        <v>3</v>
      </c>
      <c r="V1413">
        <v>3</v>
      </c>
      <c r="W1413">
        <v>2</v>
      </c>
      <c r="X1413">
        <v>0</v>
      </c>
      <c r="Y1413">
        <v>1</v>
      </c>
      <c r="Z1413">
        <v>2</v>
      </c>
      <c r="AA1413">
        <v>0</v>
      </c>
      <c r="AB1413" s="1" t="s">
        <v>54</v>
      </c>
      <c r="AC1413" t="s">
        <v>46</v>
      </c>
      <c r="AD1413" t="s">
        <v>47</v>
      </c>
      <c r="AE1413" s="2">
        <v>1093.5</v>
      </c>
    </row>
    <row r="1414" spans="1:31" x14ac:dyDescent="0.35">
      <c r="A1414">
        <v>30</v>
      </c>
      <c r="B1414" s="1" t="s">
        <v>39</v>
      </c>
      <c r="C1414" s="1" t="s">
        <v>40</v>
      </c>
      <c r="D1414">
        <v>1</v>
      </c>
      <c r="E1414">
        <v>2</v>
      </c>
      <c r="F1414" s="1" t="s">
        <v>49</v>
      </c>
      <c r="G1414">
        <v>4</v>
      </c>
      <c r="H1414" s="1" t="s">
        <v>41</v>
      </c>
      <c r="I1414">
        <v>3</v>
      </c>
      <c r="J1414">
        <v>1</v>
      </c>
      <c r="K1414" s="1" t="s">
        <v>45</v>
      </c>
      <c r="L1414">
        <v>2</v>
      </c>
      <c r="M1414" s="1" t="s">
        <v>43</v>
      </c>
      <c r="N1414">
        <v>3748</v>
      </c>
      <c r="O1414">
        <v>1</v>
      </c>
      <c r="P1414" s="1" t="s">
        <v>39</v>
      </c>
      <c r="Q1414">
        <v>13</v>
      </c>
      <c r="R1414">
        <v>3</v>
      </c>
      <c r="S1414">
        <v>0</v>
      </c>
      <c r="T1414">
        <v>12</v>
      </c>
      <c r="U1414">
        <v>6</v>
      </c>
      <c r="V1414">
        <v>2</v>
      </c>
      <c r="W1414">
        <v>12</v>
      </c>
      <c r="X1414">
        <v>8</v>
      </c>
      <c r="Y1414">
        <v>1</v>
      </c>
      <c r="Z1414">
        <v>7</v>
      </c>
      <c r="AA1414">
        <v>0</v>
      </c>
      <c r="AB1414" s="1" t="s">
        <v>48</v>
      </c>
      <c r="AC1414" t="s">
        <v>46</v>
      </c>
      <c r="AD1414" t="s">
        <v>57</v>
      </c>
      <c r="AE1414" s="2">
        <v>312.33333333333331</v>
      </c>
    </row>
    <row r="1415" spans="1:31" x14ac:dyDescent="0.35">
      <c r="A1415">
        <v>25</v>
      </c>
      <c r="B1415" s="1" t="s">
        <v>39</v>
      </c>
      <c r="C1415" s="1" t="s">
        <v>40</v>
      </c>
      <c r="D1415">
        <v>2</v>
      </c>
      <c r="E1415">
        <v>1</v>
      </c>
      <c r="F1415" s="1" t="s">
        <v>44</v>
      </c>
      <c r="G1415">
        <v>4</v>
      </c>
      <c r="H1415" s="1" t="s">
        <v>41</v>
      </c>
      <c r="I1415">
        <v>3</v>
      </c>
      <c r="J1415">
        <v>1</v>
      </c>
      <c r="K1415" s="1" t="s">
        <v>45</v>
      </c>
      <c r="L1415">
        <v>3</v>
      </c>
      <c r="M1415" s="1" t="s">
        <v>50</v>
      </c>
      <c r="N1415">
        <v>3977</v>
      </c>
      <c r="O1415">
        <v>6</v>
      </c>
      <c r="P1415" s="1" t="s">
        <v>30</v>
      </c>
      <c r="Q1415">
        <v>19</v>
      </c>
      <c r="R1415">
        <v>3</v>
      </c>
      <c r="S1415">
        <v>1</v>
      </c>
      <c r="T1415">
        <v>7</v>
      </c>
      <c r="U1415">
        <v>2</v>
      </c>
      <c r="V1415">
        <v>2</v>
      </c>
      <c r="W1415">
        <v>2</v>
      </c>
      <c r="X1415">
        <v>2</v>
      </c>
      <c r="Y1415">
        <v>0</v>
      </c>
      <c r="Z1415">
        <v>2</v>
      </c>
      <c r="AA1415">
        <v>0</v>
      </c>
      <c r="AB1415" s="1" t="s">
        <v>54</v>
      </c>
      <c r="AC1415" t="s">
        <v>46</v>
      </c>
      <c r="AD1415" t="s">
        <v>47</v>
      </c>
      <c r="AE1415" s="2">
        <v>1988.5</v>
      </c>
    </row>
    <row r="1416" spans="1:31" x14ac:dyDescent="0.35">
      <c r="A1416">
        <v>47</v>
      </c>
      <c r="B1416" s="1" t="s">
        <v>39</v>
      </c>
      <c r="C1416" s="1" t="s">
        <v>40</v>
      </c>
      <c r="D1416">
        <v>25</v>
      </c>
      <c r="E1416">
        <v>3</v>
      </c>
      <c r="F1416" s="1" t="s">
        <v>49</v>
      </c>
      <c r="G1416">
        <v>1</v>
      </c>
      <c r="H1416" s="1" t="s">
        <v>41</v>
      </c>
      <c r="I1416">
        <v>3</v>
      </c>
      <c r="J1416">
        <v>3</v>
      </c>
      <c r="K1416" s="1" t="s">
        <v>52</v>
      </c>
      <c r="L1416">
        <v>3</v>
      </c>
      <c r="M1416" s="1" t="s">
        <v>35</v>
      </c>
      <c r="N1416">
        <v>8633</v>
      </c>
      <c r="O1416">
        <v>2</v>
      </c>
      <c r="P1416" s="1" t="s">
        <v>39</v>
      </c>
      <c r="Q1416">
        <v>23</v>
      </c>
      <c r="R1416">
        <v>2</v>
      </c>
      <c r="S1416">
        <v>0</v>
      </c>
      <c r="T1416">
        <v>25</v>
      </c>
      <c r="U1416">
        <v>3</v>
      </c>
      <c r="V1416">
        <v>3</v>
      </c>
      <c r="W1416">
        <v>17</v>
      </c>
      <c r="X1416">
        <v>14</v>
      </c>
      <c r="Y1416">
        <v>12</v>
      </c>
      <c r="Z1416">
        <v>11</v>
      </c>
      <c r="AA1416">
        <v>0</v>
      </c>
      <c r="AB1416" s="1" t="s">
        <v>82</v>
      </c>
      <c r="AC1416" t="s">
        <v>37</v>
      </c>
      <c r="AD1416" t="s">
        <v>57</v>
      </c>
      <c r="AE1416" s="2">
        <v>507.8235294117647</v>
      </c>
    </row>
    <row r="1417" spans="1:31" x14ac:dyDescent="0.35">
      <c r="A1417">
        <v>33</v>
      </c>
      <c r="B1417" s="1" t="s">
        <v>39</v>
      </c>
      <c r="C1417" s="1" t="s">
        <v>40</v>
      </c>
      <c r="D1417">
        <v>1</v>
      </c>
      <c r="E1417">
        <v>2</v>
      </c>
      <c r="F1417" s="1" t="s">
        <v>49</v>
      </c>
      <c r="G1417">
        <v>2</v>
      </c>
      <c r="H1417" s="1" t="s">
        <v>41</v>
      </c>
      <c r="I1417">
        <v>2</v>
      </c>
      <c r="J1417">
        <v>1</v>
      </c>
      <c r="K1417" s="1" t="s">
        <v>45</v>
      </c>
      <c r="L1417">
        <v>3</v>
      </c>
      <c r="M1417" s="1" t="s">
        <v>50</v>
      </c>
      <c r="N1417">
        <v>2008</v>
      </c>
      <c r="O1417">
        <v>1</v>
      </c>
      <c r="P1417" s="1" t="s">
        <v>39</v>
      </c>
      <c r="Q1417">
        <v>12</v>
      </c>
      <c r="R1417">
        <v>3</v>
      </c>
      <c r="S1417">
        <v>3</v>
      </c>
      <c r="T1417">
        <v>1</v>
      </c>
      <c r="U1417">
        <v>2</v>
      </c>
      <c r="V1417">
        <v>2</v>
      </c>
      <c r="W1417">
        <v>1</v>
      </c>
      <c r="X1417">
        <v>1</v>
      </c>
      <c r="Y1417">
        <v>0</v>
      </c>
      <c r="Z1417">
        <v>0</v>
      </c>
      <c r="AA1417">
        <v>0</v>
      </c>
      <c r="AB1417" s="1" t="s">
        <v>48</v>
      </c>
      <c r="AC1417" t="s">
        <v>46</v>
      </c>
      <c r="AD1417" t="s">
        <v>47</v>
      </c>
      <c r="AE1417" s="2">
        <v>2008</v>
      </c>
    </row>
    <row r="1418" spans="1:31" x14ac:dyDescent="0.35">
      <c r="A1418">
        <v>38</v>
      </c>
      <c r="B1418" s="1" t="s">
        <v>39</v>
      </c>
      <c r="C1418" s="1" t="s">
        <v>31</v>
      </c>
      <c r="D1418">
        <v>1</v>
      </c>
      <c r="E1418">
        <v>4</v>
      </c>
      <c r="F1418" s="1" t="s">
        <v>32</v>
      </c>
      <c r="G1418">
        <v>4</v>
      </c>
      <c r="H1418" s="1" t="s">
        <v>41</v>
      </c>
      <c r="I1418">
        <v>3</v>
      </c>
      <c r="J1418">
        <v>2</v>
      </c>
      <c r="K1418" s="1" t="s">
        <v>34</v>
      </c>
      <c r="L1418">
        <v>2</v>
      </c>
      <c r="M1418" s="1" t="s">
        <v>43</v>
      </c>
      <c r="N1418">
        <v>4440</v>
      </c>
      <c r="O1418">
        <v>0</v>
      </c>
      <c r="P1418" s="1" t="s">
        <v>39</v>
      </c>
      <c r="Q1418">
        <v>15</v>
      </c>
      <c r="R1418">
        <v>1</v>
      </c>
      <c r="S1418">
        <v>2</v>
      </c>
      <c r="T1418">
        <v>16</v>
      </c>
      <c r="U1418">
        <v>3</v>
      </c>
      <c r="V1418">
        <v>3</v>
      </c>
      <c r="W1418">
        <v>15</v>
      </c>
      <c r="X1418">
        <v>13</v>
      </c>
      <c r="Y1418">
        <v>5</v>
      </c>
      <c r="Z1418">
        <v>8</v>
      </c>
      <c r="AA1418">
        <v>0</v>
      </c>
      <c r="AB1418" s="1" t="s">
        <v>36</v>
      </c>
      <c r="AC1418" t="s">
        <v>37</v>
      </c>
      <c r="AD1418" t="s">
        <v>57</v>
      </c>
      <c r="AE1418" s="2">
        <v>296</v>
      </c>
    </row>
    <row r="1419" spans="1:31" x14ac:dyDescent="0.35">
      <c r="A1419">
        <v>31</v>
      </c>
      <c r="B1419" s="1" t="s">
        <v>39</v>
      </c>
      <c r="C1419" s="1" t="s">
        <v>31</v>
      </c>
      <c r="D1419">
        <v>2</v>
      </c>
      <c r="E1419">
        <v>2</v>
      </c>
      <c r="F1419" s="1" t="s">
        <v>32</v>
      </c>
      <c r="G1419">
        <v>1</v>
      </c>
      <c r="H1419" s="1" t="s">
        <v>41</v>
      </c>
      <c r="I1419">
        <v>3</v>
      </c>
      <c r="J1419">
        <v>1</v>
      </c>
      <c r="K1419" s="1" t="s">
        <v>58</v>
      </c>
      <c r="L1419">
        <v>3</v>
      </c>
      <c r="M1419" s="1" t="s">
        <v>43</v>
      </c>
      <c r="N1419">
        <v>3067</v>
      </c>
      <c r="O1419">
        <v>0</v>
      </c>
      <c r="P1419" s="1" t="s">
        <v>39</v>
      </c>
      <c r="Q1419">
        <v>19</v>
      </c>
      <c r="R1419">
        <v>3</v>
      </c>
      <c r="S1419">
        <v>1</v>
      </c>
      <c r="T1419">
        <v>3</v>
      </c>
      <c r="U1419">
        <v>1</v>
      </c>
      <c r="V1419">
        <v>3</v>
      </c>
      <c r="W1419">
        <v>2</v>
      </c>
      <c r="X1419">
        <v>2</v>
      </c>
      <c r="Y1419">
        <v>1</v>
      </c>
      <c r="Z1419">
        <v>2</v>
      </c>
      <c r="AA1419">
        <v>0</v>
      </c>
      <c r="AB1419" s="1" t="s">
        <v>48</v>
      </c>
      <c r="AC1419" t="s">
        <v>46</v>
      </c>
      <c r="AD1419" t="s">
        <v>47</v>
      </c>
      <c r="AE1419" s="2">
        <v>1533.5</v>
      </c>
    </row>
    <row r="1420" spans="1:31" x14ac:dyDescent="0.35">
      <c r="A1420">
        <v>38</v>
      </c>
      <c r="B1420" s="1" t="s">
        <v>39</v>
      </c>
      <c r="C1420" s="1" t="s">
        <v>40</v>
      </c>
      <c r="D1420">
        <v>6</v>
      </c>
      <c r="E1420">
        <v>4</v>
      </c>
      <c r="F1420" s="1" t="s">
        <v>32</v>
      </c>
      <c r="G1420">
        <v>1</v>
      </c>
      <c r="H1420" s="1" t="s">
        <v>41</v>
      </c>
      <c r="I1420">
        <v>2</v>
      </c>
      <c r="J1420">
        <v>2</v>
      </c>
      <c r="K1420" s="1" t="s">
        <v>51</v>
      </c>
      <c r="L1420">
        <v>3</v>
      </c>
      <c r="M1420" s="1" t="s">
        <v>43</v>
      </c>
      <c r="N1420">
        <v>5321</v>
      </c>
      <c r="O1420">
        <v>2</v>
      </c>
      <c r="P1420" s="1" t="s">
        <v>39</v>
      </c>
      <c r="Q1420">
        <v>11</v>
      </c>
      <c r="R1420">
        <v>4</v>
      </c>
      <c r="S1420">
        <v>1</v>
      </c>
      <c r="T1420">
        <v>10</v>
      </c>
      <c r="U1420">
        <v>1</v>
      </c>
      <c r="V1420">
        <v>3</v>
      </c>
      <c r="W1420">
        <v>8</v>
      </c>
      <c r="X1420">
        <v>3</v>
      </c>
      <c r="Y1420">
        <v>7</v>
      </c>
      <c r="Z1420">
        <v>7</v>
      </c>
      <c r="AA1420">
        <v>0</v>
      </c>
      <c r="AB1420" s="1" t="s">
        <v>36</v>
      </c>
      <c r="AC1420" t="s">
        <v>37</v>
      </c>
      <c r="AD1420" t="s">
        <v>38</v>
      </c>
      <c r="AE1420" s="2">
        <v>665.125</v>
      </c>
    </row>
    <row r="1421" spans="1:31" x14ac:dyDescent="0.35">
      <c r="A1421">
        <v>42</v>
      </c>
      <c r="B1421" s="1" t="s">
        <v>39</v>
      </c>
      <c r="C1421" s="1" t="s">
        <v>40</v>
      </c>
      <c r="D1421">
        <v>18</v>
      </c>
      <c r="E1421">
        <v>4</v>
      </c>
      <c r="F1421" s="1" t="s">
        <v>32</v>
      </c>
      <c r="G1421">
        <v>4</v>
      </c>
      <c r="H1421" s="1" t="s">
        <v>41</v>
      </c>
      <c r="I1421">
        <v>3</v>
      </c>
      <c r="J1421">
        <v>2</v>
      </c>
      <c r="K1421" s="1" t="s">
        <v>42</v>
      </c>
      <c r="L1421">
        <v>1</v>
      </c>
      <c r="M1421" s="1" t="s">
        <v>50</v>
      </c>
      <c r="N1421">
        <v>5410</v>
      </c>
      <c r="O1421">
        <v>6</v>
      </c>
      <c r="P1421" s="1" t="s">
        <v>30</v>
      </c>
      <c r="Q1421">
        <v>17</v>
      </c>
      <c r="R1421">
        <v>3</v>
      </c>
      <c r="S1421">
        <v>1</v>
      </c>
      <c r="T1421">
        <v>9</v>
      </c>
      <c r="U1421">
        <v>3</v>
      </c>
      <c r="V1421">
        <v>2</v>
      </c>
      <c r="W1421">
        <v>4</v>
      </c>
      <c r="X1421">
        <v>3</v>
      </c>
      <c r="Y1421">
        <v>1</v>
      </c>
      <c r="Z1421">
        <v>2</v>
      </c>
      <c r="AA1421">
        <v>0</v>
      </c>
      <c r="AB1421" s="1" t="s">
        <v>36</v>
      </c>
      <c r="AC1421" t="s">
        <v>37</v>
      </c>
      <c r="AD1421" t="s">
        <v>53</v>
      </c>
      <c r="AE1421" s="2">
        <v>1352.5</v>
      </c>
    </row>
    <row r="1422" spans="1:31" x14ac:dyDescent="0.35">
      <c r="A1422">
        <v>41</v>
      </c>
      <c r="B1422" s="1" t="s">
        <v>39</v>
      </c>
      <c r="C1422" s="1" t="s">
        <v>40</v>
      </c>
      <c r="D1422">
        <v>1</v>
      </c>
      <c r="E1422">
        <v>3</v>
      </c>
      <c r="F1422" s="1" t="s">
        <v>32</v>
      </c>
      <c r="G1422">
        <v>4</v>
      </c>
      <c r="H1422" s="1" t="s">
        <v>41</v>
      </c>
      <c r="I1422">
        <v>3</v>
      </c>
      <c r="J1422">
        <v>1</v>
      </c>
      <c r="K1422" s="1" t="s">
        <v>42</v>
      </c>
      <c r="L1422">
        <v>4</v>
      </c>
      <c r="M1422" s="1" t="s">
        <v>43</v>
      </c>
      <c r="N1422">
        <v>2782</v>
      </c>
      <c r="O1422">
        <v>3</v>
      </c>
      <c r="P1422" s="1" t="s">
        <v>39</v>
      </c>
      <c r="Q1422">
        <v>22</v>
      </c>
      <c r="R1422">
        <v>1</v>
      </c>
      <c r="S1422">
        <v>1</v>
      </c>
      <c r="T1422">
        <v>12</v>
      </c>
      <c r="U1422">
        <v>3</v>
      </c>
      <c r="V1422">
        <v>3</v>
      </c>
      <c r="W1422">
        <v>5</v>
      </c>
      <c r="X1422">
        <v>3</v>
      </c>
      <c r="Y1422">
        <v>1</v>
      </c>
      <c r="Z1422">
        <v>0</v>
      </c>
      <c r="AA1422">
        <v>0</v>
      </c>
      <c r="AB1422" s="1" t="s">
        <v>36</v>
      </c>
      <c r="AC1422" t="s">
        <v>46</v>
      </c>
      <c r="AD1422" t="s">
        <v>53</v>
      </c>
      <c r="AE1422" s="2">
        <v>556.4</v>
      </c>
    </row>
    <row r="1423" spans="1:31" x14ac:dyDescent="0.35">
      <c r="A1423">
        <v>47</v>
      </c>
      <c r="B1423" s="1" t="s">
        <v>39</v>
      </c>
      <c r="C1423" s="1" t="s">
        <v>40</v>
      </c>
      <c r="D1423">
        <v>1</v>
      </c>
      <c r="E1423">
        <v>1</v>
      </c>
      <c r="F1423" s="1" t="s">
        <v>49</v>
      </c>
      <c r="G1423">
        <v>3</v>
      </c>
      <c r="H1423" s="1" t="s">
        <v>33</v>
      </c>
      <c r="I1423">
        <v>3</v>
      </c>
      <c r="J1423">
        <v>3</v>
      </c>
      <c r="K1423" s="1" t="s">
        <v>59</v>
      </c>
      <c r="L1423">
        <v>2</v>
      </c>
      <c r="M1423" s="1" t="s">
        <v>43</v>
      </c>
      <c r="N1423">
        <v>11957</v>
      </c>
      <c r="O1423">
        <v>0</v>
      </c>
      <c r="P1423" s="1" t="s">
        <v>39</v>
      </c>
      <c r="Q1423">
        <v>18</v>
      </c>
      <c r="R1423">
        <v>1</v>
      </c>
      <c r="S1423">
        <v>2</v>
      </c>
      <c r="T1423">
        <v>14</v>
      </c>
      <c r="U1423">
        <v>3</v>
      </c>
      <c r="V1423">
        <v>1</v>
      </c>
      <c r="W1423">
        <v>13</v>
      </c>
      <c r="X1423">
        <v>8</v>
      </c>
      <c r="Y1423">
        <v>5</v>
      </c>
      <c r="Z1423">
        <v>12</v>
      </c>
      <c r="AA1423">
        <v>0</v>
      </c>
      <c r="AB1423" s="1" t="s">
        <v>82</v>
      </c>
      <c r="AC1423" t="s">
        <v>56</v>
      </c>
      <c r="AD1423" t="s">
        <v>57</v>
      </c>
      <c r="AE1423" s="2">
        <v>919.76923076923072</v>
      </c>
    </row>
    <row r="1424" spans="1:31" x14ac:dyDescent="0.35">
      <c r="A1424">
        <v>35</v>
      </c>
      <c r="B1424" s="1" t="s">
        <v>39</v>
      </c>
      <c r="C1424" s="1" t="s">
        <v>40</v>
      </c>
      <c r="D1424">
        <v>11</v>
      </c>
      <c r="E1424">
        <v>4</v>
      </c>
      <c r="F1424" s="1" t="s">
        <v>49</v>
      </c>
      <c r="G1424">
        <v>4</v>
      </c>
      <c r="H1424" s="1" t="s">
        <v>41</v>
      </c>
      <c r="I1424">
        <v>3</v>
      </c>
      <c r="J1424">
        <v>1</v>
      </c>
      <c r="K1424" s="1" t="s">
        <v>45</v>
      </c>
      <c r="L1424">
        <v>3</v>
      </c>
      <c r="M1424" s="1" t="s">
        <v>43</v>
      </c>
      <c r="N1424">
        <v>2660</v>
      </c>
      <c r="O1424">
        <v>7</v>
      </c>
      <c r="P1424" s="1" t="s">
        <v>30</v>
      </c>
      <c r="Q1424">
        <v>11</v>
      </c>
      <c r="R1424">
        <v>3</v>
      </c>
      <c r="S1424">
        <v>1</v>
      </c>
      <c r="T1424">
        <v>5</v>
      </c>
      <c r="U1424">
        <v>3</v>
      </c>
      <c r="V1424">
        <v>3</v>
      </c>
      <c r="W1424">
        <v>2</v>
      </c>
      <c r="X1424">
        <v>2</v>
      </c>
      <c r="Y1424">
        <v>2</v>
      </c>
      <c r="Z1424">
        <v>2</v>
      </c>
      <c r="AA1424">
        <v>0</v>
      </c>
      <c r="AB1424" s="1" t="s">
        <v>48</v>
      </c>
      <c r="AC1424" t="s">
        <v>46</v>
      </c>
      <c r="AD1424" t="s">
        <v>47</v>
      </c>
      <c r="AE1424" s="2">
        <v>1330</v>
      </c>
    </row>
    <row r="1425" spans="1:31" x14ac:dyDescent="0.35">
      <c r="A1425">
        <v>22</v>
      </c>
      <c r="B1425" s="1" t="s">
        <v>39</v>
      </c>
      <c r="C1425" s="1" t="s">
        <v>40</v>
      </c>
      <c r="D1425">
        <v>1</v>
      </c>
      <c r="E1425">
        <v>2</v>
      </c>
      <c r="F1425" s="1" t="s">
        <v>32</v>
      </c>
      <c r="G1425">
        <v>4</v>
      </c>
      <c r="H1425" s="1" t="s">
        <v>41</v>
      </c>
      <c r="I1425">
        <v>3</v>
      </c>
      <c r="J1425">
        <v>1</v>
      </c>
      <c r="K1425" s="1" t="s">
        <v>42</v>
      </c>
      <c r="L1425">
        <v>3</v>
      </c>
      <c r="M1425" s="1" t="s">
        <v>35</v>
      </c>
      <c r="N1425">
        <v>3375</v>
      </c>
      <c r="O1425">
        <v>0</v>
      </c>
      <c r="P1425" s="1" t="s">
        <v>39</v>
      </c>
      <c r="Q1425">
        <v>12</v>
      </c>
      <c r="R1425">
        <v>4</v>
      </c>
      <c r="S1425">
        <v>0</v>
      </c>
      <c r="T1425">
        <v>4</v>
      </c>
      <c r="U1425">
        <v>2</v>
      </c>
      <c r="V1425">
        <v>4</v>
      </c>
      <c r="W1425">
        <v>3</v>
      </c>
      <c r="X1425">
        <v>2</v>
      </c>
      <c r="Y1425">
        <v>1</v>
      </c>
      <c r="Z1425">
        <v>2</v>
      </c>
      <c r="AA1425">
        <v>0</v>
      </c>
      <c r="AB1425" s="1" t="s">
        <v>54</v>
      </c>
      <c r="AC1425" t="s">
        <v>46</v>
      </c>
      <c r="AD1425" t="s">
        <v>53</v>
      </c>
      <c r="AE1425" s="2">
        <v>1125</v>
      </c>
    </row>
    <row r="1426" spans="1:31" x14ac:dyDescent="0.35">
      <c r="A1426">
        <v>35</v>
      </c>
      <c r="B1426" s="1" t="s">
        <v>39</v>
      </c>
      <c r="C1426" s="1" t="s">
        <v>40</v>
      </c>
      <c r="D1426">
        <v>9</v>
      </c>
      <c r="E1426">
        <v>4</v>
      </c>
      <c r="F1426" s="1" t="s">
        <v>49</v>
      </c>
      <c r="G1426">
        <v>2</v>
      </c>
      <c r="H1426" s="1" t="s">
        <v>41</v>
      </c>
      <c r="I1426">
        <v>3</v>
      </c>
      <c r="J1426">
        <v>2</v>
      </c>
      <c r="K1426" s="1" t="s">
        <v>42</v>
      </c>
      <c r="L1426">
        <v>3</v>
      </c>
      <c r="M1426" s="1" t="s">
        <v>35</v>
      </c>
      <c r="N1426">
        <v>5098</v>
      </c>
      <c r="O1426">
        <v>1</v>
      </c>
      <c r="P1426" s="1" t="s">
        <v>39</v>
      </c>
      <c r="Q1426">
        <v>19</v>
      </c>
      <c r="R1426">
        <v>2</v>
      </c>
      <c r="S1426">
        <v>0</v>
      </c>
      <c r="T1426">
        <v>10</v>
      </c>
      <c r="U1426">
        <v>5</v>
      </c>
      <c r="V1426">
        <v>3</v>
      </c>
      <c r="W1426">
        <v>10</v>
      </c>
      <c r="X1426">
        <v>7</v>
      </c>
      <c r="Y1426">
        <v>0</v>
      </c>
      <c r="Z1426">
        <v>8</v>
      </c>
      <c r="AA1426">
        <v>0</v>
      </c>
      <c r="AB1426" s="1" t="s">
        <v>48</v>
      </c>
      <c r="AC1426" t="s">
        <v>37</v>
      </c>
      <c r="AD1426" t="s">
        <v>38</v>
      </c>
      <c r="AE1426" s="2">
        <v>509.8</v>
      </c>
    </row>
    <row r="1427" spans="1:31" x14ac:dyDescent="0.35">
      <c r="A1427">
        <v>33</v>
      </c>
      <c r="B1427" s="1" t="s">
        <v>39</v>
      </c>
      <c r="C1427" s="1" t="s">
        <v>40</v>
      </c>
      <c r="D1427">
        <v>15</v>
      </c>
      <c r="E1427">
        <v>2</v>
      </c>
      <c r="F1427" s="1" t="s">
        <v>49</v>
      </c>
      <c r="G1427">
        <v>2</v>
      </c>
      <c r="H1427" s="1" t="s">
        <v>33</v>
      </c>
      <c r="I1427">
        <v>3</v>
      </c>
      <c r="J1427">
        <v>2</v>
      </c>
      <c r="K1427" s="1" t="s">
        <v>52</v>
      </c>
      <c r="L1427">
        <v>4</v>
      </c>
      <c r="M1427" s="1" t="s">
        <v>43</v>
      </c>
      <c r="N1427">
        <v>4878</v>
      </c>
      <c r="O1427">
        <v>0</v>
      </c>
      <c r="P1427" s="1" t="s">
        <v>30</v>
      </c>
      <c r="Q1427">
        <v>13</v>
      </c>
      <c r="R1427">
        <v>1</v>
      </c>
      <c r="S1427">
        <v>1</v>
      </c>
      <c r="T1427">
        <v>10</v>
      </c>
      <c r="U1427">
        <v>6</v>
      </c>
      <c r="V1427">
        <v>3</v>
      </c>
      <c r="W1427">
        <v>9</v>
      </c>
      <c r="X1427">
        <v>7</v>
      </c>
      <c r="Y1427">
        <v>8</v>
      </c>
      <c r="Z1427">
        <v>1</v>
      </c>
      <c r="AA1427">
        <v>0</v>
      </c>
      <c r="AB1427" s="1" t="s">
        <v>48</v>
      </c>
      <c r="AC1427" t="s">
        <v>37</v>
      </c>
      <c r="AD1427" t="s">
        <v>38</v>
      </c>
      <c r="AE1427" s="2">
        <v>542</v>
      </c>
    </row>
    <row r="1428" spans="1:31" x14ac:dyDescent="0.35">
      <c r="A1428">
        <v>32</v>
      </c>
      <c r="B1428" s="1" t="s">
        <v>39</v>
      </c>
      <c r="C1428" s="1" t="s">
        <v>40</v>
      </c>
      <c r="D1428">
        <v>29</v>
      </c>
      <c r="E1428">
        <v>4</v>
      </c>
      <c r="F1428" s="1" t="s">
        <v>32</v>
      </c>
      <c r="G1428">
        <v>3</v>
      </c>
      <c r="H1428" s="1" t="s">
        <v>33</v>
      </c>
      <c r="I1428">
        <v>2</v>
      </c>
      <c r="J1428">
        <v>1</v>
      </c>
      <c r="K1428" s="1" t="s">
        <v>45</v>
      </c>
      <c r="L1428">
        <v>2</v>
      </c>
      <c r="M1428" s="1" t="s">
        <v>35</v>
      </c>
      <c r="N1428">
        <v>2837</v>
      </c>
      <c r="O1428">
        <v>1</v>
      </c>
      <c r="P1428" s="1" t="s">
        <v>39</v>
      </c>
      <c r="Q1428">
        <v>13</v>
      </c>
      <c r="R1428">
        <v>3</v>
      </c>
      <c r="S1428">
        <v>0</v>
      </c>
      <c r="T1428">
        <v>6</v>
      </c>
      <c r="U1428">
        <v>3</v>
      </c>
      <c r="V1428">
        <v>3</v>
      </c>
      <c r="W1428">
        <v>6</v>
      </c>
      <c r="X1428">
        <v>2</v>
      </c>
      <c r="Y1428">
        <v>4</v>
      </c>
      <c r="Z1428">
        <v>1</v>
      </c>
      <c r="AA1428">
        <v>0</v>
      </c>
      <c r="AB1428" s="1" t="s">
        <v>48</v>
      </c>
      <c r="AC1428" t="s">
        <v>46</v>
      </c>
      <c r="AD1428" t="s">
        <v>38</v>
      </c>
      <c r="AE1428" s="2">
        <v>472.83333333333331</v>
      </c>
    </row>
    <row r="1429" spans="1:31" x14ac:dyDescent="0.35">
      <c r="A1429">
        <v>40</v>
      </c>
      <c r="B1429" s="1" t="s">
        <v>39</v>
      </c>
      <c r="C1429" s="1" t="s">
        <v>40</v>
      </c>
      <c r="D1429">
        <v>1</v>
      </c>
      <c r="E1429">
        <v>4</v>
      </c>
      <c r="F1429" s="1" t="s">
        <v>32</v>
      </c>
      <c r="G1429">
        <v>1</v>
      </c>
      <c r="H1429" s="1" t="s">
        <v>41</v>
      </c>
      <c r="I1429">
        <v>3</v>
      </c>
      <c r="J1429">
        <v>1</v>
      </c>
      <c r="K1429" s="1" t="s">
        <v>45</v>
      </c>
      <c r="L1429">
        <v>4</v>
      </c>
      <c r="M1429" s="1" t="s">
        <v>43</v>
      </c>
      <c r="N1429">
        <v>2406</v>
      </c>
      <c r="O1429">
        <v>8</v>
      </c>
      <c r="P1429" s="1" t="s">
        <v>39</v>
      </c>
      <c r="Q1429">
        <v>19</v>
      </c>
      <c r="R1429">
        <v>3</v>
      </c>
      <c r="S1429">
        <v>2</v>
      </c>
      <c r="T1429">
        <v>8</v>
      </c>
      <c r="U1429">
        <v>3</v>
      </c>
      <c r="V1429">
        <v>2</v>
      </c>
      <c r="W1429">
        <v>1</v>
      </c>
      <c r="X1429">
        <v>0</v>
      </c>
      <c r="Y1429">
        <v>0</v>
      </c>
      <c r="Z1429">
        <v>0</v>
      </c>
      <c r="AA1429">
        <v>0</v>
      </c>
      <c r="AB1429" s="1" t="s">
        <v>36</v>
      </c>
      <c r="AC1429" t="s">
        <v>46</v>
      </c>
      <c r="AD1429" t="s">
        <v>47</v>
      </c>
      <c r="AE1429" s="2">
        <v>2406</v>
      </c>
    </row>
    <row r="1430" spans="1:31" x14ac:dyDescent="0.35">
      <c r="A1430">
        <v>32</v>
      </c>
      <c r="B1430" s="1" t="s">
        <v>39</v>
      </c>
      <c r="C1430" s="1" t="s">
        <v>31</v>
      </c>
      <c r="D1430">
        <v>1</v>
      </c>
      <c r="E1430">
        <v>4</v>
      </c>
      <c r="F1430" s="1" t="s">
        <v>49</v>
      </c>
      <c r="G1430">
        <v>2</v>
      </c>
      <c r="H1430" s="1" t="s">
        <v>41</v>
      </c>
      <c r="I1430">
        <v>2</v>
      </c>
      <c r="J1430">
        <v>1</v>
      </c>
      <c r="K1430" s="1" t="s">
        <v>58</v>
      </c>
      <c r="L1430">
        <v>2</v>
      </c>
      <c r="M1430" s="1" t="s">
        <v>43</v>
      </c>
      <c r="N1430">
        <v>2269</v>
      </c>
      <c r="O1430">
        <v>0</v>
      </c>
      <c r="P1430" s="1" t="s">
        <v>39</v>
      </c>
      <c r="Q1430">
        <v>14</v>
      </c>
      <c r="R1430">
        <v>2</v>
      </c>
      <c r="S1430">
        <v>1</v>
      </c>
      <c r="T1430">
        <v>3</v>
      </c>
      <c r="U1430">
        <v>2</v>
      </c>
      <c r="V1430">
        <v>3</v>
      </c>
      <c r="W1430">
        <v>2</v>
      </c>
      <c r="X1430">
        <v>2</v>
      </c>
      <c r="Y1430">
        <v>2</v>
      </c>
      <c r="Z1430">
        <v>2</v>
      </c>
      <c r="AA1430">
        <v>0</v>
      </c>
      <c r="AB1430" s="1" t="s">
        <v>48</v>
      </c>
      <c r="AC1430" t="s">
        <v>46</v>
      </c>
      <c r="AD1430" t="s">
        <v>47</v>
      </c>
      <c r="AE1430" s="2">
        <v>1134.5</v>
      </c>
    </row>
    <row r="1431" spans="1:31" x14ac:dyDescent="0.35">
      <c r="A1431">
        <v>39</v>
      </c>
      <c r="B1431" s="1" t="s">
        <v>39</v>
      </c>
      <c r="C1431" s="1" t="s">
        <v>40</v>
      </c>
      <c r="D1431">
        <v>24</v>
      </c>
      <c r="E1431">
        <v>1</v>
      </c>
      <c r="F1431" s="1" t="s">
        <v>32</v>
      </c>
      <c r="G1431">
        <v>1</v>
      </c>
      <c r="H1431" s="1" t="s">
        <v>41</v>
      </c>
      <c r="I1431">
        <v>3</v>
      </c>
      <c r="J1431">
        <v>2</v>
      </c>
      <c r="K1431" s="1" t="s">
        <v>42</v>
      </c>
      <c r="L1431">
        <v>4</v>
      </c>
      <c r="M1431" s="1" t="s">
        <v>35</v>
      </c>
      <c r="N1431">
        <v>4108</v>
      </c>
      <c r="O1431">
        <v>7</v>
      </c>
      <c r="P1431" s="1" t="s">
        <v>39</v>
      </c>
      <c r="Q1431">
        <v>13</v>
      </c>
      <c r="R1431">
        <v>1</v>
      </c>
      <c r="S1431">
        <v>0</v>
      </c>
      <c r="T1431">
        <v>18</v>
      </c>
      <c r="U1431">
        <v>2</v>
      </c>
      <c r="V1431">
        <v>3</v>
      </c>
      <c r="W1431">
        <v>7</v>
      </c>
      <c r="X1431">
        <v>7</v>
      </c>
      <c r="Y1431">
        <v>1</v>
      </c>
      <c r="Z1431">
        <v>7</v>
      </c>
      <c r="AA1431">
        <v>0</v>
      </c>
      <c r="AB1431" s="1" t="s">
        <v>36</v>
      </c>
      <c r="AC1431" t="s">
        <v>37</v>
      </c>
      <c r="AD1431" t="s">
        <v>38</v>
      </c>
      <c r="AE1431" s="2">
        <v>586.85714285714289</v>
      </c>
    </row>
    <row r="1432" spans="1:31" x14ac:dyDescent="0.35">
      <c r="A1432">
        <v>38</v>
      </c>
      <c r="B1432" s="1" t="s">
        <v>39</v>
      </c>
      <c r="C1432" s="1" t="s">
        <v>40</v>
      </c>
      <c r="D1432">
        <v>10</v>
      </c>
      <c r="E1432">
        <v>3</v>
      </c>
      <c r="F1432" s="1" t="s">
        <v>49</v>
      </c>
      <c r="G1432">
        <v>2</v>
      </c>
      <c r="H1432" s="1" t="s">
        <v>33</v>
      </c>
      <c r="I1432">
        <v>1</v>
      </c>
      <c r="J1432">
        <v>3</v>
      </c>
      <c r="K1432" s="1" t="s">
        <v>59</v>
      </c>
      <c r="L1432">
        <v>3</v>
      </c>
      <c r="M1432" s="1" t="s">
        <v>43</v>
      </c>
      <c r="N1432">
        <v>13206</v>
      </c>
      <c r="O1432">
        <v>3</v>
      </c>
      <c r="P1432" s="1" t="s">
        <v>39</v>
      </c>
      <c r="Q1432">
        <v>12</v>
      </c>
      <c r="R1432">
        <v>1</v>
      </c>
      <c r="S1432">
        <v>1</v>
      </c>
      <c r="T1432">
        <v>20</v>
      </c>
      <c r="U1432">
        <v>3</v>
      </c>
      <c r="V1432">
        <v>3</v>
      </c>
      <c r="W1432">
        <v>18</v>
      </c>
      <c r="X1432">
        <v>16</v>
      </c>
      <c r="Y1432">
        <v>1</v>
      </c>
      <c r="Z1432">
        <v>11</v>
      </c>
      <c r="AA1432">
        <v>0</v>
      </c>
      <c r="AB1432" s="1" t="s">
        <v>36</v>
      </c>
      <c r="AC1432" t="s">
        <v>56</v>
      </c>
      <c r="AD1432" t="s">
        <v>57</v>
      </c>
      <c r="AE1432" s="2">
        <v>733.66666666666663</v>
      </c>
    </row>
    <row r="1433" spans="1:31" x14ac:dyDescent="0.35">
      <c r="A1433">
        <v>32</v>
      </c>
      <c r="B1433" s="1" t="s">
        <v>39</v>
      </c>
      <c r="C1433" s="1" t="s">
        <v>31</v>
      </c>
      <c r="D1433">
        <v>1</v>
      </c>
      <c r="E1433">
        <v>4</v>
      </c>
      <c r="F1433" s="1" t="s">
        <v>60</v>
      </c>
      <c r="G1433">
        <v>3</v>
      </c>
      <c r="H1433" s="1" t="s">
        <v>33</v>
      </c>
      <c r="I1433">
        <v>3</v>
      </c>
      <c r="J1433">
        <v>3</v>
      </c>
      <c r="K1433" s="1" t="s">
        <v>34</v>
      </c>
      <c r="L1433">
        <v>4</v>
      </c>
      <c r="M1433" s="1" t="s">
        <v>43</v>
      </c>
      <c r="N1433">
        <v>10422</v>
      </c>
      <c r="O1433">
        <v>1</v>
      </c>
      <c r="P1433" s="1" t="s">
        <v>39</v>
      </c>
      <c r="Q1433">
        <v>19</v>
      </c>
      <c r="R1433">
        <v>3</v>
      </c>
      <c r="S1433">
        <v>2</v>
      </c>
      <c r="T1433">
        <v>14</v>
      </c>
      <c r="U1433">
        <v>3</v>
      </c>
      <c r="V1433">
        <v>3</v>
      </c>
      <c r="W1433">
        <v>14</v>
      </c>
      <c r="X1433">
        <v>10</v>
      </c>
      <c r="Y1433">
        <v>5</v>
      </c>
      <c r="Z1433">
        <v>7</v>
      </c>
      <c r="AA1433">
        <v>0</v>
      </c>
      <c r="AB1433" s="1" t="s">
        <v>48</v>
      </c>
      <c r="AC1433" t="s">
        <v>56</v>
      </c>
      <c r="AD1433" t="s">
        <v>57</v>
      </c>
      <c r="AE1433" s="2">
        <v>744.42857142857144</v>
      </c>
    </row>
    <row r="1434" spans="1:31" x14ac:dyDescent="0.35">
      <c r="A1434">
        <v>37</v>
      </c>
      <c r="B1434" s="1" t="s">
        <v>39</v>
      </c>
      <c r="C1434" s="1" t="s">
        <v>40</v>
      </c>
      <c r="D1434">
        <v>10</v>
      </c>
      <c r="E1434">
        <v>3</v>
      </c>
      <c r="F1434" s="1" t="s">
        <v>32</v>
      </c>
      <c r="G1434">
        <v>3</v>
      </c>
      <c r="H1434" s="1" t="s">
        <v>33</v>
      </c>
      <c r="I1434">
        <v>4</v>
      </c>
      <c r="J1434">
        <v>3</v>
      </c>
      <c r="K1434" s="1" t="s">
        <v>59</v>
      </c>
      <c r="L1434">
        <v>4</v>
      </c>
      <c r="M1434" s="1" t="s">
        <v>43</v>
      </c>
      <c r="N1434">
        <v>13744</v>
      </c>
      <c r="O1434">
        <v>1</v>
      </c>
      <c r="P1434" s="1" t="s">
        <v>30</v>
      </c>
      <c r="Q1434">
        <v>25</v>
      </c>
      <c r="R1434">
        <v>1</v>
      </c>
      <c r="S1434">
        <v>1</v>
      </c>
      <c r="T1434">
        <v>16</v>
      </c>
      <c r="U1434">
        <v>2</v>
      </c>
      <c r="V1434">
        <v>3</v>
      </c>
      <c r="W1434">
        <v>16</v>
      </c>
      <c r="X1434">
        <v>11</v>
      </c>
      <c r="Y1434">
        <v>6</v>
      </c>
      <c r="Z1434">
        <v>8</v>
      </c>
      <c r="AA1434">
        <v>0</v>
      </c>
      <c r="AB1434" s="1" t="s">
        <v>36</v>
      </c>
      <c r="AC1434" t="s">
        <v>56</v>
      </c>
      <c r="AD1434" t="s">
        <v>57</v>
      </c>
      <c r="AE1434" s="2">
        <v>859</v>
      </c>
    </row>
    <row r="1435" spans="1:31" x14ac:dyDescent="0.35">
      <c r="A1435">
        <v>25</v>
      </c>
      <c r="B1435" s="1" t="s">
        <v>39</v>
      </c>
      <c r="C1435" s="1" t="s">
        <v>31</v>
      </c>
      <c r="D1435">
        <v>8</v>
      </c>
      <c r="E1435">
        <v>2</v>
      </c>
      <c r="F1435" s="1" t="s">
        <v>44</v>
      </c>
      <c r="G1435">
        <v>1</v>
      </c>
      <c r="H1435" s="1" t="s">
        <v>33</v>
      </c>
      <c r="I1435">
        <v>3</v>
      </c>
      <c r="J1435">
        <v>2</v>
      </c>
      <c r="K1435" s="1" t="s">
        <v>34</v>
      </c>
      <c r="L1435">
        <v>3</v>
      </c>
      <c r="M1435" s="1" t="s">
        <v>50</v>
      </c>
      <c r="N1435">
        <v>4907</v>
      </c>
      <c r="O1435">
        <v>0</v>
      </c>
      <c r="P1435" s="1" t="s">
        <v>30</v>
      </c>
      <c r="Q1435">
        <v>22</v>
      </c>
      <c r="R1435">
        <v>2</v>
      </c>
      <c r="S1435">
        <v>1</v>
      </c>
      <c r="T1435">
        <v>6</v>
      </c>
      <c r="U1435">
        <v>3</v>
      </c>
      <c r="V1435">
        <v>2</v>
      </c>
      <c r="W1435">
        <v>5</v>
      </c>
      <c r="X1435">
        <v>3</v>
      </c>
      <c r="Y1435">
        <v>0</v>
      </c>
      <c r="Z1435">
        <v>4</v>
      </c>
      <c r="AA1435">
        <v>0</v>
      </c>
      <c r="AB1435" s="1" t="s">
        <v>54</v>
      </c>
      <c r="AC1435" t="s">
        <v>37</v>
      </c>
      <c r="AD1435" t="s">
        <v>53</v>
      </c>
      <c r="AE1435" s="2">
        <v>981.4</v>
      </c>
    </row>
    <row r="1436" spans="1:31" x14ac:dyDescent="0.35">
      <c r="A1436">
        <v>52</v>
      </c>
      <c r="B1436" s="1" t="s">
        <v>39</v>
      </c>
      <c r="C1436" s="1" t="s">
        <v>31</v>
      </c>
      <c r="D1436">
        <v>29</v>
      </c>
      <c r="E1436">
        <v>4</v>
      </c>
      <c r="F1436" s="1" t="s">
        <v>32</v>
      </c>
      <c r="G1436">
        <v>1</v>
      </c>
      <c r="H1436" s="1" t="s">
        <v>41</v>
      </c>
      <c r="I1436">
        <v>3</v>
      </c>
      <c r="J1436">
        <v>1</v>
      </c>
      <c r="K1436" s="1" t="s">
        <v>58</v>
      </c>
      <c r="L1436">
        <v>4</v>
      </c>
      <c r="M1436" s="1" t="s">
        <v>50</v>
      </c>
      <c r="N1436">
        <v>3482</v>
      </c>
      <c r="O1436">
        <v>2</v>
      </c>
      <c r="P1436" s="1" t="s">
        <v>39</v>
      </c>
      <c r="Q1436">
        <v>15</v>
      </c>
      <c r="R1436">
        <v>2</v>
      </c>
      <c r="S1436">
        <v>2</v>
      </c>
      <c r="T1436">
        <v>16</v>
      </c>
      <c r="U1436">
        <v>3</v>
      </c>
      <c r="V1436">
        <v>2</v>
      </c>
      <c r="W1436">
        <v>9</v>
      </c>
      <c r="X1436">
        <v>8</v>
      </c>
      <c r="Y1436">
        <v>0</v>
      </c>
      <c r="Z1436">
        <v>0</v>
      </c>
      <c r="AA1436">
        <v>0</v>
      </c>
      <c r="AB1436" s="1" t="s">
        <v>82</v>
      </c>
      <c r="AC1436" t="s">
        <v>46</v>
      </c>
      <c r="AD1436" t="s">
        <v>38</v>
      </c>
      <c r="AE1436" s="2">
        <v>386.88888888888891</v>
      </c>
    </row>
    <row r="1437" spans="1:31" x14ac:dyDescent="0.35">
      <c r="A1437">
        <v>44</v>
      </c>
      <c r="B1437" s="1" t="s">
        <v>39</v>
      </c>
      <c r="C1437" s="1" t="s">
        <v>40</v>
      </c>
      <c r="D1437">
        <v>1</v>
      </c>
      <c r="E1437">
        <v>3</v>
      </c>
      <c r="F1437" s="1" t="s">
        <v>49</v>
      </c>
      <c r="G1437">
        <v>2</v>
      </c>
      <c r="H1437" s="1" t="s">
        <v>41</v>
      </c>
      <c r="I1437">
        <v>3</v>
      </c>
      <c r="J1437">
        <v>1</v>
      </c>
      <c r="K1437" s="1" t="s">
        <v>42</v>
      </c>
      <c r="L1437">
        <v>4</v>
      </c>
      <c r="M1437" s="1" t="s">
        <v>35</v>
      </c>
      <c r="N1437">
        <v>2436</v>
      </c>
      <c r="O1437">
        <v>6</v>
      </c>
      <c r="P1437" s="1" t="s">
        <v>30</v>
      </c>
      <c r="Q1437">
        <v>12</v>
      </c>
      <c r="R1437">
        <v>3</v>
      </c>
      <c r="S1437">
        <v>0</v>
      </c>
      <c r="T1437">
        <v>6</v>
      </c>
      <c r="U1437">
        <v>2</v>
      </c>
      <c r="V1437">
        <v>3</v>
      </c>
      <c r="W1437">
        <v>4</v>
      </c>
      <c r="X1437">
        <v>3</v>
      </c>
      <c r="Y1437">
        <v>1</v>
      </c>
      <c r="Z1437">
        <v>2</v>
      </c>
      <c r="AA1437">
        <v>0</v>
      </c>
      <c r="AB1437" s="1" t="s">
        <v>36</v>
      </c>
      <c r="AC1437" t="s">
        <v>46</v>
      </c>
      <c r="AD1437" t="s">
        <v>53</v>
      </c>
      <c r="AE1437" s="2">
        <v>609</v>
      </c>
    </row>
    <row r="1438" spans="1:31" x14ac:dyDescent="0.35">
      <c r="A1438">
        <v>21</v>
      </c>
      <c r="B1438" s="1" t="s">
        <v>39</v>
      </c>
      <c r="C1438" s="1" t="s">
        <v>31</v>
      </c>
      <c r="D1438">
        <v>5</v>
      </c>
      <c r="E1438">
        <v>1</v>
      </c>
      <c r="F1438" s="1" t="s">
        <v>49</v>
      </c>
      <c r="G1438">
        <v>3</v>
      </c>
      <c r="H1438" s="1" t="s">
        <v>41</v>
      </c>
      <c r="I1438">
        <v>3</v>
      </c>
      <c r="J1438">
        <v>1</v>
      </c>
      <c r="K1438" s="1" t="s">
        <v>58</v>
      </c>
      <c r="L1438">
        <v>1</v>
      </c>
      <c r="M1438" s="1" t="s">
        <v>35</v>
      </c>
      <c r="N1438">
        <v>2380</v>
      </c>
      <c r="O1438">
        <v>1</v>
      </c>
      <c r="P1438" s="1" t="s">
        <v>30</v>
      </c>
      <c r="Q1438">
        <v>11</v>
      </c>
      <c r="R1438">
        <v>4</v>
      </c>
      <c r="S1438">
        <v>0</v>
      </c>
      <c r="T1438">
        <v>2</v>
      </c>
      <c r="U1438">
        <v>6</v>
      </c>
      <c r="V1438">
        <v>3</v>
      </c>
      <c r="W1438">
        <v>2</v>
      </c>
      <c r="X1438">
        <v>2</v>
      </c>
      <c r="Y1438">
        <v>1</v>
      </c>
      <c r="Z1438">
        <v>2</v>
      </c>
      <c r="AA1438">
        <v>0</v>
      </c>
      <c r="AB1438" s="1" t="s">
        <v>54</v>
      </c>
      <c r="AC1438" t="s">
        <v>46</v>
      </c>
      <c r="AD1438" t="s">
        <v>47</v>
      </c>
      <c r="AE1438" s="2">
        <v>1190</v>
      </c>
    </row>
    <row r="1439" spans="1:31" x14ac:dyDescent="0.35">
      <c r="A1439">
        <v>39</v>
      </c>
      <c r="B1439" s="1" t="s">
        <v>39</v>
      </c>
      <c r="C1439" s="1" t="s">
        <v>40</v>
      </c>
      <c r="D1439">
        <v>9</v>
      </c>
      <c r="E1439">
        <v>3</v>
      </c>
      <c r="F1439" s="1" t="s">
        <v>32</v>
      </c>
      <c r="G1439">
        <v>4</v>
      </c>
      <c r="H1439" s="1" t="s">
        <v>41</v>
      </c>
      <c r="I1439">
        <v>3</v>
      </c>
      <c r="J1439">
        <v>5</v>
      </c>
      <c r="K1439" s="1" t="s">
        <v>55</v>
      </c>
      <c r="L1439">
        <v>4</v>
      </c>
      <c r="M1439" s="1" t="s">
        <v>35</v>
      </c>
      <c r="N1439">
        <v>19431</v>
      </c>
      <c r="O1439">
        <v>2</v>
      </c>
      <c r="P1439" s="1" t="s">
        <v>39</v>
      </c>
      <c r="Q1439">
        <v>13</v>
      </c>
      <c r="R1439">
        <v>3</v>
      </c>
      <c r="S1439">
        <v>0</v>
      </c>
      <c r="T1439">
        <v>21</v>
      </c>
      <c r="U1439">
        <v>3</v>
      </c>
      <c r="V1439">
        <v>2</v>
      </c>
      <c r="W1439">
        <v>6</v>
      </c>
      <c r="X1439">
        <v>0</v>
      </c>
      <c r="Y1439">
        <v>1</v>
      </c>
      <c r="Z1439">
        <v>3</v>
      </c>
      <c r="AA1439">
        <v>0</v>
      </c>
      <c r="AB1439" s="1" t="s">
        <v>36</v>
      </c>
      <c r="AC1439" t="s">
        <v>56</v>
      </c>
      <c r="AD1439" t="s">
        <v>38</v>
      </c>
      <c r="AE1439" s="2">
        <v>3238.5</v>
      </c>
    </row>
    <row r="1440" spans="1:31" x14ac:dyDescent="0.35">
      <c r="A1440">
        <v>23</v>
      </c>
      <c r="B1440" s="1" t="s">
        <v>30</v>
      </c>
      <c r="C1440" s="1" t="s">
        <v>31</v>
      </c>
      <c r="D1440">
        <v>9</v>
      </c>
      <c r="E1440">
        <v>3</v>
      </c>
      <c r="F1440" s="1" t="s">
        <v>60</v>
      </c>
      <c r="G1440">
        <v>4</v>
      </c>
      <c r="H1440" s="1" t="s">
        <v>41</v>
      </c>
      <c r="I1440">
        <v>3</v>
      </c>
      <c r="J1440">
        <v>1</v>
      </c>
      <c r="K1440" s="1" t="s">
        <v>58</v>
      </c>
      <c r="L1440">
        <v>1</v>
      </c>
      <c r="M1440" s="1" t="s">
        <v>43</v>
      </c>
      <c r="N1440">
        <v>1790</v>
      </c>
      <c r="O1440">
        <v>1</v>
      </c>
      <c r="P1440" s="1" t="s">
        <v>39</v>
      </c>
      <c r="Q1440">
        <v>19</v>
      </c>
      <c r="R1440">
        <v>1</v>
      </c>
      <c r="S1440">
        <v>1</v>
      </c>
      <c r="T1440">
        <v>1</v>
      </c>
      <c r="U1440">
        <v>3</v>
      </c>
      <c r="V1440">
        <v>2</v>
      </c>
      <c r="W1440">
        <v>1</v>
      </c>
      <c r="X1440">
        <v>0</v>
      </c>
      <c r="Y1440">
        <v>1</v>
      </c>
      <c r="Z1440">
        <v>0</v>
      </c>
      <c r="AA1440">
        <v>1</v>
      </c>
      <c r="AB1440" s="1" t="s">
        <v>54</v>
      </c>
      <c r="AC1440" t="s">
        <v>46</v>
      </c>
      <c r="AD1440" t="s">
        <v>47</v>
      </c>
      <c r="AE1440" s="2">
        <v>1790</v>
      </c>
    </row>
    <row r="1441" spans="1:31" x14ac:dyDescent="0.35">
      <c r="A1441">
        <v>36</v>
      </c>
      <c r="B1441" s="1" t="s">
        <v>39</v>
      </c>
      <c r="C1441" s="1" t="s">
        <v>31</v>
      </c>
      <c r="D1441">
        <v>3</v>
      </c>
      <c r="E1441">
        <v>3</v>
      </c>
      <c r="F1441" s="1" t="s">
        <v>49</v>
      </c>
      <c r="G1441">
        <v>1</v>
      </c>
      <c r="H1441" s="1" t="s">
        <v>33</v>
      </c>
      <c r="I1441">
        <v>2</v>
      </c>
      <c r="J1441">
        <v>3</v>
      </c>
      <c r="K1441" s="1" t="s">
        <v>34</v>
      </c>
      <c r="L1441">
        <v>4</v>
      </c>
      <c r="M1441" s="1" t="s">
        <v>43</v>
      </c>
      <c r="N1441">
        <v>7644</v>
      </c>
      <c r="O1441">
        <v>0</v>
      </c>
      <c r="P1441" s="1" t="s">
        <v>39</v>
      </c>
      <c r="Q1441">
        <v>19</v>
      </c>
      <c r="R1441">
        <v>3</v>
      </c>
      <c r="S1441">
        <v>2</v>
      </c>
      <c r="T1441">
        <v>10</v>
      </c>
      <c r="U1441">
        <v>2</v>
      </c>
      <c r="V1441">
        <v>3</v>
      </c>
      <c r="W1441">
        <v>9</v>
      </c>
      <c r="X1441">
        <v>7</v>
      </c>
      <c r="Y1441">
        <v>3</v>
      </c>
      <c r="Z1441">
        <v>4</v>
      </c>
      <c r="AA1441">
        <v>0</v>
      </c>
      <c r="AB1441" s="1" t="s">
        <v>36</v>
      </c>
      <c r="AC1441" t="s">
        <v>37</v>
      </c>
      <c r="AD1441" t="s">
        <v>38</v>
      </c>
      <c r="AE1441" s="2">
        <v>849.33333333333337</v>
      </c>
    </row>
    <row r="1442" spans="1:31" x14ac:dyDescent="0.35">
      <c r="A1442">
        <v>36</v>
      </c>
      <c r="B1442" s="1" t="s">
        <v>39</v>
      </c>
      <c r="C1442" s="1" t="s">
        <v>40</v>
      </c>
      <c r="D1442">
        <v>4</v>
      </c>
      <c r="E1442">
        <v>2</v>
      </c>
      <c r="F1442" s="1" t="s">
        <v>32</v>
      </c>
      <c r="G1442">
        <v>4</v>
      </c>
      <c r="H1442" s="1" t="s">
        <v>33</v>
      </c>
      <c r="I1442">
        <v>3</v>
      </c>
      <c r="J1442">
        <v>2</v>
      </c>
      <c r="K1442" s="1" t="s">
        <v>51</v>
      </c>
      <c r="L1442">
        <v>2</v>
      </c>
      <c r="M1442" s="1" t="s">
        <v>50</v>
      </c>
      <c r="N1442">
        <v>5131</v>
      </c>
      <c r="O1442">
        <v>7</v>
      </c>
      <c r="P1442" s="1" t="s">
        <v>39</v>
      </c>
      <c r="Q1442">
        <v>13</v>
      </c>
      <c r="R1442">
        <v>2</v>
      </c>
      <c r="S1442">
        <v>3</v>
      </c>
      <c r="T1442">
        <v>18</v>
      </c>
      <c r="U1442">
        <v>3</v>
      </c>
      <c r="V1442">
        <v>3</v>
      </c>
      <c r="W1442">
        <v>4</v>
      </c>
      <c r="X1442">
        <v>2</v>
      </c>
      <c r="Y1442">
        <v>0</v>
      </c>
      <c r="Z1442">
        <v>2</v>
      </c>
      <c r="AA1442">
        <v>0</v>
      </c>
      <c r="AB1442" s="1" t="s">
        <v>36</v>
      </c>
      <c r="AC1442" t="s">
        <v>37</v>
      </c>
      <c r="AD1442" t="s">
        <v>53</v>
      </c>
      <c r="AE1442" s="2">
        <v>1282.75</v>
      </c>
    </row>
    <row r="1443" spans="1:31" x14ac:dyDescent="0.35">
      <c r="A1443">
        <v>56</v>
      </c>
      <c r="B1443" s="1" t="s">
        <v>39</v>
      </c>
      <c r="C1443" s="1" t="s">
        <v>40</v>
      </c>
      <c r="D1443">
        <v>1</v>
      </c>
      <c r="E1443">
        <v>4</v>
      </c>
      <c r="F1443" s="1" t="s">
        <v>32</v>
      </c>
      <c r="G1443">
        <v>3</v>
      </c>
      <c r="H1443" s="1" t="s">
        <v>41</v>
      </c>
      <c r="I1443">
        <v>3</v>
      </c>
      <c r="J1443">
        <v>2</v>
      </c>
      <c r="K1443" s="1" t="s">
        <v>52</v>
      </c>
      <c r="L1443">
        <v>3</v>
      </c>
      <c r="M1443" s="1" t="s">
        <v>50</v>
      </c>
      <c r="N1443">
        <v>6306</v>
      </c>
      <c r="O1443">
        <v>1</v>
      </c>
      <c r="P1443" s="1" t="s">
        <v>39</v>
      </c>
      <c r="Q1443">
        <v>21</v>
      </c>
      <c r="R1443">
        <v>1</v>
      </c>
      <c r="S1443">
        <v>1</v>
      </c>
      <c r="T1443">
        <v>13</v>
      </c>
      <c r="U1443">
        <v>2</v>
      </c>
      <c r="V1443">
        <v>2</v>
      </c>
      <c r="W1443">
        <v>13</v>
      </c>
      <c r="X1443">
        <v>12</v>
      </c>
      <c r="Y1443">
        <v>1</v>
      </c>
      <c r="Z1443">
        <v>9</v>
      </c>
      <c r="AA1443">
        <v>0</v>
      </c>
      <c r="AB1443" s="1" t="s">
        <v>82</v>
      </c>
      <c r="AC1443" t="s">
        <v>37</v>
      </c>
      <c r="AD1443" t="s">
        <v>57</v>
      </c>
      <c r="AE1443" s="2">
        <v>485.07692307692309</v>
      </c>
    </row>
    <row r="1444" spans="1:31" x14ac:dyDescent="0.35">
      <c r="A1444">
        <v>29</v>
      </c>
      <c r="B1444" s="1" t="s">
        <v>30</v>
      </c>
      <c r="C1444" s="1" t="s">
        <v>40</v>
      </c>
      <c r="D1444">
        <v>1</v>
      </c>
      <c r="E1444">
        <v>4</v>
      </c>
      <c r="F1444" s="1" t="s">
        <v>49</v>
      </c>
      <c r="G1444">
        <v>1</v>
      </c>
      <c r="H1444" s="1" t="s">
        <v>41</v>
      </c>
      <c r="I1444">
        <v>3</v>
      </c>
      <c r="J1444">
        <v>1</v>
      </c>
      <c r="K1444" s="1" t="s">
        <v>42</v>
      </c>
      <c r="L1444">
        <v>4</v>
      </c>
      <c r="M1444" s="1" t="s">
        <v>43</v>
      </c>
      <c r="N1444">
        <v>4787</v>
      </c>
      <c r="O1444">
        <v>9</v>
      </c>
      <c r="P1444" s="1" t="s">
        <v>30</v>
      </c>
      <c r="Q1444">
        <v>14</v>
      </c>
      <c r="R1444">
        <v>2</v>
      </c>
      <c r="S1444">
        <v>3</v>
      </c>
      <c r="T1444">
        <v>4</v>
      </c>
      <c r="U1444">
        <v>3</v>
      </c>
      <c r="V1444">
        <v>4</v>
      </c>
      <c r="W1444">
        <v>2</v>
      </c>
      <c r="X1444">
        <v>2</v>
      </c>
      <c r="Y1444">
        <v>2</v>
      </c>
      <c r="Z1444">
        <v>2</v>
      </c>
      <c r="AA1444">
        <v>1</v>
      </c>
      <c r="AB1444" s="1" t="s">
        <v>48</v>
      </c>
      <c r="AC1444" t="s">
        <v>37</v>
      </c>
      <c r="AD1444" t="s">
        <v>47</v>
      </c>
      <c r="AE1444" s="2">
        <v>2393.5</v>
      </c>
    </row>
    <row r="1445" spans="1:31" x14ac:dyDescent="0.35">
      <c r="A1445">
        <v>42</v>
      </c>
      <c r="B1445" s="1" t="s">
        <v>39</v>
      </c>
      <c r="C1445" s="1" t="s">
        <v>40</v>
      </c>
      <c r="D1445">
        <v>2</v>
      </c>
      <c r="E1445">
        <v>3</v>
      </c>
      <c r="F1445" s="1" t="s">
        <v>32</v>
      </c>
      <c r="G1445">
        <v>1</v>
      </c>
      <c r="H1445" s="1" t="s">
        <v>41</v>
      </c>
      <c r="I1445">
        <v>3</v>
      </c>
      <c r="J1445">
        <v>5</v>
      </c>
      <c r="K1445" s="1" t="s">
        <v>55</v>
      </c>
      <c r="L1445">
        <v>3</v>
      </c>
      <c r="M1445" s="1" t="s">
        <v>43</v>
      </c>
      <c r="N1445">
        <v>18880</v>
      </c>
      <c r="O1445">
        <v>5</v>
      </c>
      <c r="P1445" s="1" t="s">
        <v>39</v>
      </c>
      <c r="Q1445">
        <v>11</v>
      </c>
      <c r="R1445">
        <v>1</v>
      </c>
      <c r="S1445">
        <v>0</v>
      </c>
      <c r="T1445">
        <v>24</v>
      </c>
      <c r="U1445">
        <v>2</v>
      </c>
      <c r="V1445">
        <v>2</v>
      </c>
      <c r="W1445">
        <v>22</v>
      </c>
      <c r="X1445">
        <v>6</v>
      </c>
      <c r="Y1445">
        <v>4</v>
      </c>
      <c r="Z1445">
        <v>14</v>
      </c>
      <c r="AA1445">
        <v>0</v>
      </c>
      <c r="AB1445" s="1" t="s">
        <v>36</v>
      </c>
      <c r="AC1445" t="s">
        <v>56</v>
      </c>
      <c r="AD1445" t="s">
        <v>57</v>
      </c>
      <c r="AE1445" s="2">
        <v>858.18181818181813</v>
      </c>
    </row>
    <row r="1446" spans="1:31" x14ac:dyDescent="0.35">
      <c r="A1446">
        <v>56</v>
      </c>
      <c r="B1446" s="1" t="s">
        <v>30</v>
      </c>
      <c r="C1446" s="1" t="s">
        <v>40</v>
      </c>
      <c r="D1446">
        <v>7</v>
      </c>
      <c r="E1446">
        <v>2</v>
      </c>
      <c r="F1446" s="1" t="s">
        <v>61</v>
      </c>
      <c r="G1446">
        <v>4</v>
      </c>
      <c r="H1446" s="1" t="s">
        <v>41</v>
      </c>
      <c r="I1446">
        <v>3</v>
      </c>
      <c r="J1446">
        <v>1</v>
      </c>
      <c r="K1446" s="1" t="s">
        <v>45</v>
      </c>
      <c r="L1446">
        <v>3</v>
      </c>
      <c r="M1446" s="1" t="s">
        <v>43</v>
      </c>
      <c r="N1446">
        <v>2339</v>
      </c>
      <c r="O1446">
        <v>8</v>
      </c>
      <c r="P1446" s="1" t="s">
        <v>39</v>
      </c>
      <c r="Q1446">
        <v>11</v>
      </c>
      <c r="R1446">
        <v>4</v>
      </c>
      <c r="S1446">
        <v>1</v>
      </c>
      <c r="T1446">
        <v>14</v>
      </c>
      <c r="U1446">
        <v>4</v>
      </c>
      <c r="V1446">
        <v>1</v>
      </c>
      <c r="W1446">
        <v>10</v>
      </c>
      <c r="X1446">
        <v>9</v>
      </c>
      <c r="Y1446">
        <v>9</v>
      </c>
      <c r="Z1446">
        <v>8</v>
      </c>
      <c r="AA1446">
        <v>1</v>
      </c>
      <c r="AB1446" s="1" t="s">
        <v>82</v>
      </c>
      <c r="AC1446" t="s">
        <v>46</v>
      </c>
      <c r="AD1446" t="s">
        <v>38</v>
      </c>
      <c r="AE1446" s="2">
        <v>233.9</v>
      </c>
    </row>
    <row r="1447" spans="1:31" x14ac:dyDescent="0.35">
      <c r="A1447">
        <v>41</v>
      </c>
      <c r="B1447" s="1" t="s">
        <v>39</v>
      </c>
      <c r="C1447" s="1" t="s">
        <v>40</v>
      </c>
      <c r="D1447">
        <v>28</v>
      </c>
      <c r="E1447">
        <v>4</v>
      </c>
      <c r="F1447" s="1" t="s">
        <v>32</v>
      </c>
      <c r="G1447">
        <v>1</v>
      </c>
      <c r="H1447" s="1" t="s">
        <v>33</v>
      </c>
      <c r="I1447">
        <v>2</v>
      </c>
      <c r="J1447">
        <v>4</v>
      </c>
      <c r="K1447" s="1" t="s">
        <v>51</v>
      </c>
      <c r="L1447">
        <v>2</v>
      </c>
      <c r="M1447" s="1" t="s">
        <v>43</v>
      </c>
      <c r="N1447">
        <v>13570</v>
      </c>
      <c r="O1447">
        <v>0</v>
      </c>
      <c r="P1447" s="1" t="s">
        <v>39</v>
      </c>
      <c r="Q1447">
        <v>23</v>
      </c>
      <c r="R1447">
        <v>3</v>
      </c>
      <c r="S1447">
        <v>1</v>
      </c>
      <c r="T1447">
        <v>21</v>
      </c>
      <c r="U1447">
        <v>3</v>
      </c>
      <c r="V1447">
        <v>3</v>
      </c>
      <c r="W1447">
        <v>20</v>
      </c>
      <c r="X1447">
        <v>7</v>
      </c>
      <c r="Y1447">
        <v>0</v>
      </c>
      <c r="Z1447">
        <v>10</v>
      </c>
      <c r="AA1447">
        <v>0</v>
      </c>
      <c r="AB1447" s="1" t="s">
        <v>36</v>
      </c>
      <c r="AC1447" t="s">
        <v>56</v>
      </c>
      <c r="AD1447" t="s">
        <v>57</v>
      </c>
      <c r="AE1447" s="2">
        <v>678.5</v>
      </c>
    </row>
    <row r="1448" spans="1:31" x14ac:dyDescent="0.35">
      <c r="A1448">
        <v>34</v>
      </c>
      <c r="B1448" s="1" t="s">
        <v>39</v>
      </c>
      <c r="C1448" s="1" t="s">
        <v>31</v>
      </c>
      <c r="D1448">
        <v>28</v>
      </c>
      <c r="E1448">
        <v>3</v>
      </c>
      <c r="F1448" s="1" t="s">
        <v>60</v>
      </c>
      <c r="G1448">
        <v>4</v>
      </c>
      <c r="H1448" s="1" t="s">
        <v>33</v>
      </c>
      <c r="I1448">
        <v>2</v>
      </c>
      <c r="J1448">
        <v>2</v>
      </c>
      <c r="K1448" s="1" t="s">
        <v>34</v>
      </c>
      <c r="L1448">
        <v>3</v>
      </c>
      <c r="M1448" s="1" t="s">
        <v>43</v>
      </c>
      <c r="N1448">
        <v>6712</v>
      </c>
      <c r="O1448">
        <v>1</v>
      </c>
      <c r="P1448" s="1" t="s">
        <v>39</v>
      </c>
      <c r="Q1448">
        <v>21</v>
      </c>
      <c r="R1448">
        <v>4</v>
      </c>
      <c r="S1448">
        <v>2</v>
      </c>
      <c r="T1448">
        <v>8</v>
      </c>
      <c r="U1448">
        <v>2</v>
      </c>
      <c r="V1448">
        <v>3</v>
      </c>
      <c r="W1448">
        <v>8</v>
      </c>
      <c r="X1448">
        <v>7</v>
      </c>
      <c r="Y1448">
        <v>1</v>
      </c>
      <c r="Z1448">
        <v>7</v>
      </c>
      <c r="AA1448">
        <v>0</v>
      </c>
      <c r="AB1448" s="1" t="s">
        <v>48</v>
      </c>
      <c r="AC1448" t="s">
        <v>37</v>
      </c>
      <c r="AD1448" t="s">
        <v>38</v>
      </c>
      <c r="AE1448" s="2">
        <v>839</v>
      </c>
    </row>
    <row r="1449" spans="1:31" x14ac:dyDescent="0.35">
      <c r="A1449">
        <v>36</v>
      </c>
      <c r="B1449" s="1" t="s">
        <v>39</v>
      </c>
      <c r="C1449" s="1" t="s">
        <v>31</v>
      </c>
      <c r="D1449">
        <v>15</v>
      </c>
      <c r="E1449">
        <v>4</v>
      </c>
      <c r="F1449" s="1" t="s">
        <v>60</v>
      </c>
      <c r="G1449">
        <v>4</v>
      </c>
      <c r="H1449" s="1" t="s">
        <v>41</v>
      </c>
      <c r="I1449">
        <v>1</v>
      </c>
      <c r="J1449">
        <v>2</v>
      </c>
      <c r="K1449" s="1" t="s">
        <v>34</v>
      </c>
      <c r="L1449">
        <v>4</v>
      </c>
      <c r="M1449" s="1" t="s">
        <v>50</v>
      </c>
      <c r="N1449">
        <v>5406</v>
      </c>
      <c r="O1449">
        <v>1</v>
      </c>
      <c r="P1449" s="1" t="s">
        <v>39</v>
      </c>
      <c r="Q1449">
        <v>24</v>
      </c>
      <c r="R1449">
        <v>1</v>
      </c>
      <c r="S1449">
        <v>1</v>
      </c>
      <c r="T1449">
        <v>15</v>
      </c>
      <c r="U1449">
        <v>4</v>
      </c>
      <c r="V1449">
        <v>2</v>
      </c>
      <c r="W1449">
        <v>15</v>
      </c>
      <c r="X1449">
        <v>12</v>
      </c>
      <c r="Y1449">
        <v>11</v>
      </c>
      <c r="Z1449">
        <v>11</v>
      </c>
      <c r="AA1449">
        <v>0</v>
      </c>
      <c r="AB1449" s="1" t="s">
        <v>36</v>
      </c>
      <c r="AC1449" t="s">
        <v>37</v>
      </c>
      <c r="AD1449" t="s">
        <v>57</v>
      </c>
      <c r="AE1449" s="2">
        <v>360.4</v>
      </c>
    </row>
    <row r="1450" spans="1:31" x14ac:dyDescent="0.35">
      <c r="A1450">
        <v>41</v>
      </c>
      <c r="B1450" s="1" t="s">
        <v>39</v>
      </c>
      <c r="C1450" s="1" t="s">
        <v>31</v>
      </c>
      <c r="D1450">
        <v>3</v>
      </c>
      <c r="E1450">
        <v>3</v>
      </c>
      <c r="F1450" s="1" t="s">
        <v>32</v>
      </c>
      <c r="G1450">
        <v>3</v>
      </c>
      <c r="H1450" s="1" t="s">
        <v>41</v>
      </c>
      <c r="I1450">
        <v>2</v>
      </c>
      <c r="J1450">
        <v>2</v>
      </c>
      <c r="K1450" s="1" t="s">
        <v>34</v>
      </c>
      <c r="L1450">
        <v>2</v>
      </c>
      <c r="M1450" s="1" t="s">
        <v>50</v>
      </c>
      <c r="N1450">
        <v>8938</v>
      </c>
      <c r="O1450">
        <v>2</v>
      </c>
      <c r="P1450" s="1" t="s">
        <v>39</v>
      </c>
      <c r="Q1450">
        <v>11</v>
      </c>
      <c r="R1450">
        <v>3</v>
      </c>
      <c r="S1450">
        <v>1</v>
      </c>
      <c r="T1450">
        <v>14</v>
      </c>
      <c r="U1450">
        <v>5</v>
      </c>
      <c r="V1450">
        <v>3</v>
      </c>
      <c r="W1450">
        <v>5</v>
      </c>
      <c r="X1450">
        <v>4</v>
      </c>
      <c r="Y1450">
        <v>0</v>
      </c>
      <c r="Z1450">
        <v>4</v>
      </c>
      <c r="AA1450">
        <v>0</v>
      </c>
      <c r="AB1450" s="1" t="s">
        <v>36</v>
      </c>
      <c r="AC1450" t="s">
        <v>37</v>
      </c>
      <c r="AD1450" t="s">
        <v>53</v>
      </c>
      <c r="AE1450" s="2">
        <v>1787.6</v>
      </c>
    </row>
    <row r="1451" spans="1:31" x14ac:dyDescent="0.35">
      <c r="A1451">
        <v>32</v>
      </c>
      <c r="B1451" s="1" t="s">
        <v>39</v>
      </c>
      <c r="C1451" s="1" t="s">
        <v>40</v>
      </c>
      <c r="D1451">
        <v>2</v>
      </c>
      <c r="E1451">
        <v>3</v>
      </c>
      <c r="F1451" s="1" t="s">
        <v>61</v>
      </c>
      <c r="G1451">
        <v>4</v>
      </c>
      <c r="H1451" s="1" t="s">
        <v>41</v>
      </c>
      <c r="I1451">
        <v>3</v>
      </c>
      <c r="J1451">
        <v>1</v>
      </c>
      <c r="K1451" s="1" t="s">
        <v>42</v>
      </c>
      <c r="L1451">
        <v>1</v>
      </c>
      <c r="M1451" s="1" t="s">
        <v>35</v>
      </c>
      <c r="N1451">
        <v>2439</v>
      </c>
      <c r="O1451">
        <v>1</v>
      </c>
      <c r="P1451" s="1" t="s">
        <v>39</v>
      </c>
      <c r="Q1451">
        <v>14</v>
      </c>
      <c r="R1451">
        <v>4</v>
      </c>
      <c r="S1451">
        <v>0</v>
      </c>
      <c r="T1451">
        <v>4</v>
      </c>
      <c r="U1451">
        <v>4</v>
      </c>
      <c r="V1451">
        <v>3</v>
      </c>
      <c r="W1451">
        <v>4</v>
      </c>
      <c r="X1451">
        <v>2</v>
      </c>
      <c r="Y1451">
        <v>1</v>
      </c>
      <c r="Z1451">
        <v>2</v>
      </c>
      <c r="AA1451">
        <v>0</v>
      </c>
      <c r="AB1451" s="1" t="s">
        <v>48</v>
      </c>
      <c r="AC1451" t="s">
        <v>46</v>
      </c>
      <c r="AD1451" t="s">
        <v>53</v>
      </c>
      <c r="AE1451" s="2">
        <v>609.75</v>
      </c>
    </row>
    <row r="1452" spans="1:31" x14ac:dyDescent="0.35">
      <c r="A1452">
        <v>35</v>
      </c>
      <c r="B1452" s="1" t="s">
        <v>39</v>
      </c>
      <c r="C1452" s="1" t="s">
        <v>62</v>
      </c>
      <c r="D1452">
        <v>26</v>
      </c>
      <c r="E1452">
        <v>4</v>
      </c>
      <c r="F1452" s="1" t="s">
        <v>32</v>
      </c>
      <c r="G1452">
        <v>3</v>
      </c>
      <c r="H1452" s="1" t="s">
        <v>33</v>
      </c>
      <c r="I1452">
        <v>3</v>
      </c>
      <c r="J1452">
        <v>3</v>
      </c>
      <c r="K1452" s="1" t="s">
        <v>62</v>
      </c>
      <c r="L1452">
        <v>4</v>
      </c>
      <c r="M1452" s="1" t="s">
        <v>35</v>
      </c>
      <c r="N1452">
        <v>8837</v>
      </c>
      <c r="O1452">
        <v>1</v>
      </c>
      <c r="P1452" s="1" t="s">
        <v>30</v>
      </c>
      <c r="Q1452">
        <v>16</v>
      </c>
      <c r="R1452">
        <v>3</v>
      </c>
      <c r="S1452">
        <v>0</v>
      </c>
      <c r="T1452">
        <v>9</v>
      </c>
      <c r="U1452">
        <v>2</v>
      </c>
      <c r="V1452">
        <v>3</v>
      </c>
      <c r="W1452">
        <v>9</v>
      </c>
      <c r="X1452">
        <v>0</v>
      </c>
      <c r="Y1452">
        <v>1</v>
      </c>
      <c r="Z1452">
        <v>7</v>
      </c>
      <c r="AA1452">
        <v>0</v>
      </c>
      <c r="AB1452" s="1" t="s">
        <v>48</v>
      </c>
      <c r="AC1452" t="s">
        <v>37</v>
      </c>
      <c r="AD1452" t="s">
        <v>38</v>
      </c>
      <c r="AE1452" s="2">
        <v>981.88888888888891</v>
      </c>
    </row>
    <row r="1453" spans="1:31" x14ac:dyDescent="0.35">
      <c r="A1453">
        <v>38</v>
      </c>
      <c r="B1453" s="1" t="s">
        <v>39</v>
      </c>
      <c r="C1453" s="1" t="s">
        <v>31</v>
      </c>
      <c r="D1453">
        <v>10</v>
      </c>
      <c r="E1453">
        <v>2</v>
      </c>
      <c r="F1453" s="1" t="s">
        <v>32</v>
      </c>
      <c r="G1453">
        <v>1</v>
      </c>
      <c r="H1453" s="1" t="s">
        <v>33</v>
      </c>
      <c r="I1453">
        <v>3</v>
      </c>
      <c r="J1453">
        <v>2</v>
      </c>
      <c r="K1453" s="1" t="s">
        <v>34</v>
      </c>
      <c r="L1453">
        <v>4</v>
      </c>
      <c r="M1453" s="1" t="s">
        <v>43</v>
      </c>
      <c r="N1453">
        <v>5343</v>
      </c>
      <c r="O1453">
        <v>1</v>
      </c>
      <c r="P1453" s="1" t="s">
        <v>39</v>
      </c>
      <c r="Q1453">
        <v>11</v>
      </c>
      <c r="R1453">
        <v>3</v>
      </c>
      <c r="S1453">
        <v>1</v>
      </c>
      <c r="T1453">
        <v>10</v>
      </c>
      <c r="U1453">
        <v>1</v>
      </c>
      <c r="V1453">
        <v>3</v>
      </c>
      <c r="W1453">
        <v>10</v>
      </c>
      <c r="X1453">
        <v>7</v>
      </c>
      <c r="Y1453">
        <v>1</v>
      </c>
      <c r="Z1453">
        <v>9</v>
      </c>
      <c r="AA1453">
        <v>0</v>
      </c>
      <c r="AB1453" s="1" t="s">
        <v>36</v>
      </c>
      <c r="AC1453" t="s">
        <v>37</v>
      </c>
      <c r="AD1453" t="s">
        <v>38</v>
      </c>
      <c r="AE1453" s="2">
        <v>534.29999999999995</v>
      </c>
    </row>
    <row r="1454" spans="1:31" x14ac:dyDescent="0.35">
      <c r="A1454">
        <v>50</v>
      </c>
      <c r="B1454" s="1" t="s">
        <v>30</v>
      </c>
      <c r="C1454" s="1" t="s">
        <v>31</v>
      </c>
      <c r="D1454">
        <v>1</v>
      </c>
      <c r="E1454">
        <v>4</v>
      </c>
      <c r="F1454" s="1" t="s">
        <v>32</v>
      </c>
      <c r="G1454">
        <v>2</v>
      </c>
      <c r="H1454" s="1" t="s">
        <v>41</v>
      </c>
      <c r="I1454">
        <v>3</v>
      </c>
      <c r="J1454">
        <v>2</v>
      </c>
      <c r="K1454" s="1" t="s">
        <v>34</v>
      </c>
      <c r="L1454">
        <v>3</v>
      </c>
      <c r="M1454" s="1" t="s">
        <v>50</v>
      </c>
      <c r="N1454">
        <v>6728</v>
      </c>
      <c r="O1454">
        <v>7</v>
      </c>
      <c r="P1454" s="1" t="s">
        <v>39</v>
      </c>
      <c r="Q1454">
        <v>12</v>
      </c>
      <c r="R1454">
        <v>4</v>
      </c>
      <c r="S1454">
        <v>2</v>
      </c>
      <c r="T1454">
        <v>12</v>
      </c>
      <c r="U1454">
        <v>3</v>
      </c>
      <c r="V1454">
        <v>3</v>
      </c>
      <c r="W1454">
        <v>6</v>
      </c>
      <c r="X1454">
        <v>3</v>
      </c>
      <c r="Y1454">
        <v>0</v>
      </c>
      <c r="Z1454">
        <v>1</v>
      </c>
      <c r="AA1454">
        <v>1</v>
      </c>
      <c r="AB1454" s="1" t="s">
        <v>82</v>
      </c>
      <c r="AC1454" t="s">
        <v>37</v>
      </c>
      <c r="AD1454" t="s">
        <v>38</v>
      </c>
      <c r="AE1454" s="2">
        <v>1121.3333333333333</v>
      </c>
    </row>
    <row r="1455" spans="1:31" x14ac:dyDescent="0.35">
      <c r="A1455">
        <v>36</v>
      </c>
      <c r="B1455" s="1" t="s">
        <v>39</v>
      </c>
      <c r="C1455" s="1" t="s">
        <v>31</v>
      </c>
      <c r="D1455">
        <v>11</v>
      </c>
      <c r="E1455">
        <v>4</v>
      </c>
      <c r="F1455" s="1" t="s">
        <v>60</v>
      </c>
      <c r="G1455">
        <v>2</v>
      </c>
      <c r="H1455" s="1" t="s">
        <v>33</v>
      </c>
      <c r="I1455">
        <v>2</v>
      </c>
      <c r="J1455">
        <v>2</v>
      </c>
      <c r="K1455" s="1" t="s">
        <v>34</v>
      </c>
      <c r="L1455">
        <v>4</v>
      </c>
      <c r="M1455" s="1" t="s">
        <v>43</v>
      </c>
      <c r="N1455">
        <v>6652</v>
      </c>
      <c r="O1455">
        <v>4</v>
      </c>
      <c r="P1455" s="1" t="s">
        <v>39</v>
      </c>
      <c r="Q1455">
        <v>13</v>
      </c>
      <c r="R1455">
        <v>1</v>
      </c>
      <c r="S1455">
        <v>1</v>
      </c>
      <c r="T1455">
        <v>8</v>
      </c>
      <c r="U1455">
        <v>2</v>
      </c>
      <c r="V1455">
        <v>2</v>
      </c>
      <c r="W1455">
        <v>6</v>
      </c>
      <c r="X1455">
        <v>3</v>
      </c>
      <c r="Y1455">
        <v>0</v>
      </c>
      <c r="Z1455">
        <v>0</v>
      </c>
      <c r="AA1455">
        <v>0</v>
      </c>
      <c r="AB1455" s="1" t="s">
        <v>36</v>
      </c>
      <c r="AC1455" t="s">
        <v>37</v>
      </c>
      <c r="AD1455" t="s">
        <v>38</v>
      </c>
      <c r="AE1455" s="2">
        <v>1108.6666666666667</v>
      </c>
    </row>
    <row r="1456" spans="1:31" x14ac:dyDescent="0.35">
      <c r="A1456">
        <v>45</v>
      </c>
      <c r="B1456" s="1" t="s">
        <v>39</v>
      </c>
      <c r="C1456" s="1" t="s">
        <v>31</v>
      </c>
      <c r="D1456">
        <v>20</v>
      </c>
      <c r="E1456">
        <v>3</v>
      </c>
      <c r="F1456" s="1" t="s">
        <v>32</v>
      </c>
      <c r="G1456">
        <v>4</v>
      </c>
      <c r="H1456" s="1" t="s">
        <v>33</v>
      </c>
      <c r="I1456">
        <v>3</v>
      </c>
      <c r="J1456">
        <v>2</v>
      </c>
      <c r="K1456" s="1" t="s">
        <v>34</v>
      </c>
      <c r="L1456">
        <v>3</v>
      </c>
      <c r="M1456" s="1" t="s">
        <v>35</v>
      </c>
      <c r="N1456">
        <v>4850</v>
      </c>
      <c r="O1456">
        <v>8</v>
      </c>
      <c r="P1456" s="1" t="s">
        <v>39</v>
      </c>
      <c r="Q1456">
        <v>15</v>
      </c>
      <c r="R1456">
        <v>3</v>
      </c>
      <c r="S1456">
        <v>0</v>
      </c>
      <c r="T1456">
        <v>8</v>
      </c>
      <c r="U1456">
        <v>3</v>
      </c>
      <c r="V1456">
        <v>3</v>
      </c>
      <c r="W1456">
        <v>5</v>
      </c>
      <c r="X1456">
        <v>3</v>
      </c>
      <c r="Y1456">
        <v>0</v>
      </c>
      <c r="Z1456">
        <v>1</v>
      </c>
      <c r="AA1456">
        <v>0</v>
      </c>
      <c r="AB1456" s="1" t="s">
        <v>36</v>
      </c>
      <c r="AC1456" t="s">
        <v>37</v>
      </c>
      <c r="AD1456" t="s">
        <v>53</v>
      </c>
      <c r="AE1456" s="2">
        <v>970</v>
      </c>
    </row>
    <row r="1457" spans="1:31" x14ac:dyDescent="0.35">
      <c r="A1457">
        <v>40</v>
      </c>
      <c r="B1457" s="1" t="s">
        <v>39</v>
      </c>
      <c r="C1457" s="1" t="s">
        <v>40</v>
      </c>
      <c r="D1457">
        <v>2</v>
      </c>
      <c r="E1457">
        <v>4</v>
      </c>
      <c r="F1457" s="1" t="s">
        <v>32</v>
      </c>
      <c r="G1457">
        <v>3</v>
      </c>
      <c r="H1457" s="1" t="s">
        <v>41</v>
      </c>
      <c r="I1457">
        <v>2</v>
      </c>
      <c r="J1457">
        <v>1</v>
      </c>
      <c r="K1457" s="1" t="s">
        <v>42</v>
      </c>
      <c r="L1457">
        <v>3</v>
      </c>
      <c r="M1457" s="1" t="s">
        <v>35</v>
      </c>
      <c r="N1457">
        <v>2809</v>
      </c>
      <c r="O1457">
        <v>2</v>
      </c>
      <c r="P1457" s="1" t="s">
        <v>39</v>
      </c>
      <c r="Q1457">
        <v>14</v>
      </c>
      <c r="R1457">
        <v>4</v>
      </c>
      <c r="S1457">
        <v>0</v>
      </c>
      <c r="T1457">
        <v>8</v>
      </c>
      <c r="U1457">
        <v>2</v>
      </c>
      <c r="V1457">
        <v>3</v>
      </c>
      <c r="W1457">
        <v>2</v>
      </c>
      <c r="X1457">
        <v>2</v>
      </c>
      <c r="Y1457">
        <v>2</v>
      </c>
      <c r="Z1457">
        <v>2</v>
      </c>
      <c r="AA1457">
        <v>0</v>
      </c>
      <c r="AB1457" s="1" t="s">
        <v>36</v>
      </c>
      <c r="AC1457" t="s">
        <v>46</v>
      </c>
      <c r="AD1457" t="s">
        <v>47</v>
      </c>
      <c r="AE1457" s="2">
        <v>1404.5</v>
      </c>
    </row>
    <row r="1458" spans="1:31" x14ac:dyDescent="0.35">
      <c r="A1458">
        <v>35</v>
      </c>
      <c r="B1458" s="1" t="s">
        <v>39</v>
      </c>
      <c r="C1458" s="1" t="s">
        <v>40</v>
      </c>
      <c r="D1458">
        <v>18</v>
      </c>
      <c r="E1458">
        <v>4</v>
      </c>
      <c r="F1458" s="1" t="s">
        <v>32</v>
      </c>
      <c r="G1458">
        <v>3</v>
      </c>
      <c r="H1458" s="1" t="s">
        <v>41</v>
      </c>
      <c r="I1458">
        <v>3</v>
      </c>
      <c r="J1458">
        <v>2</v>
      </c>
      <c r="K1458" s="1" t="s">
        <v>52</v>
      </c>
      <c r="L1458">
        <v>3</v>
      </c>
      <c r="M1458" s="1" t="s">
        <v>43</v>
      </c>
      <c r="N1458">
        <v>5689</v>
      </c>
      <c r="O1458">
        <v>1</v>
      </c>
      <c r="P1458" s="1" t="s">
        <v>30</v>
      </c>
      <c r="Q1458">
        <v>14</v>
      </c>
      <c r="R1458">
        <v>4</v>
      </c>
      <c r="S1458">
        <v>2</v>
      </c>
      <c r="T1458">
        <v>10</v>
      </c>
      <c r="U1458">
        <v>2</v>
      </c>
      <c r="V1458">
        <v>4</v>
      </c>
      <c r="W1458">
        <v>10</v>
      </c>
      <c r="X1458">
        <v>2</v>
      </c>
      <c r="Y1458">
        <v>0</v>
      </c>
      <c r="Z1458">
        <v>2</v>
      </c>
      <c r="AA1458">
        <v>0</v>
      </c>
      <c r="AB1458" s="1" t="s">
        <v>48</v>
      </c>
      <c r="AC1458" t="s">
        <v>37</v>
      </c>
      <c r="AD1458" t="s">
        <v>38</v>
      </c>
      <c r="AE1458" s="2">
        <v>568.9</v>
      </c>
    </row>
    <row r="1459" spans="1:31" x14ac:dyDescent="0.35">
      <c r="A1459">
        <v>40</v>
      </c>
      <c r="B1459" s="1" t="s">
        <v>39</v>
      </c>
      <c r="C1459" s="1" t="s">
        <v>40</v>
      </c>
      <c r="D1459">
        <v>2</v>
      </c>
      <c r="E1459">
        <v>4</v>
      </c>
      <c r="F1459" s="1" t="s">
        <v>49</v>
      </c>
      <c r="G1459">
        <v>3</v>
      </c>
      <c r="H1459" s="1" t="s">
        <v>33</v>
      </c>
      <c r="I1459">
        <v>3</v>
      </c>
      <c r="J1459">
        <v>1</v>
      </c>
      <c r="K1459" s="1" t="s">
        <v>42</v>
      </c>
      <c r="L1459">
        <v>3</v>
      </c>
      <c r="M1459" s="1" t="s">
        <v>43</v>
      </c>
      <c r="N1459">
        <v>2001</v>
      </c>
      <c r="O1459">
        <v>2</v>
      </c>
      <c r="P1459" s="1" t="s">
        <v>39</v>
      </c>
      <c r="Q1459">
        <v>14</v>
      </c>
      <c r="R1459">
        <v>2</v>
      </c>
      <c r="S1459">
        <v>3</v>
      </c>
      <c r="T1459">
        <v>20</v>
      </c>
      <c r="U1459">
        <v>2</v>
      </c>
      <c r="V1459">
        <v>3</v>
      </c>
      <c r="W1459">
        <v>5</v>
      </c>
      <c r="X1459">
        <v>3</v>
      </c>
      <c r="Y1459">
        <v>0</v>
      </c>
      <c r="Z1459">
        <v>2</v>
      </c>
      <c r="AA1459">
        <v>0</v>
      </c>
      <c r="AB1459" s="1" t="s">
        <v>36</v>
      </c>
      <c r="AC1459" t="s">
        <v>46</v>
      </c>
      <c r="AD1459" t="s">
        <v>53</v>
      </c>
      <c r="AE1459" s="2">
        <v>400.2</v>
      </c>
    </row>
    <row r="1460" spans="1:31" x14ac:dyDescent="0.35">
      <c r="A1460">
        <v>35</v>
      </c>
      <c r="B1460" s="1" t="s">
        <v>39</v>
      </c>
      <c r="C1460" s="1" t="s">
        <v>40</v>
      </c>
      <c r="D1460">
        <v>1</v>
      </c>
      <c r="E1460">
        <v>4</v>
      </c>
      <c r="F1460" s="1" t="s">
        <v>32</v>
      </c>
      <c r="G1460">
        <v>3</v>
      </c>
      <c r="H1460" s="1" t="s">
        <v>33</v>
      </c>
      <c r="I1460">
        <v>1</v>
      </c>
      <c r="J1460">
        <v>1</v>
      </c>
      <c r="K1460" s="1" t="s">
        <v>42</v>
      </c>
      <c r="L1460">
        <v>4</v>
      </c>
      <c r="M1460" s="1" t="s">
        <v>43</v>
      </c>
      <c r="N1460">
        <v>2977</v>
      </c>
      <c r="O1460">
        <v>1</v>
      </c>
      <c r="P1460" s="1" t="s">
        <v>39</v>
      </c>
      <c r="Q1460">
        <v>12</v>
      </c>
      <c r="R1460">
        <v>4</v>
      </c>
      <c r="S1460">
        <v>1</v>
      </c>
      <c r="T1460">
        <v>4</v>
      </c>
      <c r="U1460">
        <v>5</v>
      </c>
      <c r="V1460">
        <v>3</v>
      </c>
      <c r="W1460">
        <v>4</v>
      </c>
      <c r="X1460">
        <v>3</v>
      </c>
      <c r="Y1460">
        <v>1</v>
      </c>
      <c r="Z1460">
        <v>1</v>
      </c>
      <c r="AA1460">
        <v>0</v>
      </c>
      <c r="AB1460" s="1" t="s">
        <v>48</v>
      </c>
      <c r="AC1460" t="s">
        <v>46</v>
      </c>
      <c r="AD1460" t="s">
        <v>53</v>
      </c>
      <c r="AE1460" s="2">
        <v>744.25</v>
      </c>
    </row>
    <row r="1461" spans="1:31" x14ac:dyDescent="0.35">
      <c r="A1461">
        <v>29</v>
      </c>
      <c r="B1461" s="1" t="s">
        <v>39</v>
      </c>
      <c r="C1461" s="1" t="s">
        <v>40</v>
      </c>
      <c r="D1461">
        <v>13</v>
      </c>
      <c r="E1461">
        <v>2</v>
      </c>
      <c r="F1461" s="1" t="s">
        <v>44</v>
      </c>
      <c r="G1461">
        <v>4</v>
      </c>
      <c r="H1461" s="1" t="s">
        <v>41</v>
      </c>
      <c r="I1461">
        <v>2</v>
      </c>
      <c r="J1461">
        <v>2</v>
      </c>
      <c r="K1461" s="1" t="s">
        <v>45</v>
      </c>
      <c r="L1461">
        <v>2</v>
      </c>
      <c r="M1461" s="1" t="s">
        <v>43</v>
      </c>
      <c r="N1461">
        <v>4025</v>
      </c>
      <c r="O1461">
        <v>4</v>
      </c>
      <c r="P1461" s="1" t="s">
        <v>30</v>
      </c>
      <c r="Q1461">
        <v>13</v>
      </c>
      <c r="R1461">
        <v>1</v>
      </c>
      <c r="S1461">
        <v>1</v>
      </c>
      <c r="T1461">
        <v>10</v>
      </c>
      <c r="U1461">
        <v>2</v>
      </c>
      <c r="V1461">
        <v>3</v>
      </c>
      <c r="W1461">
        <v>4</v>
      </c>
      <c r="X1461">
        <v>3</v>
      </c>
      <c r="Y1461">
        <v>0</v>
      </c>
      <c r="Z1461">
        <v>3</v>
      </c>
      <c r="AA1461">
        <v>0</v>
      </c>
      <c r="AB1461" s="1" t="s">
        <v>48</v>
      </c>
      <c r="AC1461" t="s">
        <v>37</v>
      </c>
      <c r="AD1461" t="s">
        <v>53</v>
      </c>
      <c r="AE1461" s="2">
        <v>1006.25</v>
      </c>
    </row>
    <row r="1462" spans="1:31" x14ac:dyDescent="0.35">
      <c r="A1462">
        <v>29</v>
      </c>
      <c r="B1462" s="1" t="s">
        <v>39</v>
      </c>
      <c r="C1462" s="1" t="s">
        <v>40</v>
      </c>
      <c r="D1462">
        <v>28</v>
      </c>
      <c r="E1462">
        <v>4</v>
      </c>
      <c r="F1462" s="1" t="s">
        <v>49</v>
      </c>
      <c r="G1462">
        <v>4</v>
      </c>
      <c r="H1462" s="1" t="s">
        <v>33</v>
      </c>
      <c r="I1462">
        <v>2</v>
      </c>
      <c r="J1462">
        <v>1</v>
      </c>
      <c r="K1462" s="1" t="s">
        <v>42</v>
      </c>
      <c r="L1462">
        <v>1</v>
      </c>
      <c r="M1462" s="1" t="s">
        <v>35</v>
      </c>
      <c r="N1462">
        <v>3785</v>
      </c>
      <c r="O1462">
        <v>1</v>
      </c>
      <c r="P1462" s="1" t="s">
        <v>39</v>
      </c>
      <c r="Q1462">
        <v>14</v>
      </c>
      <c r="R1462">
        <v>2</v>
      </c>
      <c r="S1462">
        <v>0</v>
      </c>
      <c r="T1462">
        <v>5</v>
      </c>
      <c r="U1462">
        <v>3</v>
      </c>
      <c r="V1462">
        <v>1</v>
      </c>
      <c r="W1462">
        <v>5</v>
      </c>
      <c r="X1462">
        <v>4</v>
      </c>
      <c r="Y1462">
        <v>0</v>
      </c>
      <c r="Z1462">
        <v>4</v>
      </c>
      <c r="AA1462">
        <v>0</v>
      </c>
      <c r="AB1462" s="1" t="s">
        <v>48</v>
      </c>
      <c r="AC1462" t="s">
        <v>46</v>
      </c>
      <c r="AD1462" t="s">
        <v>53</v>
      </c>
      <c r="AE1462" s="2">
        <v>757</v>
      </c>
    </row>
    <row r="1463" spans="1:31" x14ac:dyDescent="0.35">
      <c r="A1463">
        <v>50</v>
      </c>
      <c r="B1463" s="1" t="s">
        <v>30</v>
      </c>
      <c r="C1463" s="1" t="s">
        <v>31</v>
      </c>
      <c r="D1463">
        <v>28</v>
      </c>
      <c r="E1463">
        <v>3</v>
      </c>
      <c r="F1463" s="1" t="s">
        <v>60</v>
      </c>
      <c r="G1463">
        <v>4</v>
      </c>
      <c r="H1463" s="1" t="s">
        <v>41</v>
      </c>
      <c r="I1463">
        <v>2</v>
      </c>
      <c r="J1463">
        <v>3</v>
      </c>
      <c r="K1463" s="1" t="s">
        <v>34</v>
      </c>
      <c r="L1463">
        <v>1</v>
      </c>
      <c r="M1463" s="1" t="s">
        <v>50</v>
      </c>
      <c r="N1463">
        <v>10854</v>
      </c>
      <c r="O1463">
        <v>4</v>
      </c>
      <c r="P1463" s="1" t="s">
        <v>30</v>
      </c>
      <c r="Q1463">
        <v>13</v>
      </c>
      <c r="R1463">
        <v>2</v>
      </c>
      <c r="S1463">
        <v>1</v>
      </c>
      <c r="T1463">
        <v>20</v>
      </c>
      <c r="U1463">
        <v>3</v>
      </c>
      <c r="V1463">
        <v>3</v>
      </c>
      <c r="W1463">
        <v>3</v>
      </c>
      <c r="X1463">
        <v>2</v>
      </c>
      <c r="Y1463">
        <v>2</v>
      </c>
      <c r="Z1463">
        <v>0</v>
      </c>
      <c r="AA1463">
        <v>1</v>
      </c>
      <c r="AB1463" s="1" t="s">
        <v>82</v>
      </c>
      <c r="AC1463" t="s">
        <v>56</v>
      </c>
      <c r="AD1463" t="s">
        <v>53</v>
      </c>
      <c r="AE1463" s="2">
        <v>3618</v>
      </c>
    </row>
    <row r="1464" spans="1:31" x14ac:dyDescent="0.35">
      <c r="A1464">
        <v>39</v>
      </c>
      <c r="B1464" s="1" t="s">
        <v>39</v>
      </c>
      <c r="C1464" s="1" t="s">
        <v>31</v>
      </c>
      <c r="D1464">
        <v>24</v>
      </c>
      <c r="E1464">
        <v>1</v>
      </c>
      <c r="F1464" s="1" t="s">
        <v>60</v>
      </c>
      <c r="G1464">
        <v>2</v>
      </c>
      <c r="H1464" s="1" t="s">
        <v>33</v>
      </c>
      <c r="I1464">
        <v>2</v>
      </c>
      <c r="J1464">
        <v>4</v>
      </c>
      <c r="K1464" s="1" t="s">
        <v>34</v>
      </c>
      <c r="L1464">
        <v>4</v>
      </c>
      <c r="M1464" s="1" t="s">
        <v>43</v>
      </c>
      <c r="N1464">
        <v>12031</v>
      </c>
      <c r="O1464">
        <v>0</v>
      </c>
      <c r="P1464" s="1" t="s">
        <v>39</v>
      </c>
      <c r="Q1464">
        <v>11</v>
      </c>
      <c r="R1464">
        <v>1</v>
      </c>
      <c r="S1464">
        <v>1</v>
      </c>
      <c r="T1464">
        <v>21</v>
      </c>
      <c r="U1464">
        <v>2</v>
      </c>
      <c r="V1464">
        <v>2</v>
      </c>
      <c r="W1464">
        <v>20</v>
      </c>
      <c r="X1464">
        <v>9</v>
      </c>
      <c r="Y1464">
        <v>9</v>
      </c>
      <c r="Z1464">
        <v>6</v>
      </c>
      <c r="AA1464">
        <v>0</v>
      </c>
      <c r="AB1464" s="1" t="s">
        <v>36</v>
      </c>
      <c r="AC1464" t="s">
        <v>56</v>
      </c>
      <c r="AD1464" t="s">
        <v>57</v>
      </c>
      <c r="AE1464" s="2">
        <v>601.54999999999995</v>
      </c>
    </row>
    <row r="1465" spans="1:31" x14ac:dyDescent="0.35">
      <c r="A1465">
        <v>31</v>
      </c>
      <c r="B1465" s="1" t="s">
        <v>39</v>
      </c>
      <c r="C1465" s="1" t="s">
        <v>40</v>
      </c>
      <c r="D1465">
        <v>5</v>
      </c>
      <c r="E1465">
        <v>3</v>
      </c>
      <c r="F1465" s="1" t="s">
        <v>49</v>
      </c>
      <c r="G1465">
        <v>2</v>
      </c>
      <c r="H1465" s="1" t="s">
        <v>41</v>
      </c>
      <c r="I1465">
        <v>3</v>
      </c>
      <c r="J1465">
        <v>2</v>
      </c>
      <c r="K1465" s="1" t="s">
        <v>51</v>
      </c>
      <c r="L1465">
        <v>1</v>
      </c>
      <c r="M1465" s="1" t="s">
        <v>35</v>
      </c>
      <c r="N1465">
        <v>9936</v>
      </c>
      <c r="O1465">
        <v>0</v>
      </c>
      <c r="P1465" s="1" t="s">
        <v>39</v>
      </c>
      <c r="Q1465">
        <v>19</v>
      </c>
      <c r="R1465">
        <v>2</v>
      </c>
      <c r="S1465">
        <v>0</v>
      </c>
      <c r="T1465">
        <v>10</v>
      </c>
      <c r="U1465">
        <v>2</v>
      </c>
      <c r="V1465">
        <v>3</v>
      </c>
      <c r="W1465">
        <v>9</v>
      </c>
      <c r="X1465">
        <v>4</v>
      </c>
      <c r="Y1465">
        <v>1</v>
      </c>
      <c r="Z1465">
        <v>7</v>
      </c>
      <c r="AA1465">
        <v>0</v>
      </c>
      <c r="AB1465" s="1" t="s">
        <v>48</v>
      </c>
      <c r="AC1465" t="s">
        <v>37</v>
      </c>
      <c r="AD1465" t="s">
        <v>38</v>
      </c>
      <c r="AE1465" s="2">
        <v>1104</v>
      </c>
    </row>
    <row r="1466" spans="1:31" x14ac:dyDescent="0.35">
      <c r="A1466">
        <v>26</v>
      </c>
      <c r="B1466" s="1" t="s">
        <v>39</v>
      </c>
      <c r="C1466" s="1" t="s">
        <v>31</v>
      </c>
      <c r="D1466">
        <v>5</v>
      </c>
      <c r="E1466">
        <v>3</v>
      </c>
      <c r="F1466" s="1" t="s">
        <v>44</v>
      </c>
      <c r="G1466">
        <v>4</v>
      </c>
      <c r="H1466" s="1" t="s">
        <v>33</v>
      </c>
      <c r="I1466">
        <v>2</v>
      </c>
      <c r="J1466">
        <v>1</v>
      </c>
      <c r="K1466" s="1" t="s">
        <v>58</v>
      </c>
      <c r="L1466">
        <v>3</v>
      </c>
      <c r="M1466" s="1" t="s">
        <v>35</v>
      </c>
      <c r="N1466">
        <v>2966</v>
      </c>
      <c r="O1466">
        <v>0</v>
      </c>
      <c r="P1466" s="1" t="s">
        <v>39</v>
      </c>
      <c r="Q1466">
        <v>18</v>
      </c>
      <c r="R1466">
        <v>4</v>
      </c>
      <c r="S1466">
        <v>0</v>
      </c>
      <c r="T1466">
        <v>5</v>
      </c>
      <c r="U1466">
        <v>2</v>
      </c>
      <c r="V1466">
        <v>3</v>
      </c>
      <c r="W1466">
        <v>4</v>
      </c>
      <c r="X1466">
        <v>2</v>
      </c>
      <c r="Y1466">
        <v>0</v>
      </c>
      <c r="Z1466">
        <v>0</v>
      </c>
      <c r="AA1466">
        <v>0</v>
      </c>
      <c r="AB1466" s="1" t="s">
        <v>48</v>
      </c>
      <c r="AC1466" t="s">
        <v>46</v>
      </c>
      <c r="AD1466" t="s">
        <v>53</v>
      </c>
      <c r="AE1466" s="2">
        <v>741.5</v>
      </c>
    </row>
    <row r="1467" spans="1:31" x14ac:dyDescent="0.35">
      <c r="A1467">
        <v>36</v>
      </c>
      <c r="B1467" s="1" t="s">
        <v>39</v>
      </c>
      <c r="C1467" s="1" t="s">
        <v>40</v>
      </c>
      <c r="D1467">
        <v>23</v>
      </c>
      <c r="E1467">
        <v>2</v>
      </c>
      <c r="F1467" s="1" t="s">
        <v>49</v>
      </c>
      <c r="G1467">
        <v>3</v>
      </c>
      <c r="H1467" s="1" t="s">
        <v>41</v>
      </c>
      <c r="I1467">
        <v>4</v>
      </c>
      <c r="J1467">
        <v>2</v>
      </c>
      <c r="K1467" s="1" t="s">
        <v>45</v>
      </c>
      <c r="L1467">
        <v>4</v>
      </c>
      <c r="M1467" s="1" t="s">
        <v>43</v>
      </c>
      <c r="N1467">
        <v>2571</v>
      </c>
      <c r="O1467">
        <v>4</v>
      </c>
      <c r="P1467" s="1" t="s">
        <v>39</v>
      </c>
      <c r="Q1467">
        <v>17</v>
      </c>
      <c r="R1467">
        <v>3</v>
      </c>
      <c r="S1467">
        <v>1</v>
      </c>
      <c r="T1467">
        <v>17</v>
      </c>
      <c r="U1467">
        <v>3</v>
      </c>
      <c r="V1467">
        <v>3</v>
      </c>
      <c r="W1467">
        <v>5</v>
      </c>
      <c r="X1467">
        <v>2</v>
      </c>
      <c r="Y1467">
        <v>0</v>
      </c>
      <c r="Z1467">
        <v>3</v>
      </c>
      <c r="AA1467">
        <v>0</v>
      </c>
      <c r="AB1467" s="1" t="s">
        <v>36</v>
      </c>
      <c r="AC1467" t="s">
        <v>46</v>
      </c>
      <c r="AD1467" t="s">
        <v>53</v>
      </c>
      <c r="AE1467" s="2">
        <v>514.20000000000005</v>
      </c>
    </row>
    <row r="1468" spans="1:31" x14ac:dyDescent="0.35">
      <c r="A1468">
        <v>39</v>
      </c>
      <c r="B1468" s="1" t="s">
        <v>39</v>
      </c>
      <c r="C1468" s="1" t="s">
        <v>40</v>
      </c>
      <c r="D1468">
        <v>6</v>
      </c>
      <c r="E1468">
        <v>1</v>
      </c>
      <c r="F1468" s="1" t="s">
        <v>49</v>
      </c>
      <c r="G1468">
        <v>4</v>
      </c>
      <c r="H1468" s="1" t="s">
        <v>41</v>
      </c>
      <c r="I1468">
        <v>2</v>
      </c>
      <c r="J1468">
        <v>3</v>
      </c>
      <c r="K1468" s="1" t="s">
        <v>52</v>
      </c>
      <c r="L1468">
        <v>1</v>
      </c>
      <c r="M1468" s="1" t="s">
        <v>43</v>
      </c>
      <c r="N1468">
        <v>9991</v>
      </c>
      <c r="O1468">
        <v>4</v>
      </c>
      <c r="P1468" s="1" t="s">
        <v>39</v>
      </c>
      <c r="Q1468">
        <v>15</v>
      </c>
      <c r="R1468">
        <v>1</v>
      </c>
      <c r="S1468">
        <v>1</v>
      </c>
      <c r="T1468">
        <v>9</v>
      </c>
      <c r="U1468">
        <v>5</v>
      </c>
      <c r="V1468">
        <v>3</v>
      </c>
      <c r="W1468">
        <v>7</v>
      </c>
      <c r="X1468">
        <v>7</v>
      </c>
      <c r="Y1468">
        <v>1</v>
      </c>
      <c r="Z1468">
        <v>7</v>
      </c>
      <c r="AA1468">
        <v>0</v>
      </c>
      <c r="AB1468" s="1" t="s">
        <v>36</v>
      </c>
      <c r="AC1468" t="s">
        <v>37</v>
      </c>
      <c r="AD1468" t="s">
        <v>38</v>
      </c>
      <c r="AE1468" s="2">
        <v>1427.2857142857142</v>
      </c>
    </row>
    <row r="1469" spans="1:31" x14ac:dyDescent="0.35">
      <c r="A1469">
        <v>27</v>
      </c>
      <c r="B1469" s="1" t="s">
        <v>39</v>
      </c>
      <c r="C1469" s="1" t="s">
        <v>40</v>
      </c>
      <c r="D1469">
        <v>4</v>
      </c>
      <c r="E1469">
        <v>3</v>
      </c>
      <c r="F1469" s="1" t="s">
        <v>32</v>
      </c>
      <c r="G1469">
        <v>2</v>
      </c>
      <c r="H1469" s="1" t="s">
        <v>41</v>
      </c>
      <c r="I1469">
        <v>4</v>
      </c>
      <c r="J1469">
        <v>2</v>
      </c>
      <c r="K1469" s="1" t="s">
        <v>51</v>
      </c>
      <c r="L1469">
        <v>2</v>
      </c>
      <c r="M1469" s="1" t="s">
        <v>43</v>
      </c>
      <c r="N1469">
        <v>6142</v>
      </c>
      <c r="O1469">
        <v>1</v>
      </c>
      <c r="P1469" s="1" t="s">
        <v>30</v>
      </c>
      <c r="Q1469">
        <v>20</v>
      </c>
      <c r="R1469">
        <v>2</v>
      </c>
      <c r="S1469">
        <v>1</v>
      </c>
      <c r="T1469">
        <v>6</v>
      </c>
      <c r="U1469">
        <v>0</v>
      </c>
      <c r="V1469">
        <v>3</v>
      </c>
      <c r="W1469">
        <v>6</v>
      </c>
      <c r="X1469">
        <v>2</v>
      </c>
      <c r="Y1469">
        <v>0</v>
      </c>
      <c r="Z1469">
        <v>3</v>
      </c>
      <c r="AA1469">
        <v>0</v>
      </c>
      <c r="AB1469" s="1" t="s">
        <v>48</v>
      </c>
      <c r="AC1469" t="s">
        <v>37</v>
      </c>
      <c r="AD1469" t="s">
        <v>38</v>
      </c>
      <c r="AE1469" s="2">
        <v>1023.6666666666666</v>
      </c>
    </row>
    <row r="1470" spans="1:31" x14ac:dyDescent="0.35">
      <c r="A1470">
        <v>49</v>
      </c>
      <c r="B1470" s="1" t="s">
        <v>39</v>
      </c>
      <c r="C1470" s="1" t="s">
        <v>31</v>
      </c>
      <c r="D1470">
        <v>2</v>
      </c>
      <c r="E1470">
        <v>3</v>
      </c>
      <c r="F1470" s="1" t="s">
        <v>49</v>
      </c>
      <c r="G1470">
        <v>4</v>
      </c>
      <c r="H1470" s="1" t="s">
        <v>41</v>
      </c>
      <c r="I1470">
        <v>2</v>
      </c>
      <c r="J1470">
        <v>2</v>
      </c>
      <c r="K1470" s="1" t="s">
        <v>34</v>
      </c>
      <c r="L1470">
        <v>2</v>
      </c>
      <c r="M1470" s="1" t="s">
        <v>43</v>
      </c>
      <c r="N1470">
        <v>5390</v>
      </c>
      <c r="O1470">
        <v>2</v>
      </c>
      <c r="P1470" s="1" t="s">
        <v>39</v>
      </c>
      <c r="Q1470">
        <v>14</v>
      </c>
      <c r="R1470">
        <v>4</v>
      </c>
      <c r="S1470">
        <v>0</v>
      </c>
      <c r="T1470">
        <v>17</v>
      </c>
      <c r="U1470">
        <v>3</v>
      </c>
      <c r="V1470">
        <v>2</v>
      </c>
      <c r="W1470">
        <v>9</v>
      </c>
      <c r="X1470">
        <v>6</v>
      </c>
      <c r="Y1470">
        <v>0</v>
      </c>
      <c r="Z1470">
        <v>8</v>
      </c>
      <c r="AA1470">
        <v>0</v>
      </c>
      <c r="AB1470" s="1" t="s">
        <v>82</v>
      </c>
      <c r="AC1470" t="s">
        <v>37</v>
      </c>
      <c r="AD1470" t="s">
        <v>38</v>
      </c>
      <c r="AE1470" s="2">
        <v>598.88888888888891</v>
      </c>
    </row>
    <row r="1471" spans="1:31" x14ac:dyDescent="0.35">
      <c r="A1471">
        <v>34</v>
      </c>
      <c r="B1471" s="1" t="s">
        <v>39</v>
      </c>
      <c r="C1471" s="1" t="s">
        <v>40</v>
      </c>
      <c r="D1471">
        <v>8</v>
      </c>
      <c r="E1471">
        <v>3</v>
      </c>
      <c r="F1471" s="1" t="s">
        <v>49</v>
      </c>
      <c r="G1471">
        <v>2</v>
      </c>
      <c r="H1471" s="1" t="s">
        <v>41</v>
      </c>
      <c r="I1471">
        <v>4</v>
      </c>
      <c r="J1471">
        <v>2</v>
      </c>
      <c r="K1471" s="1" t="s">
        <v>45</v>
      </c>
      <c r="L1471">
        <v>3</v>
      </c>
      <c r="M1471" s="1" t="s">
        <v>43</v>
      </c>
      <c r="N1471">
        <v>4404</v>
      </c>
      <c r="O1471">
        <v>2</v>
      </c>
      <c r="P1471" s="1" t="s">
        <v>39</v>
      </c>
      <c r="Q1471">
        <v>12</v>
      </c>
      <c r="R1471">
        <v>1</v>
      </c>
      <c r="S1471">
        <v>0</v>
      </c>
      <c r="T1471">
        <v>6</v>
      </c>
      <c r="U1471">
        <v>3</v>
      </c>
      <c r="V1471">
        <v>4</v>
      </c>
      <c r="W1471">
        <v>4</v>
      </c>
      <c r="X1471">
        <v>3</v>
      </c>
      <c r="Y1471">
        <v>1</v>
      </c>
      <c r="Z1471">
        <v>2</v>
      </c>
      <c r="AA1471">
        <v>0</v>
      </c>
      <c r="AB1471" s="1" t="s">
        <v>48</v>
      </c>
      <c r="AC1471" t="s">
        <v>37</v>
      </c>
      <c r="AD1471" t="s">
        <v>53</v>
      </c>
      <c r="AE1471" s="2">
        <v>1101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7B584-70EF-439E-814A-8F7DA5A777E9}">
  <dimension ref="A1:S37"/>
  <sheetViews>
    <sheetView topLeftCell="G2" zoomScaleNormal="100" workbookViewId="0">
      <selection activeCell="A4" sqref="A4:A5"/>
    </sheetView>
  </sheetViews>
  <sheetFormatPr defaultRowHeight="14.5" x14ac:dyDescent="0.35"/>
  <cols>
    <col min="1" max="1" width="26.1796875" customWidth="1"/>
    <col min="2" max="2" width="12.81640625" customWidth="1"/>
    <col min="4" max="4" width="23.81640625" customWidth="1"/>
    <col min="5" max="5" width="29.90625" customWidth="1"/>
    <col min="6" max="6" width="13.81640625" customWidth="1"/>
    <col min="7" max="7" width="23.7265625" customWidth="1"/>
    <col min="8" max="8" width="22.7265625" customWidth="1"/>
    <col min="9" max="9" width="23.90625" bestFit="1" customWidth="1"/>
    <col min="10" max="10" width="26.54296875" customWidth="1"/>
    <col min="13" max="13" width="29.6328125" customWidth="1"/>
    <col min="14" max="14" width="31.54296875" customWidth="1"/>
    <col min="17" max="17" width="32" bestFit="1" customWidth="1"/>
    <col min="18" max="18" width="15.1796875" bestFit="1" customWidth="1"/>
    <col min="19" max="19" width="10.453125" bestFit="1" customWidth="1"/>
  </cols>
  <sheetData>
    <row r="1" spans="1:19" x14ac:dyDescent="0.35">
      <c r="A1" s="16" t="s">
        <v>63</v>
      </c>
      <c r="B1" s="17"/>
    </row>
    <row r="2" spans="1:19" x14ac:dyDescent="0.35">
      <c r="A2" s="17"/>
      <c r="B2" s="17"/>
    </row>
    <row r="3" spans="1:19" ht="18.5" x14ac:dyDescent="0.45">
      <c r="D3" s="6" t="s">
        <v>70</v>
      </c>
      <c r="H3" s="6" t="s">
        <v>86</v>
      </c>
      <c r="M3" s="6" t="s">
        <v>76</v>
      </c>
    </row>
    <row r="4" spans="1:19" x14ac:dyDescent="0.35">
      <c r="A4" t="s">
        <v>65</v>
      </c>
      <c r="D4" s="3" t="s">
        <v>15</v>
      </c>
      <c r="E4" t="s">
        <v>69</v>
      </c>
      <c r="H4" t="s">
        <v>15</v>
      </c>
      <c r="I4" s="12" t="s">
        <v>83</v>
      </c>
      <c r="J4" s="12" t="s">
        <v>84</v>
      </c>
      <c r="M4" s="3" t="s">
        <v>7</v>
      </c>
      <c r="N4" t="s">
        <v>69</v>
      </c>
    </row>
    <row r="5" spans="1:19" x14ac:dyDescent="0.35">
      <c r="A5" s="1">
        <v>1470</v>
      </c>
      <c r="D5" s="4" t="s">
        <v>39</v>
      </c>
      <c r="E5" s="5">
        <v>0.10436432637571158</v>
      </c>
      <c r="H5" s="4" t="s">
        <v>39</v>
      </c>
      <c r="I5" s="10">
        <f t="shared" ref="I5:I6" si="0">E5</f>
        <v>0.10436432637571158</v>
      </c>
      <c r="J5" s="7" t="str">
        <f>IF(I5=MAX(Table33[Attrition_Rate]),I5,"")</f>
        <v/>
      </c>
      <c r="M5" s="4" t="s">
        <v>33</v>
      </c>
      <c r="N5" s="5">
        <v>0.14795918367346939</v>
      </c>
    </row>
    <row r="6" spans="1:19" x14ac:dyDescent="0.35">
      <c r="D6" s="4" t="s">
        <v>30</v>
      </c>
      <c r="E6" s="5">
        <v>0.30528846153846156</v>
      </c>
      <c r="H6" s="4" t="s">
        <v>30</v>
      </c>
      <c r="I6" s="10">
        <f t="shared" si="0"/>
        <v>0.30528846153846156</v>
      </c>
      <c r="J6" s="7">
        <f>IF(I6=MAX(Table33[Attrition_Rate]),I6,"")</f>
        <v>0.30528846153846156</v>
      </c>
      <c r="M6" s="4" t="s">
        <v>41</v>
      </c>
      <c r="N6" s="5">
        <v>0.17006802721088435</v>
      </c>
    </row>
    <row r="8" spans="1:19" ht="18.5" x14ac:dyDescent="0.45">
      <c r="H8" s="6" t="s">
        <v>85</v>
      </c>
    </row>
    <row r="9" spans="1:19" ht="18.5" x14ac:dyDescent="0.45">
      <c r="A9" t="s">
        <v>67</v>
      </c>
      <c r="D9" s="6" t="s">
        <v>71</v>
      </c>
      <c r="H9" s="11" t="s">
        <v>2</v>
      </c>
      <c r="I9" s="12" t="s">
        <v>83</v>
      </c>
      <c r="J9" s="12" t="s">
        <v>84</v>
      </c>
    </row>
    <row r="10" spans="1:19" ht="18.5" x14ac:dyDescent="0.45">
      <c r="A10" s="5">
        <v>0.16122448979591836</v>
      </c>
      <c r="D10" s="8" t="s">
        <v>2</v>
      </c>
      <c r="E10" t="s">
        <v>69</v>
      </c>
      <c r="H10" s="9" t="s">
        <v>62</v>
      </c>
      <c r="I10" s="10">
        <f>E11</f>
        <v>0.19047619047619047</v>
      </c>
      <c r="J10" s="7" t="str">
        <f>IF(I10=MAX(Table3[Attrition_Rate]),I10,"")</f>
        <v/>
      </c>
      <c r="M10" s="6" t="s">
        <v>89</v>
      </c>
      <c r="Q10" s="6" t="s">
        <v>88</v>
      </c>
    </row>
    <row r="11" spans="1:19" x14ac:dyDescent="0.35">
      <c r="D11" s="4" t="s">
        <v>62</v>
      </c>
      <c r="E11" s="5">
        <v>0.19047619047619047</v>
      </c>
      <c r="H11" s="9" t="s">
        <v>40</v>
      </c>
      <c r="I11" s="10">
        <f>E12</f>
        <v>0.13839750260145681</v>
      </c>
      <c r="J11" s="7" t="str">
        <f>IF(I11=MAX(Table3[Attrition_Rate]),I11,"")</f>
        <v/>
      </c>
      <c r="M11" s="3" t="s">
        <v>77</v>
      </c>
      <c r="N11" t="s">
        <v>69</v>
      </c>
      <c r="Q11" s="11" t="s">
        <v>77</v>
      </c>
      <c r="R11" s="12" t="s">
        <v>83</v>
      </c>
      <c r="S11" s="12" t="s">
        <v>84</v>
      </c>
    </row>
    <row r="12" spans="1:19" x14ac:dyDescent="0.35">
      <c r="D12" s="4" t="s">
        <v>40</v>
      </c>
      <c r="E12" s="5">
        <v>0.13839750260145681</v>
      </c>
      <c r="H12" s="9" t="s">
        <v>31</v>
      </c>
      <c r="I12" s="10">
        <f>E13</f>
        <v>0.20627802690582961</v>
      </c>
      <c r="J12" s="7">
        <f>IF(I12=MAX(Table3[Attrition_Rate]),I12,"")</f>
        <v>0.20627802690582961</v>
      </c>
      <c r="M12" s="4">
        <v>1</v>
      </c>
      <c r="N12" s="5">
        <v>0.3125</v>
      </c>
      <c r="Q12" s="4">
        <v>1</v>
      </c>
      <c r="R12" s="10">
        <f>N12</f>
        <v>0.3125</v>
      </c>
      <c r="S12" s="7">
        <f>IF(R12=MAX(Table356[Attrition_Rate]),R12,"")</f>
        <v>0.3125</v>
      </c>
    </row>
    <row r="13" spans="1:19" x14ac:dyDescent="0.35">
      <c r="A13" t="s">
        <v>74</v>
      </c>
      <c r="D13" s="4" t="s">
        <v>31</v>
      </c>
      <c r="E13" s="5">
        <v>0.20627802690582961</v>
      </c>
      <c r="M13" s="4">
        <v>2</v>
      </c>
      <c r="N13" s="5">
        <v>0.16860465116279069</v>
      </c>
      <c r="Q13" s="4">
        <v>2</v>
      </c>
      <c r="R13" s="10">
        <f>N13</f>
        <v>0.16860465116279069</v>
      </c>
      <c r="S13" s="7" t="str">
        <f>IF(R13=MAX(Table356[Attrition_Rate]),R13,"")</f>
        <v/>
      </c>
    </row>
    <row r="14" spans="1:19" x14ac:dyDescent="0.35">
      <c r="A14" s="2">
        <v>6502.931292517007</v>
      </c>
      <c r="M14" s="4">
        <v>3</v>
      </c>
      <c r="N14" s="5">
        <v>0.14221724524076149</v>
      </c>
      <c r="Q14" s="4">
        <v>3</v>
      </c>
      <c r="R14" s="10">
        <f>N14</f>
        <v>0.14221724524076149</v>
      </c>
      <c r="S14" s="7" t="str">
        <f>IF(R14=MAX(Table356[Attrition_Rate]),R14,"")</f>
        <v/>
      </c>
    </row>
    <row r="15" spans="1:19" x14ac:dyDescent="0.35">
      <c r="M15" s="4">
        <v>4</v>
      </c>
      <c r="N15" s="5">
        <v>0.17647058823529413</v>
      </c>
      <c r="Q15" s="4">
        <v>4</v>
      </c>
      <c r="R15" s="10">
        <f>N15</f>
        <v>0.17647058823529413</v>
      </c>
      <c r="S15" s="7" t="str">
        <f>IF(R15=MAX(Table356[Attrition_Rate]),R15,"")</f>
        <v/>
      </c>
    </row>
    <row r="16" spans="1:19" ht="18.5" x14ac:dyDescent="0.45">
      <c r="A16" t="s">
        <v>75</v>
      </c>
      <c r="D16" s="6" t="s">
        <v>72</v>
      </c>
      <c r="H16" s="6" t="s">
        <v>87</v>
      </c>
    </row>
    <row r="17" spans="1:19" ht="18.5" x14ac:dyDescent="0.45">
      <c r="A17" s="2">
        <v>7.0081632653061225</v>
      </c>
      <c r="D17" s="3" t="s">
        <v>11</v>
      </c>
      <c r="E17" t="s">
        <v>69</v>
      </c>
      <c r="H17" s="11" t="s">
        <v>11</v>
      </c>
      <c r="I17" s="12" t="s">
        <v>83</v>
      </c>
      <c r="J17" s="12" t="s">
        <v>84</v>
      </c>
      <c r="M17" s="6" t="s">
        <v>78</v>
      </c>
      <c r="Q17" s="6" t="s">
        <v>90</v>
      </c>
    </row>
    <row r="18" spans="1:19" x14ac:dyDescent="0.35">
      <c r="A18" s="3" t="s">
        <v>1</v>
      </c>
      <c r="B18" t="s">
        <v>30</v>
      </c>
      <c r="D18" s="4">
        <v>1</v>
      </c>
      <c r="E18" s="5">
        <v>0.22837370242214533</v>
      </c>
      <c r="H18" s="4">
        <v>1</v>
      </c>
      <c r="I18" s="10">
        <f>E18</f>
        <v>0.22837370242214533</v>
      </c>
      <c r="J18" s="7">
        <f>IF(I18=MAX(Table35[Attrition_Rate]),I18,"")</f>
        <v>0.22837370242214533</v>
      </c>
      <c r="M18" s="3" t="s">
        <v>27</v>
      </c>
      <c r="N18" t="s">
        <v>69</v>
      </c>
      <c r="Q18" s="11" t="s">
        <v>91</v>
      </c>
      <c r="R18" s="12" t="s">
        <v>83</v>
      </c>
      <c r="S18" s="12" t="s">
        <v>84</v>
      </c>
    </row>
    <row r="19" spans="1:19" x14ac:dyDescent="0.35">
      <c r="D19" s="4">
        <v>2</v>
      </c>
      <c r="E19" s="5">
        <v>0.16428571428571428</v>
      </c>
      <c r="H19" s="4">
        <v>2</v>
      </c>
      <c r="I19" s="10">
        <f>E19</f>
        <v>0.16428571428571428</v>
      </c>
      <c r="J19" s="7" t="str">
        <f>IF(I19=MAX(Table35[Attrition_Rate]),I19,"")</f>
        <v/>
      </c>
      <c r="M19" s="4" t="s">
        <v>56</v>
      </c>
      <c r="N19" s="5">
        <v>8.8967971530249115E-2</v>
      </c>
      <c r="Q19" s="4" t="s">
        <v>56</v>
      </c>
      <c r="R19" s="10">
        <f>N19</f>
        <v>8.8967971530249115E-2</v>
      </c>
      <c r="S19" s="7" t="str">
        <f>IF(R19=MAX(Table37[Attrition_Rate]),R19,"")</f>
        <v/>
      </c>
    </row>
    <row r="20" spans="1:19" x14ac:dyDescent="0.35">
      <c r="A20" t="s">
        <v>66</v>
      </c>
      <c r="D20" s="4">
        <v>3</v>
      </c>
      <c r="E20" s="5">
        <v>0.16515837104072398</v>
      </c>
      <c r="H20" s="4">
        <v>3</v>
      </c>
      <c r="I20" s="10">
        <f>E20</f>
        <v>0.16515837104072398</v>
      </c>
      <c r="J20" s="7" t="str">
        <f>IF(I20=MAX(Table35[Attrition_Rate]),I20,"")</f>
        <v/>
      </c>
      <c r="M20" s="4" t="s">
        <v>46</v>
      </c>
      <c r="N20" s="5">
        <v>0.25230202578268879</v>
      </c>
      <c r="Q20" s="4" t="s">
        <v>46</v>
      </c>
      <c r="R20" s="10">
        <f>N20</f>
        <v>0.25230202578268879</v>
      </c>
      <c r="S20" s="7">
        <f>IF(R20=MAX(Table37[Attrition_Rate]),R20,"")</f>
        <v>0.25230202578268879</v>
      </c>
    </row>
    <row r="21" spans="1:19" x14ac:dyDescent="0.35">
      <c r="A21" s="2">
        <v>237</v>
      </c>
      <c r="D21" s="4">
        <v>4</v>
      </c>
      <c r="E21" s="5">
        <v>0.11328976034858387</v>
      </c>
      <c r="H21" s="4">
        <v>4</v>
      </c>
      <c r="I21" s="10">
        <f>E21</f>
        <v>0.11328976034858387</v>
      </c>
      <c r="J21" s="7" t="str">
        <f>IF(I21=MAX(Table35[Attrition_Rate]),I21,"")</f>
        <v/>
      </c>
      <c r="M21" s="4" t="s">
        <v>37</v>
      </c>
      <c r="N21" s="5">
        <v>0.11609907120743033</v>
      </c>
      <c r="Q21" s="4" t="s">
        <v>37</v>
      </c>
      <c r="R21" s="10">
        <f>N21</f>
        <v>0.11609907120743033</v>
      </c>
      <c r="S21" s="7" t="str">
        <f>IF(R21=MAX(Table37[Attrition_Rate]),R21,"")</f>
        <v/>
      </c>
    </row>
    <row r="24" spans="1:19" ht="18.5" x14ac:dyDescent="0.45">
      <c r="D24" s="6" t="s">
        <v>73</v>
      </c>
      <c r="M24" s="6" t="s">
        <v>79</v>
      </c>
      <c r="Q24" s="6" t="s">
        <v>92</v>
      </c>
    </row>
    <row r="25" spans="1:19" x14ac:dyDescent="0.35">
      <c r="D25" s="3" t="s">
        <v>1</v>
      </c>
      <c r="E25" t="s">
        <v>74</v>
      </c>
      <c r="M25" s="3" t="s">
        <v>64</v>
      </c>
      <c r="N25" t="s">
        <v>69</v>
      </c>
      <c r="Q25" s="11" t="s">
        <v>64</v>
      </c>
      <c r="R25" s="12" t="s">
        <v>83</v>
      </c>
      <c r="S25" s="12" t="s">
        <v>84</v>
      </c>
    </row>
    <row r="26" spans="1:19" x14ac:dyDescent="0.35">
      <c r="D26" s="4" t="s">
        <v>30</v>
      </c>
      <c r="E26" s="2">
        <v>4787.0928270042195</v>
      </c>
      <c r="M26" s="4" t="s">
        <v>54</v>
      </c>
      <c r="N26" s="5">
        <v>0.35772357723577236</v>
      </c>
      <c r="Q26" s="4" t="s">
        <v>54</v>
      </c>
      <c r="R26" s="10">
        <f>N26</f>
        <v>0.35772357723577236</v>
      </c>
      <c r="S26" s="7">
        <f>IF(R26=MAX(Table3568[Attrition_Rate]),R26,"")</f>
        <v>0.35772357723577236</v>
      </c>
    </row>
    <row r="27" spans="1:19" x14ac:dyDescent="0.35">
      <c r="M27" s="4" t="s">
        <v>48</v>
      </c>
      <c r="N27" s="5">
        <v>0.19141914191419143</v>
      </c>
      <c r="Q27" s="4" t="s">
        <v>48</v>
      </c>
      <c r="R27" s="10">
        <f>N27</f>
        <v>0.19141914191419143</v>
      </c>
      <c r="S27" s="7" t="str">
        <f>IF(R27=MAX(Table3568[Attrition_Rate]),R27,"")</f>
        <v/>
      </c>
    </row>
    <row r="28" spans="1:19" x14ac:dyDescent="0.35">
      <c r="M28" s="4" t="s">
        <v>36</v>
      </c>
      <c r="N28" s="5">
        <v>9.1880341880341887E-2</v>
      </c>
      <c r="Q28" s="4" t="s">
        <v>36</v>
      </c>
      <c r="R28" s="10">
        <f>N28</f>
        <v>9.1880341880341887E-2</v>
      </c>
      <c r="S28" s="7" t="str">
        <f>IF(R28=MAX(Table3568[Attrition_Rate]),R28,"")</f>
        <v/>
      </c>
    </row>
    <row r="29" spans="1:19" ht="18.5" x14ac:dyDescent="0.45">
      <c r="D29" s="6" t="s">
        <v>68</v>
      </c>
      <c r="M29" s="4" t="s">
        <v>82</v>
      </c>
      <c r="N29" s="5">
        <v>0.12454212454212454</v>
      </c>
      <c r="Q29" s="4" t="s">
        <v>82</v>
      </c>
      <c r="R29" s="10">
        <f>N29</f>
        <v>0.12454212454212454</v>
      </c>
      <c r="S29" s="7" t="str">
        <f>IF(R29=MAX(Table3568[Attrition_Rate]),R29,"")</f>
        <v/>
      </c>
    </row>
    <row r="30" spans="1:19" x14ac:dyDescent="0.35">
      <c r="D30" s="3" t="s">
        <v>1</v>
      </c>
      <c r="E30" t="s">
        <v>75</v>
      </c>
    </row>
    <row r="31" spans="1:19" x14ac:dyDescent="0.35">
      <c r="D31" s="4" t="s">
        <v>39</v>
      </c>
      <c r="E31" s="2">
        <v>7.3690186536901869</v>
      </c>
    </row>
    <row r="32" spans="1:19" ht="18.5" x14ac:dyDescent="0.45">
      <c r="D32" s="4" t="s">
        <v>30</v>
      </c>
      <c r="E32" s="2">
        <v>5.1308016877637135</v>
      </c>
      <c r="M32" s="6" t="s">
        <v>80</v>
      </c>
      <c r="Q32" s="6" t="s">
        <v>93</v>
      </c>
    </row>
    <row r="33" spans="4:19" x14ac:dyDescent="0.35">
      <c r="M33" s="3" t="s">
        <v>28</v>
      </c>
      <c r="N33" t="s">
        <v>69</v>
      </c>
      <c r="Q33" s="11" t="s">
        <v>28</v>
      </c>
      <c r="R33" s="12" t="s">
        <v>83</v>
      </c>
      <c r="S33" s="12" t="s">
        <v>84</v>
      </c>
    </row>
    <row r="34" spans="4:19" x14ac:dyDescent="0.35">
      <c r="M34" s="4" t="s">
        <v>47</v>
      </c>
      <c r="N34" s="5">
        <v>0.2982456140350877</v>
      </c>
      <c r="Q34" s="4" t="s">
        <v>47</v>
      </c>
      <c r="R34" s="10">
        <f>N34</f>
        <v>0.2982456140350877</v>
      </c>
      <c r="S34" s="7">
        <f>IF(R34=MAX(Table356810[Attrition_Rate]),R34,"")</f>
        <v>0.2982456140350877</v>
      </c>
    </row>
    <row r="35" spans="4:19" ht="18.5" x14ac:dyDescent="0.45">
      <c r="D35" s="6"/>
      <c r="M35" s="4" t="s">
        <v>57</v>
      </c>
      <c r="N35" s="5">
        <v>8.1300813008130079E-2</v>
      </c>
      <c r="Q35" s="4" t="s">
        <v>57</v>
      </c>
      <c r="R35" s="10">
        <f>N35</f>
        <v>8.1300813008130079E-2</v>
      </c>
      <c r="S35" s="7" t="str">
        <f>IF(R35=MAX(Table356810[Attrition_Rate]),R35,"")</f>
        <v/>
      </c>
    </row>
    <row r="36" spans="4:19" x14ac:dyDescent="0.35">
      <c r="M36" s="4" t="s">
        <v>53</v>
      </c>
      <c r="N36" s="5">
        <v>0.13824884792626729</v>
      </c>
      <c r="Q36" s="4" t="s">
        <v>53</v>
      </c>
      <c r="R36" s="10">
        <f>N36</f>
        <v>0.13824884792626729</v>
      </c>
      <c r="S36" s="7" t="str">
        <f>IF(R36=MAX(Table356810[Attrition_Rate]),R36,"")</f>
        <v/>
      </c>
    </row>
    <row r="37" spans="4:19" x14ac:dyDescent="0.35">
      <c r="M37" s="4" t="s">
        <v>38</v>
      </c>
      <c r="N37" s="5">
        <v>0.12276785714285714</v>
      </c>
      <c r="Q37" s="4" t="s">
        <v>38</v>
      </c>
      <c r="R37" s="10">
        <f>N37</f>
        <v>0.12276785714285714</v>
      </c>
      <c r="S37" s="7" t="str">
        <f>IF(R37=MAX(Table356810[Attrition_Rate]),R37,"")</f>
        <v/>
      </c>
    </row>
  </sheetData>
  <mergeCells count="1">
    <mergeCell ref="A1:B2"/>
  </mergeCells>
  <pageMargins left="0.7" right="0.7" top="0.75" bottom="0.75" header="0.3" footer="0.3"/>
  <pageSetup orientation="portrait" r:id="rId16"/>
  <tableParts count="7">
    <tablePart r:id="rId17"/>
    <tablePart r:id="rId18"/>
    <tablePart r:id="rId19"/>
    <tablePart r:id="rId20"/>
    <tablePart r:id="rId21"/>
    <tablePart r:id="rId22"/>
    <tablePart r:id="rId2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E7544-3967-4119-9ADA-2B9A327A5016}">
  <dimension ref="A1:R21"/>
  <sheetViews>
    <sheetView showGridLines="0" tabSelected="1" workbookViewId="0">
      <selection activeCell="P21" sqref="A1:P21"/>
    </sheetView>
  </sheetViews>
  <sheetFormatPr defaultRowHeight="14.5" x14ac:dyDescent="0.35"/>
  <cols>
    <col min="16" max="16" width="7.453125" customWidth="1"/>
    <col min="17" max="18" width="8.7265625" hidden="1" customWidth="1"/>
  </cols>
  <sheetData>
    <row r="1" spans="1:18" x14ac:dyDescent="0.35">
      <c r="A1" s="15"/>
      <c r="B1" s="15"/>
      <c r="C1" s="15"/>
      <c r="D1" s="15"/>
      <c r="E1" s="15"/>
      <c r="F1" s="15"/>
      <c r="G1" s="15"/>
      <c r="H1" s="15"/>
      <c r="I1" s="15"/>
      <c r="J1" s="15"/>
      <c r="K1" s="15"/>
      <c r="L1" s="15"/>
      <c r="M1" s="15"/>
      <c r="N1" s="15"/>
      <c r="O1" s="15"/>
      <c r="P1" s="15"/>
      <c r="Q1" s="13"/>
      <c r="R1" s="13"/>
    </row>
    <row r="2" spans="1:18" x14ac:dyDescent="0.35">
      <c r="A2" s="15"/>
      <c r="B2" s="15"/>
      <c r="C2" s="15"/>
      <c r="D2" s="15"/>
      <c r="E2" s="15"/>
      <c r="F2" s="15"/>
      <c r="G2" s="15"/>
      <c r="H2" s="15"/>
      <c r="I2" s="15"/>
      <c r="J2" s="15"/>
      <c r="K2" s="15"/>
      <c r="L2" s="15"/>
      <c r="M2" s="15"/>
      <c r="N2" s="15"/>
      <c r="O2" s="15"/>
      <c r="P2" s="15"/>
      <c r="Q2" s="13"/>
      <c r="R2" s="13"/>
    </row>
    <row r="3" spans="1:18" x14ac:dyDescent="0.35">
      <c r="A3" s="15"/>
      <c r="B3" s="15"/>
      <c r="C3" s="15"/>
      <c r="D3" s="15"/>
      <c r="E3" s="15"/>
      <c r="F3" s="15"/>
      <c r="G3" s="15"/>
      <c r="H3" s="15"/>
      <c r="I3" s="15"/>
      <c r="J3" s="15"/>
      <c r="K3" s="15"/>
      <c r="L3" s="15"/>
      <c r="M3" s="15"/>
      <c r="N3" s="15"/>
      <c r="O3" s="15"/>
      <c r="P3" s="15"/>
      <c r="Q3" s="13"/>
      <c r="R3" s="13"/>
    </row>
    <row r="4" spans="1:18" x14ac:dyDescent="0.35">
      <c r="A4" s="15"/>
      <c r="B4" s="15"/>
      <c r="C4" s="15"/>
      <c r="D4" s="15"/>
      <c r="E4" s="15"/>
      <c r="F4" s="15"/>
      <c r="G4" s="15"/>
      <c r="H4" s="15"/>
      <c r="I4" s="15"/>
      <c r="J4" s="15"/>
      <c r="K4" s="15"/>
      <c r="L4" s="15"/>
      <c r="M4" s="15"/>
      <c r="N4" s="15"/>
      <c r="O4" s="15"/>
      <c r="P4" s="15"/>
      <c r="Q4" s="13"/>
      <c r="R4" s="13"/>
    </row>
    <row r="5" spans="1:18" x14ac:dyDescent="0.35">
      <c r="A5" s="15"/>
      <c r="B5" s="15"/>
      <c r="C5" s="15"/>
      <c r="D5" s="15"/>
      <c r="E5" s="15"/>
      <c r="F5" s="15"/>
      <c r="G5" s="15"/>
      <c r="H5" s="15"/>
      <c r="I5" s="15"/>
      <c r="J5" s="15"/>
      <c r="K5" s="15"/>
      <c r="L5" s="15"/>
      <c r="M5" s="15"/>
      <c r="N5" s="15"/>
      <c r="O5" s="15"/>
      <c r="P5" s="15"/>
      <c r="Q5" s="13"/>
      <c r="R5" s="13"/>
    </row>
    <row r="6" spans="1:18" x14ac:dyDescent="0.35">
      <c r="A6" s="15"/>
      <c r="B6" s="15"/>
      <c r="C6" s="15"/>
      <c r="D6" s="15"/>
      <c r="E6" s="15"/>
      <c r="F6" s="15"/>
      <c r="G6" s="15"/>
      <c r="H6" s="15"/>
      <c r="I6" s="15"/>
      <c r="J6" s="15"/>
      <c r="K6" s="15"/>
      <c r="L6" s="15"/>
      <c r="M6" s="15"/>
      <c r="N6" s="15"/>
      <c r="O6" s="15"/>
      <c r="P6" s="15"/>
      <c r="Q6" s="13"/>
      <c r="R6" s="13"/>
    </row>
    <row r="7" spans="1:18" x14ac:dyDescent="0.35">
      <c r="A7" s="15"/>
      <c r="B7" s="15"/>
      <c r="C7" s="15"/>
      <c r="D7" s="15"/>
      <c r="E7" s="15"/>
      <c r="F7" s="15"/>
      <c r="G7" s="15"/>
      <c r="H7" s="15"/>
      <c r="I7" s="15"/>
      <c r="J7" s="15"/>
      <c r="K7" s="15"/>
      <c r="L7" s="15"/>
      <c r="M7" s="15"/>
      <c r="N7" s="15"/>
      <c r="O7" s="15"/>
      <c r="P7" s="15"/>
      <c r="Q7" s="13"/>
      <c r="R7" s="13"/>
    </row>
    <row r="8" spans="1:18" x14ac:dyDescent="0.35">
      <c r="A8" s="15"/>
      <c r="B8" s="15"/>
      <c r="C8" s="15"/>
      <c r="D8" s="15"/>
      <c r="E8" s="15"/>
      <c r="F8" s="15"/>
      <c r="G8" s="15"/>
      <c r="H8" s="15"/>
      <c r="I8" s="15"/>
      <c r="J8" s="15"/>
      <c r="K8" s="15"/>
      <c r="L8" s="15"/>
      <c r="M8" s="15"/>
      <c r="N8" s="15"/>
      <c r="O8" s="15"/>
      <c r="P8" s="15"/>
      <c r="Q8" s="13"/>
      <c r="R8" s="13"/>
    </row>
    <row r="9" spans="1:18" x14ac:dyDescent="0.35">
      <c r="A9" s="15"/>
      <c r="B9" s="15"/>
      <c r="C9" s="15"/>
      <c r="D9" s="15"/>
      <c r="E9" s="15"/>
      <c r="F9" s="15"/>
      <c r="G9" s="15"/>
      <c r="H9" s="15"/>
      <c r="I9" s="15"/>
      <c r="J9" s="15"/>
      <c r="K9" s="15"/>
      <c r="L9" s="15"/>
      <c r="M9" s="15"/>
      <c r="N9" s="15"/>
      <c r="O9" s="15"/>
      <c r="P9" s="15"/>
      <c r="Q9" s="13"/>
      <c r="R9" s="13"/>
    </row>
    <row r="10" spans="1:18" x14ac:dyDescent="0.35">
      <c r="A10" s="15"/>
      <c r="B10" s="15"/>
      <c r="C10" s="15"/>
      <c r="D10" s="15"/>
      <c r="E10" s="15"/>
      <c r="F10" s="15"/>
      <c r="G10" s="15"/>
      <c r="H10" s="15"/>
      <c r="I10" s="15"/>
      <c r="J10" s="15"/>
      <c r="K10" s="15"/>
      <c r="L10" s="15"/>
      <c r="M10" s="15"/>
      <c r="N10" s="15"/>
      <c r="O10" s="15"/>
      <c r="P10" s="15"/>
      <c r="Q10" s="13"/>
      <c r="R10" s="13"/>
    </row>
    <row r="11" spans="1:18" x14ac:dyDescent="0.35">
      <c r="A11" s="15"/>
      <c r="B11" s="15"/>
      <c r="C11" s="15"/>
      <c r="D11" s="15"/>
      <c r="E11" s="15"/>
      <c r="F11" s="15"/>
      <c r="G11" s="15"/>
      <c r="H11" s="15"/>
      <c r="I11" s="15"/>
      <c r="J11" s="15"/>
      <c r="K11" s="15"/>
      <c r="L11" s="15"/>
      <c r="M11" s="15"/>
      <c r="N11" s="15"/>
      <c r="O11" s="15"/>
      <c r="P11" s="15"/>
      <c r="Q11" s="13"/>
      <c r="R11" s="13"/>
    </row>
    <row r="12" spans="1:18" x14ac:dyDescent="0.35">
      <c r="A12" s="15"/>
      <c r="B12" s="15"/>
      <c r="C12" s="15"/>
      <c r="D12" s="15"/>
      <c r="E12" s="15"/>
      <c r="F12" s="15"/>
      <c r="G12" s="15"/>
      <c r="H12" s="15"/>
      <c r="I12" s="15"/>
      <c r="J12" s="15"/>
      <c r="K12" s="15"/>
      <c r="L12" s="15"/>
      <c r="M12" s="15"/>
      <c r="N12" s="15"/>
      <c r="O12" s="15"/>
      <c r="P12" s="15"/>
      <c r="Q12" s="13"/>
      <c r="R12" s="13"/>
    </row>
    <row r="13" spans="1:18" x14ac:dyDescent="0.35">
      <c r="A13" s="15"/>
      <c r="B13" s="15"/>
      <c r="C13" s="15"/>
      <c r="D13" s="15"/>
      <c r="E13" s="15"/>
      <c r="F13" s="15"/>
      <c r="G13" s="15"/>
      <c r="H13" s="15"/>
      <c r="I13" s="15"/>
      <c r="J13" s="15"/>
      <c r="K13" s="15"/>
      <c r="L13" s="15"/>
      <c r="M13" s="15"/>
      <c r="N13" s="15"/>
      <c r="O13" s="15"/>
      <c r="P13" s="15"/>
      <c r="Q13" s="13"/>
      <c r="R13" s="13"/>
    </row>
    <row r="14" spans="1:18" x14ac:dyDescent="0.35">
      <c r="A14" s="15"/>
      <c r="B14" s="15"/>
      <c r="C14" s="15"/>
      <c r="D14" s="15"/>
      <c r="E14" s="15"/>
      <c r="F14" s="15"/>
      <c r="G14" s="15"/>
      <c r="H14" s="15"/>
      <c r="I14" s="15"/>
      <c r="J14" s="15"/>
      <c r="K14" s="15"/>
      <c r="L14" s="15"/>
      <c r="M14" s="15"/>
      <c r="N14" s="15"/>
      <c r="O14" s="15"/>
      <c r="P14" s="15"/>
      <c r="Q14" s="13"/>
      <c r="R14" s="13"/>
    </row>
    <row r="15" spans="1:18" x14ac:dyDescent="0.35">
      <c r="A15" s="15"/>
      <c r="B15" s="15"/>
      <c r="C15" s="15"/>
      <c r="D15" s="15"/>
      <c r="E15" s="15"/>
      <c r="F15" s="15"/>
      <c r="G15" s="15"/>
      <c r="H15" s="15"/>
      <c r="I15" s="15"/>
      <c r="J15" s="15"/>
      <c r="K15" s="15"/>
      <c r="L15" s="15"/>
      <c r="M15" s="15"/>
      <c r="N15" s="15"/>
      <c r="O15" s="15"/>
      <c r="P15" s="15"/>
      <c r="Q15" s="13"/>
      <c r="R15" s="13"/>
    </row>
    <row r="16" spans="1:18" x14ac:dyDescent="0.35">
      <c r="A16" s="15"/>
      <c r="B16" s="15"/>
      <c r="C16" s="15"/>
      <c r="D16" s="15"/>
      <c r="E16" s="15"/>
      <c r="F16" s="15"/>
      <c r="G16" s="15"/>
      <c r="H16" s="15"/>
      <c r="I16" s="15"/>
      <c r="J16" s="15"/>
      <c r="K16" s="15"/>
      <c r="L16" s="15"/>
      <c r="M16" s="15"/>
      <c r="N16" s="15"/>
      <c r="O16" s="15"/>
      <c r="P16" s="15"/>
      <c r="Q16" s="13"/>
      <c r="R16" s="13"/>
    </row>
    <row r="17" spans="1:18" x14ac:dyDescent="0.35">
      <c r="A17" s="15"/>
      <c r="B17" s="15"/>
      <c r="C17" s="15"/>
      <c r="D17" s="15"/>
      <c r="E17" s="15"/>
      <c r="F17" s="15"/>
      <c r="G17" s="15"/>
      <c r="H17" s="15"/>
      <c r="I17" s="15"/>
      <c r="J17" s="15"/>
      <c r="K17" s="15"/>
      <c r="L17" s="15" t="s">
        <v>81</v>
      </c>
      <c r="M17" s="15"/>
      <c r="N17" s="15"/>
      <c r="O17" s="15"/>
      <c r="P17" s="15"/>
      <c r="Q17" s="14"/>
      <c r="R17" s="13"/>
    </row>
    <row r="18" spans="1:18" x14ac:dyDescent="0.35">
      <c r="A18" s="15"/>
      <c r="B18" s="15"/>
      <c r="C18" s="15"/>
      <c r="D18" s="15"/>
      <c r="E18" s="15"/>
      <c r="F18" s="15"/>
      <c r="G18" s="15"/>
      <c r="H18" s="15"/>
      <c r="I18" s="15"/>
      <c r="J18" s="15"/>
      <c r="K18" s="15"/>
      <c r="L18" s="15"/>
      <c r="M18" s="15"/>
      <c r="N18" s="15"/>
      <c r="O18" s="15"/>
      <c r="P18" s="15"/>
      <c r="Q18" s="13"/>
      <c r="R18" s="13"/>
    </row>
    <row r="19" spans="1:18" x14ac:dyDescent="0.35">
      <c r="A19" s="15"/>
      <c r="B19" s="15"/>
      <c r="C19" s="15"/>
      <c r="D19" s="15"/>
      <c r="E19" s="15"/>
      <c r="F19" s="15"/>
      <c r="G19" s="15"/>
      <c r="H19" s="15"/>
      <c r="I19" s="15"/>
      <c r="J19" s="15"/>
      <c r="K19" s="15"/>
      <c r="L19" s="15"/>
      <c r="M19" s="15"/>
      <c r="N19" s="15"/>
      <c r="O19" s="15"/>
      <c r="P19" s="15"/>
      <c r="Q19" s="13"/>
      <c r="R19" s="13"/>
    </row>
    <row r="20" spans="1:18" x14ac:dyDescent="0.35">
      <c r="A20" s="15"/>
      <c r="B20" s="15"/>
      <c r="C20" s="15"/>
      <c r="D20" s="15"/>
      <c r="E20" s="15"/>
      <c r="F20" s="15"/>
      <c r="G20" s="15"/>
      <c r="H20" s="15"/>
      <c r="I20" s="15"/>
      <c r="J20" s="15"/>
      <c r="K20" s="15"/>
      <c r="L20" s="15"/>
      <c r="M20" s="15"/>
      <c r="N20" s="15"/>
      <c r="O20" s="15"/>
      <c r="P20" s="15"/>
      <c r="Q20" s="13"/>
      <c r="R20" s="13"/>
    </row>
    <row r="21" spans="1:18" x14ac:dyDescent="0.35">
      <c r="A21" s="15"/>
      <c r="B21" s="15"/>
      <c r="C21" s="15"/>
      <c r="D21" s="15"/>
      <c r="E21" s="15"/>
      <c r="F21" s="15"/>
      <c r="G21" s="15"/>
      <c r="H21" s="15"/>
      <c r="I21" s="15"/>
      <c r="J21" s="15"/>
      <c r="K21" s="15"/>
      <c r="L21" s="15"/>
      <c r="M21" s="15"/>
      <c r="N21" s="15"/>
      <c r="O21" s="15"/>
      <c r="P21" s="15"/>
      <c r="Q21" s="13"/>
      <c r="R21" s="13"/>
    </row>
  </sheetData>
  <pageMargins left="0.7" right="0.7" top="0.75" bottom="0.75" header="0.3" footer="0.3"/>
  <pageSetup paperSize="71"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D77BAF-3153-4329-AFC8-196DD4803D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raw-dataset</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Husnain</dc:creator>
  <cp:lastModifiedBy>Muhammad Husnain</cp:lastModifiedBy>
  <cp:lastPrinted>2026-02-14T14:55:41Z</cp:lastPrinted>
  <dcterms:created xsi:type="dcterms:W3CDTF">2015-06-05T18:17:20Z</dcterms:created>
  <dcterms:modified xsi:type="dcterms:W3CDTF">2026-02-15T16:00:13Z</dcterms:modified>
</cp:coreProperties>
</file>